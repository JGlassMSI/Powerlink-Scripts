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codeName="ThisWorkbook"/>
  <mc:AlternateContent xmlns:mc="http://schemas.openxmlformats.org/markup-compatibility/2006">
    <mc:Choice Requires="x15">
      <x15ac:absPath xmlns:x15ac="http://schemas.microsoft.com/office/spreadsheetml/2010/11/ac" url="C:\Users\sesa407697\Desktop\Prints\MSI\GC21G1165 Lighting\"/>
    </mc:Choice>
  </mc:AlternateContent>
  <xr:revisionPtr revIDLastSave="0" documentId="8_{3A3B8AD0-C769-4308-84CF-2B4ED67E889C}" xr6:coauthVersionLast="47" xr6:coauthVersionMax="47" xr10:uidLastSave="{00000000-0000-0000-0000-000000000000}"/>
  <bookViews>
    <workbookView xWindow="-120" yWindow="-16320" windowWidth="29040" windowHeight="15840" xr2:uid="{00000000-000D-0000-FFFF-FFFF00000000}"/>
  </bookViews>
  <sheets>
    <sheet name="Registers &amp; Files" sheetId="2" r:id="rId1"/>
    <sheet name="Data Formats" sheetId="4" r:id="rId2"/>
    <sheet name="Control Bus Numbering" sheetId="5" r:id="rId3"/>
  </sheets>
  <definedNames>
    <definedName name="Active_Priority">'Registers &amp; Files'!$K$1354</definedName>
    <definedName name="Actual_State_val">'Data Formats'!#REF!</definedName>
    <definedName name="Application_Number">'Data Formats'!$A$685</definedName>
    <definedName name="Application_Number_val">'Data Formats'!$A$685</definedName>
    <definedName name="Blink_Flag_val">'Data Formats'!#REF!</definedName>
    <definedName name="Blink_Pulse_Duration">'Registers &amp; Files'!#REF!</definedName>
    <definedName name="Blink_Pulse_Duration_val">'Data Formats'!$A$307</definedName>
    <definedName name="Blink_to_Off">'Registers &amp; Files'!$K$1115</definedName>
    <definedName name="Blink_to_Off_Delay_val">'Data Formats'!$A$311</definedName>
    <definedName name="Blink_Type_val">'Data Formats'!#REF!</definedName>
    <definedName name="Boot_Firmware_Version">'Registers &amp; Files'!$E$617</definedName>
    <definedName name="Breaker_Actual_State">'Registers &amp; Files'!$E$194</definedName>
    <definedName name="Breaker_Blink_Flag">'Registers &amp; Files'!#REF!</definedName>
    <definedName name="Breaker_Blink_Timer_Value">'Registers &amp; Files'!$E$334</definedName>
    <definedName name="Breaker_Blink_Timer_Value_val">'Data Formats'!#REF!</definedName>
    <definedName name="Breaker_Blink_Type">'Registers &amp; Files'!$E$1047</definedName>
    <definedName name="Breaker_Change_in_Control_State">'Registers &amp; Files'!$E$228</definedName>
    <definedName name="Breaker_Change_of_Actual_State">'Registers &amp; Files'!$E$245</definedName>
    <definedName name="Breaker_Control_State">'Registers &amp; Files'!$E$211</definedName>
    <definedName name="Breaker_Desired_State">'Registers &amp; Files'!$E$262</definedName>
    <definedName name="Breaker_Nametag_val">'Data Formats'!#REF!</definedName>
    <definedName name="Breaker_Nametags">'Registers &amp; Files'!#REF!</definedName>
    <definedName name="Breaker_No_Delay_Flag">'Registers &amp; Files'!#REF!</definedName>
    <definedName name="Breaker_Non_Repsonding_val">'Data Formats'!#REF!</definedName>
    <definedName name="Breaker_Non_Responding">'Registers &amp; Files'!$E$296</definedName>
    <definedName name="Breaker_NR_Retry">'Registers &amp; Files'!#REF!</definedName>
    <definedName name="Breaker_Override_Enable_val">'Data Formats'!#REF!</definedName>
    <definedName name="Breaker_Override_Type_val">'Data Formats'!#REF!</definedName>
    <definedName name="Breaker_Present">'Registers &amp; Files'!$E$279</definedName>
    <definedName name="Breaker_Present_val">'Data Formats'!#REF!</definedName>
    <definedName name="Breaker_Total_On_Time_val">'Data Formats'!#REF!</definedName>
    <definedName name="Breaker_Type">'Registers &amp; Files'!$E$351</definedName>
    <definedName name="Breaker_Type_val">'Data Formats'!#REF!</definedName>
    <definedName name="Breaker_Verification">'Registers &amp; Files'!$K$1117</definedName>
    <definedName name="Breaker_Verification_Delay_val">'Data Formats'!$A$318</definedName>
    <definedName name="brkr_blink_type">'Registers &amp; Files'!#REF!</definedName>
    <definedName name="brkr_blink_type_val">'Data Formats'!$A$161</definedName>
    <definedName name="brkr_type_val">'Data Formats'!$A$168</definedName>
    <definedName name="Bus_0_Firmware_Version">'Registers &amp; Files'!$E$332</definedName>
    <definedName name="Bus_0_Model">'Registers &amp; Files'!$E$330</definedName>
    <definedName name="Bus_Comms_Loss_Action_val">'Data Formats'!#REF!</definedName>
    <definedName name="Bus_Enable">'Registers &amp; Files'!#REF!</definedName>
    <definedName name="Bus_Enable_val">'Data Formats'!#REF!</definedName>
    <definedName name="Bus_Firmware_Version_val">'Data Formats'!$A$148</definedName>
    <definedName name="Bus_Model">'Registers &amp; Files'!$E$330</definedName>
    <definedName name="Bus_Model_Number">'Data Formats'!$A$132</definedName>
    <definedName name="Bus_Name_Tag_val">'Data Formats'!$A$167</definedName>
    <definedName name="Bus_Nametags">'Registers &amp; Files'!#REF!</definedName>
    <definedName name="Bus_Non_Responding">'Registers &amp; Files'!$E$186</definedName>
    <definedName name="Bus_Non_Responding_val">'Data Formats'!#REF!</definedName>
    <definedName name="Bus_Numbering_Sequence">'Registers &amp; Files'!#REF!</definedName>
    <definedName name="Bus_Numbering_Sequence_val">'Data Formats'!$A$151</definedName>
    <definedName name="bus_panel">'Registers &amp; Files'!$K$1430</definedName>
    <definedName name="bus_panel_val">'Data Formats'!$A$151</definedName>
    <definedName name="Bus_Present">'Registers &amp; Files'!$E$184</definedName>
    <definedName name="Bus_Present_val">'Data Formats'!#REF!</definedName>
    <definedName name="Calculated_Day_of_the_Week">'Registers &amp; Files'!$E$369</definedName>
    <definedName name="Calculated_Day_of_Week_val">'Data Formats'!$A$379</definedName>
    <definedName name="Calculated_DST_Begin_Day">'Registers &amp; Files'!$E$372</definedName>
    <definedName name="Calculated_DST_Begin_Month">'Registers &amp; Files'!$E$371</definedName>
    <definedName name="Calculated_DST_Day_val">'Data Formats'!$A$401</definedName>
    <definedName name="Calculated_DST_Month_val">'Data Formats'!$A$399</definedName>
    <definedName name="Calculated_Sunrise_Time">'Registers &amp; Files'!$E$375</definedName>
    <definedName name="Calculated_Sunrise_Time__Minutes">'Registers &amp; Files'!$E$376</definedName>
    <definedName name="Calculated_Sunrise_Time_Hour_Today_val">'Data Formats'!$A$403</definedName>
    <definedName name="Calculated_Sunrise_Time_Minutes_Today_val">'Data Formats'!$A$405</definedName>
    <definedName name="Calculated_Sunset_Time">'Registers &amp; Files'!$E$377</definedName>
    <definedName name="Calculated_Week_of_Month_val">'Data Formats'!$A$389</definedName>
    <definedName name="Calculated_Week_of_the_Month">'Registers &amp; Files'!$E$370</definedName>
    <definedName name="Cbus_Period">'Registers &amp; Files'!$K$1541</definedName>
    <definedName name="CBus_Period_val">'Data Formats'!$A$754</definedName>
    <definedName name="Change_Counter_val">'Data Formats'!#REF!</definedName>
    <definedName name="Change_Counters">'Registers &amp; Files'!#REF!</definedName>
    <definedName name="Change_in_Control_State_Flag_val">'Data Formats'!#REF!</definedName>
    <definedName name="Change_of_Actual_State_Flag_val">'Data Formats'!#REF!</definedName>
    <definedName name="Clock_Update_Interval">'Registers &amp; Files'!#REF!</definedName>
    <definedName name="Clock_Update_Interval_val">'Data Formats'!#REF!</definedName>
    <definedName name="Command_Interface">'Registers &amp; Files'!$E$1201</definedName>
    <definedName name="Command_Interface_Password">'Registers &amp; Files'!$E$620</definedName>
    <definedName name="Command_Interface_Password_val">'Data Formats'!#REF!</definedName>
    <definedName name="Comms_Loss_Action">'Registers &amp; Files'!$K$1351</definedName>
    <definedName name="Comms_Restore_Action">'Registers &amp; Files'!$K$1352</definedName>
    <definedName name="Compressed_Local_Date_Time">'Registers &amp; Files'!$E$1141</definedName>
    <definedName name="Compressed_Local_Date_Time_val">'Data Formats'!$A$407</definedName>
    <definedName name="Control_Module_Firmware_Version">'Registers &amp; Files'!$E$619</definedName>
    <definedName name="Control_Module_Firmware_Version__DLF_compatible_format_val">'Data Formats'!$A$303</definedName>
    <definedName name="Control_Module_Firmware_Version_DLF">'Registers &amp; Files'!#REF!</definedName>
    <definedName name="Control_Module_Firmware_Version_val">'Data Formats'!#REF!</definedName>
    <definedName name="Control_Module_Model">'Registers &amp; Files'!$E$622</definedName>
    <definedName name="Control_Module_Model_val">'Data Formats'!#REF!</definedName>
    <definedName name="Control_Module_Nametag">'Registers &amp; Files'!#REF!</definedName>
    <definedName name="Control_Module_Nametag_val">'Data Formats'!#REF!</definedName>
    <definedName name="Control_State_val">'Data Formats'!#REF!</definedName>
    <definedName name="Database_Version">'Registers &amp; Files'!$E$631</definedName>
    <definedName name="Database_Version_val">'Data Formats'!#REF!</definedName>
    <definedName name="day_of_week">'Registers &amp; Files'!$K$1389</definedName>
    <definedName name="Day_of_Week_val">'Data Formats'!$A$571</definedName>
    <definedName name="Daylight_Saving_Time_Enable">'Registers &amp; Files'!$E$1147</definedName>
    <definedName name="Daylight_Savings_Time_Enable_val">'Data Formats'!#REF!</definedName>
    <definedName name="default___Transparent_Ready_TR_013">'Registers &amp; Files'!$K$1163</definedName>
    <definedName name="Desired_Breaker_State_val">'Data Formats'!#REF!</definedName>
    <definedName name="Display_Time_12_24_Format_val">'Data Formats'!$A$421</definedName>
    <definedName name="Display_Time_Format__12_24">'Registers &amp; Files'!$E$1143</definedName>
    <definedName name="DLF_App_Revision">'Registers &amp; Files'!$K$646</definedName>
    <definedName name="DLF_App_Version">'Registers &amp; Files'!#REF!</definedName>
    <definedName name="DLF_Revision_Compatability">'Registers &amp; Files'!$K$646</definedName>
    <definedName name="DLF_Revision_format_val">'Data Formats'!$A$305</definedName>
    <definedName name="DLF_Version_compatabilty">'Registers &amp; Files'!$K$645</definedName>
    <definedName name="DLF_Version_format_val">'Data Formats'!$A$303</definedName>
    <definedName name="email_error_data">'Data Formats'!$A$884</definedName>
    <definedName name="email_errors">'Registers &amp; Files'!$K$609</definedName>
    <definedName name="end_hour">'Registers &amp; Files'!$K$1385</definedName>
    <definedName name="end_minutes">'Registers &amp; Files'!$K$1386</definedName>
    <definedName name="end_offset">'Registers &amp; Files'!$K$1387</definedName>
    <definedName name="End_Offset__Minutesr_val">'Data Formats'!$A$569</definedName>
    <definedName name="End_Time_Hours_val">'Data Formats'!$A$561</definedName>
    <definedName name="End_Time_Minutes_val">'Data Formats'!$A$566</definedName>
    <definedName name="Event_Identifier_val">'Data Formats'!$A$787</definedName>
    <definedName name="Event_Log_Entry_Type_val">'Data Formats'!$A$811</definedName>
    <definedName name="Expanded_Local_Date_Time">'Registers &amp; Files'!$E$1139</definedName>
    <definedName name="Expanded_Local_Date_Time_val">'Data Formats'!$A$414</definedName>
    <definedName name="External_Reference_IP_Address_Table_val">'Data Formats'!$A$520</definedName>
    <definedName name="External_Reference_Register_Selector_val">'Data Formats'!$A$527</definedName>
    <definedName name="External_source_default_active_val">'Data Formats'!$A$511</definedName>
    <definedName name="External_Source_Default_Time_Out_Duration_val">'Data Formats'!$A$546</definedName>
    <definedName name="External_Source_Default_Time_Out_Value_val">'Data Formats'!$A$516</definedName>
    <definedName name="External_Source_Default_Value_val">'Data Formats'!$A$532</definedName>
    <definedName name="External_Source_Number_of_Errors_val">'Data Formats'!$A$543</definedName>
    <definedName name="External_Source_Number_of_Retries_val">'Data Formats'!$A$540</definedName>
    <definedName name="External_Source_Number_of_Time_outs_val">'Data Formats'!$A$537</definedName>
    <definedName name="External_Source_Service_State_val">'Data Formats'!$A$513</definedName>
    <definedName name="External_Source_Value_val">'Data Formats'!$A$504</definedName>
    <definedName name="Firmware_Revision__DLF_compatible_format_val">'Data Formats'!$A$305</definedName>
    <definedName name="Flash_ROM_Type">'Registers &amp; Files'!$E$628</definedName>
    <definedName name="Flash_ROM_Type_val">'Data Formats'!#REF!</definedName>
    <definedName name="Front_Panel_Disable">'Registers &amp; Files'!$E$37</definedName>
    <definedName name="Front_Panel_Disable_Timeout">'Registers &amp; Files'!#REF!</definedName>
    <definedName name="Front_Panel_Disable_Timeout_val">'Data Formats'!$A$326</definedName>
    <definedName name="Front_Panel_Disable_val">'Data Formats'!#REF!</definedName>
    <definedName name="Front_Panel_Password">'Registers &amp; Files'!$E$1119</definedName>
    <definedName name="Front_Panel_Password_val">'Data Formats'!$A$324</definedName>
    <definedName name="Group_Address" comment="Group_Addr">'Registers &amp; Files'!$K$1529</definedName>
    <definedName name="Group_Number">'Registers &amp; Files'!#REF!</definedName>
    <definedName name="Group_Number_val">'Data Formats'!$A$690</definedName>
    <definedName name="Halt_Mode_Enable">'Registers &amp; Files'!$E$39</definedName>
    <definedName name="Halt_Mode_Enable_val">'Data Formats'!#REF!</definedName>
    <definedName name="Hardware_Peripheral_Status">'Registers &amp; Files'!#REF!</definedName>
    <definedName name="Hardware_Peripheral_Status_val">'Data Formats'!$A$347</definedName>
    <definedName name="hardware_status">'Registers &amp; Files'!$K$623</definedName>
    <definedName name="Inhibit_Sync_Filter">'Registers &amp; Files'!$K$1293</definedName>
    <definedName name="Inhibit_Sync_Filter_val">'Data Formats'!$A$86</definedName>
    <definedName name="Inhibit_Sync_Invert">'Registers &amp; Files'!$K$1294</definedName>
    <definedName name="Inhibit_Sync_Invert_val">'Data Formats'!$A$91</definedName>
    <definedName name="Inhibit_Sync_Source_Bus">'Registers &amp; Files'!$K$1292</definedName>
    <definedName name="Inhibit_Sync_Source_Bus_val">'Data Formats'!$A$84</definedName>
    <definedName name="Inhibit_Sync_Source_Number">'Registers &amp; Files'!$K$1291</definedName>
    <definedName name="Inhibit_Sync_Source_Number_val">'Data Formats'!$A$76</definedName>
    <definedName name="Inhibit_Sync_Source_Type">'Registers &amp; Files'!$K$1290</definedName>
    <definedName name="Inhibit_Sync_Source_Type_val">'Data Formats'!$A$69</definedName>
    <definedName name="Input_Inhibit">'Registers &amp; Files'!#REF!</definedName>
    <definedName name="Input_Inhibit_Source_Pointer">'Registers &amp; Files'!#REF!</definedName>
    <definedName name="Input_Inhibit_Source_Pointer_val">'Data Formats'!$A$59</definedName>
    <definedName name="Input_Inhibit_values">'Data Formats'!$A$10</definedName>
    <definedName name="Input_Object_Manual_Flag">'Registers &amp; Files'!$E$162</definedName>
    <definedName name="Input_Object_Manual_Flag_val">'Data Formats'!$A$28</definedName>
    <definedName name="Input_Object_State">'Registers &amp; Files'!$E$156</definedName>
    <definedName name="Input_Object_State_val">'Data Formats'!$A$16</definedName>
    <definedName name="Input_Pointers__val">'Data Formats'!#REF!</definedName>
    <definedName name="Input_Switch_Type">'Registers &amp; Files'!#REF!</definedName>
    <definedName name="Input_Switch_Type_val">'Data Formats'!#REF!</definedName>
    <definedName name="Input_Synchronization_Filter_val">'Data Formats'!$A$76</definedName>
    <definedName name="Input_Synchronization_Source_Pointer">'Registers &amp; Files'!#REF!</definedName>
    <definedName name="Input_Synchronization_Source_Pointer_val">'Data Formats'!$A$44</definedName>
    <definedName name="Input_Synchroniztion_Filter">'Registers &amp; Files'!#REF!</definedName>
    <definedName name="Input_Timer_Duration">'Registers &amp; Files'!$E$1015</definedName>
    <definedName name="Input_Timer_Duration_val">'Data Formats'!#REF!</definedName>
    <definedName name="Input_Timer_Inhibit">'Registers &amp; Files'!#REF!</definedName>
    <definedName name="Input_Timer_Inhibit_Source_Pointer">'Registers &amp; Files'!#REF!</definedName>
    <definedName name="Input_Timer_Inhibit_values">'Data Formats'!$A$13</definedName>
    <definedName name="Input_Timer_Type">'Registers &amp; Files'!$E$1014</definedName>
    <definedName name="Input_Timer_Type_val">'Data Formats'!$A$39</definedName>
    <definedName name="Input_Timer_Value">'Registers &amp; Files'!$E$566</definedName>
    <definedName name="Input_Timer_Value_val">'Data Formats'!#REF!</definedName>
    <definedName name="Input_Update_Flag">'Registers &amp; Files'!$E$158</definedName>
    <definedName name="Input_Update_Flag_val">'Data Formats'!$A$25</definedName>
    <definedName name="IP_Address_Defaults___TR_013_val">'Data Formats'!$A$498</definedName>
    <definedName name="Key_Press_Status">'Registers &amp; Files'!$E$632</definedName>
    <definedName name="Key_Press_Status_val">'Data Formats'!$A$367</definedName>
    <definedName name="Last_Event">'Registers &amp; Files'!$K$1350</definedName>
    <definedName name="Latched_Input_Control_State_Auto_values">'Data Formats'!$A$7</definedName>
    <definedName name="Latched_Input_State">'Registers &amp; Files'!#REF!</definedName>
    <definedName name="Latched_Input_State_Auto_values">'Data Formats'!$A$7</definedName>
    <definedName name="Latched_Input_State_Control_Auto">'Registers &amp; Files'!#REF!</definedName>
    <definedName name="Latched_Input_State_values">'Data Formats'!$A$3</definedName>
    <definedName name="Latitude">'Registers &amp; Files'!$E$1145</definedName>
    <definedName name="Latitude_val">'Data Formats'!$A$457</definedName>
    <definedName name="Learn_Mode_Enable">'Registers &amp; Files'!#REF!</definedName>
    <definedName name="Learn_Mode_Enable_val">'Data Formats'!#REF!</definedName>
    <definedName name="Local_Gateway_Address">'Registers &amp; Files'!$E$1165</definedName>
    <definedName name="Local_Gateway_Address_val">'Data Formats'!#REF!</definedName>
    <definedName name="Local_IP_Address">'Registers &amp; Files'!#REF!</definedName>
    <definedName name="Local_IP_Address_val">'Data Formats'!#REF!</definedName>
    <definedName name="Local_IP_Subnet_Mask_val">'Data Formats'!#REF!</definedName>
    <definedName name="Local_Subnet_Mask">'Registers &amp; Files'!$E$1164</definedName>
    <definedName name="Logic_Type">'Registers &amp; Files'!$K$1347</definedName>
    <definedName name="Longitude">'Registers &amp; Files'!$E$1146</definedName>
    <definedName name="Longitude_val">'Data Formats'!$A$462</definedName>
    <definedName name="Manufacturing_Information">'Registers &amp; Files'!$E$1134</definedName>
    <definedName name="Manufacturing_Information_val">'Data Formats'!$A$322</definedName>
    <definedName name="Master_Clock__SNTP">'Registers &amp; Files'!#REF!</definedName>
    <definedName name="Master_Clock_IP_Address__polling">'Registers &amp; Files'!#REF!</definedName>
    <definedName name="Master_Clock_IP_Port">'Registers &amp; Files'!#REF!</definedName>
    <definedName name="Master_Clock_IP_Port_val">'Data Formats'!#REF!</definedName>
    <definedName name="Master_Clock_polling_val">'Data Formats'!#REF!</definedName>
    <definedName name="Master_Clock_SNTP_val">'Data Formats'!#REF!</definedName>
    <definedName name="Member_List_Bus">'Registers &amp; Files'!$K$1356</definedName>
    <definedName name="Member_List_CBus">'Registers &amp; Files'!#REF!</definedName>
    <definedName name="Modbus_Diagnostics">'Registers &amp; Files'!$E$396</definedName>
    <definedName name="Modbus_Slave_Port_Communications_Mode">'Registers &amp; Files'!$E$1162</definedName>
    <definedName name="Modbus_Slave_Port_Communications_Mode_val">'Data Formats'!$A$474</definedName>
    <definedName name="Nametag">'Data Formats'!#REF!</definedName>
    <definedName name="No_Delay_Flag_val">'Data Formats'!#REF!</definedName>
    <definedName name="Non_Responding_Retry_val">'Data Formats'!#REF!</definedName>
    <definedName name="Of_Level_Source">'Registers &amp; Files'!$K$1537</definedName>
    <definedName name="Off_Level_Source">'Registers &amp; Files'!$K$1536</definedName>
    <definedName name="Off_Level_Source_Number">'Registers &amp; Files'!$K$1537</definedName>
    <definedName name="Off_Level_Source_Number_val">'Data Formats'!$A$729</definedName>
    <definedName name="Off_Level_Source_Type">'Registers &amp; Files'!$K$1536</definedName>
    <definedName name="Off_Level_Source_Type_val">'Data Formats'!$A$724</definedName>
    <definedName name="Off_Ramp_Rate_val">'Data Formats'!$A$737</definedName>
    <definedName name="Off_Rate">'Registers &amp; Files'!$K$1540</definedName>
    <definedName name="Offset__Minutes_val">'Data Formats'!$A$559</definedName>
    <definedName name="On_Level_Source">'Registers &amp; Files'!$K$1531</definedName>
    <definedName name="On_Level_Source_Number">'Registers &amp; Files'!$K$1532</definedName>
    <definedName name="On_Level_Source_Number_val">'Data Formats'!$A$699</definedName>
    <definedName name="On_Level_Source_Type_val">'Data Formats'!$A$694</definedName>
    <definedName name="On_Pulse_Time">'Registers &amp; Files'!#REF!</definedName>
    <definedName name="On_Ramp_Rate_val">'Data Formats'!$A$707</definedName>
    <definedName name="On_Rate">'Registers &amp; Files'!$K$1535</definedName>
    <definedName name="Override_Time_out_Duration_val">'Data Formats'!#REF!</definedName>
    <definedName name="Override_Time_out_Enable_val">'Data Formats'!#REF!</definedName>
    <definedName name="Override_Time_out_Value_val">'Data Formats'!#REF!</definedName>
    <definedName name="Override_Timer_Setpoint">'Registers &amp; Files'!$K$1353</definedName>
    <definedName name="Panel_Alias_val">'Data Formats'!$A$198</definedName>
    <definedName name="Panel_Component_val">'Data Formats'!$A$187</definedName>
    <definedName name="Panel_Increment">'Registers &amp; Files'!$K$1317</definedName>
    <definedName name="Panel_Increment_Sequence_val">'Data Formats'!$A$185</definedName>
    <definedName name="Panel_Length">'Registers &amp; Files'!$K$1313</definedName>
    <definedName name="Panel_Length_val">'Data Formats'!$A$175</definedName>
    <definedName name="Panel_Position_Alias">'Registers &amp; Files'!$K$1331</definedName>
    <definedName name="Panel_Position_Type">'Registers &amp; Files'!$K$1318</definedName>
    <definedName name="Panel_Reference_Number">'Registers &amp; Files'!$K$1316</definedName>
    <definedName name="Panel_Reference_Number_val">'Data Formats'!$A$183</definedName>
    <definedName name="Panel_Reference_Position">'Registers &amp; Files'!$K$1315</definedName>
    <definedName name="Panel_Reference_Position_val">'Data Formats'!$A$181</definedName>
    <definedName name="Panel_Width">'Registers &amp; Files'!$K$1314</definedName>
    <definedName name="Panel_Width_val">'Data Formats'!$A$177</definedName>
    <definedName name="Period">'Registers &amp; Files'!$K$1541</definedName>
    <definedName name="period_status_per_schedule">'Registers &amp; Files'!$K$1751</definedName>
    <definedName name="Period_Status_per_Schedule_val">'Data Formats'!$A$594</definedName>
    <definedName name="Port_2_Address">'Registers &amp; Files'!$E$1170</definedName>
    <definedName name="Port_2_Address_val">'Data Formats'!#REF!</definedName>
    <definedName name="Port_2_Baud_Rate">'Registers &amp; Files'!$E$1157</definedName>
    <definedName name="Port_2_Baud_Rate_val">'Data Formats'!$A$467</definedName>
    <definedName name="Port_2_Parity">'Registers &amp; Files'!$E$1158</definedName>
    <definedName name="Port_2_Parity_val">'Data Formats'!#REF!</definedName>
    <definedName name="Power_up_Counter">'Registers &amp; Files'!$E$625</definedName>
    <definedName name="Power_up_Counter_val">'Data Formats'!#REF!</definedName>
    <definedName name="_xlnm.Print_Area" localSheetId="1">'Data Formats'!$E$329:$E$344</definedName>
    <definedName name="_xlnm.Print_Titles" localSheetId="0">'Registers &amp; Files'!$1:$1</definedName>
    <definedName name="pulse_time_val">'Data Formats'!#REF!</definedName>
    <definedName name="Reset_Counter">'Registers &amp; Files'!$E$626</definedName>
    <definedName name="Reset_Counter_val">'Data Formats'!#REF!</definedName>
    <definedName name="Result_Code_Description_val">'Data Formats'!$A$850</definedName>
    <definedName name="Result_Codes">'Registers &amp; Files'!$K$1205</definedName>
    <definedName name="Sched_Periods">'Registers &amp; Files'!$K$1369</definedName>
    <definedName name="Sched_Periods_val">'Data Formats'!$A$584</definedName>
    <definedName name="schedule_output_status">'Registers &amp; Files'!#REF!</definedName>
    <definedName name="Schedule_Output_Status_val">'Data Formats'!$A$590</definedName>
    <definedName name="schedule_period_status">'Registers &amp; Files'!$K$1751</definedName>
    <definedName name="Self_Test_Bitmap">'Registers &amp; Files'!$E$621</definedName>
    <definedName name="Self_Test_Bitmap_val">'Data Formats'!$A$329</definedName>
    <definedName name="Source_Number">'Registers &amp; Files'!$K$1527</definedName>
    <definedName name="Source_Number_val">'Data Formats'!$A$677</definedName>
    <definedName name="Source_Pointer_Set">'Registers &amp; Files'!$K$1355</definedName>
    <definedName name="Source_Type">'Registers &amp; Files'!$K$1526</definedName>
    <definedName name="Source_Type_val">'Data Formats'!$A$668</definedName>
    <definedName name="special_day">'Registers &amp; Files'!$K$1390</definedName>
    <definedName name="Special_Day_Holiday_val">'Data Formats'!$A$651</definedName>
    <definedName name="special_day_of_month">'Registers &amp; Files'!$K$1414</definedName>
    <definedName name="special_day_of_week">'Registers &amp; Files'!$K$1411</definedName>
    <definedName name="Special_day_val">'Data Formats'!$A$579</definedName>
    <definedName name="Special_Day_x__Day_of_Month_val">'Data Formats'!$A$636</definedName>
    <definedName name="Special_Day_x__Day_of_Week_val">'Data Formats'!$A$625</definedName>
    <definedName name="Special_Day_x__Duration_val">'Data Formats'!$A$645</definedName>
    <definedName name="Special_Day_x__End_Day_val">'Data Formats'!$A$619</definedName>
    <definedName name="Special_Day_x__End_Month_val">'Data Formats'!$A$621</definedName>
    <definedName name="Special_Day_x__End_Year_val">'Data Formats'!$A$623</definedName>
    <definedName name="Special_Day_x__Month_of_Year_val">'Data Formats'!$A$634</definedName>
    <definedName name="Special_Day_x__Priority_val">'Data Formats'!$A$642</definedName>
    <definedName name="Special_Day_x__Repeat_Interval_val">'Data Formats'!$A$649</definedName>
    <definedName name="Special_Day_x__Repeat_Type_val">'Data Formats'!$A$599</definedName>
    <definedName name="Special_Day_x__Start_Day_val">'Data Formats'!$A$613</definedName>
    <definedName name="Special_Day_x__Start_Month_val">'Data Formats'!$A$615</definedName>
    <definedName name="Special_Day_x__Start_Year_val">'Data Formats'!$A$617</definedName>
    <definedName name="Special_Day_x__Thru_Day_val">'Data Formats'!$A$640</definedName>
    <definedName name="Special_Day_x__Thru_Month_val">'Data Formats'!$A$638</definedName>
    <definedName name="Special_Day_x__Week_of_Month_val">'Data Formats'!$A$627</definedName>
    <definedName name="special_days">'Registers &amp; Files'!$K$1390</definedName>
    <definedName name="special_duration">'Registers &amp; Files'!$K$1418</definedName>
    <definedName name="special_end_day">'Registers &amp; Files'!$K$1408</definedName>
    <definedName name="special_end_month">'Registers &amp; Files'!$K$1409</definedName>
    <definedName name="special_end_year">'Registers &amp; Files'!$K$1410</definedName>
    <definedName name="special_holiday">'Registers &amp; Files'!$K$1420</definedName>
    <definedName name="special_month_of_year">'Registers &amp; Files'!$K$1413</definedName>
    <definedName name="special_priority">'Registers &amp; Files'!$K$1417</definedName>
    <definedName name="special_repeat_interval">'Registers &amp; Files'!$K$1419</definedName>
    <definedName name="special_repeat_type">'Registers &amp; Files'!$K$1404</definedName>
    <definedName name="special_start_day">'Registers &amp; Files'!$K$1405</definedName>
    <definedName name="special_start_month">'Registers &amp; Files'!$K$1406</definedName>
    <definedName name="special_start_year">'Registers &amp; Files'!$K$1407</definedName>
    <definedName name="special_through_day">'Registers &amp; Files'!$K$1416</definedName>
    <definedName name="special_through_month">'Registers &amp; Files'!$K$1415</definedName>
    <definedName name="special_week_of_month">'Registers &amp; Files'!$K$1412</definedName>
    <definedName name="Stagger_Delay">'Registers &amp; Files'!$K$1116</definedName>
    <definedName name="Stagger_Delay_val">'Data Formats'!$A$314</definedName>
    <definedName name="start_hour" localSheetId="1">'Registers &amp; Files'!$K$1381</definedName>
    <definedName name="start_hour">'Registers &amp; Files'!$K$1381</definedName>
    <definedName name="start_minutes">'Registers &amp; Files'!$K$1382</definedName>
    <definedName name="start_offset">'Registers &amp; Files'!$K$1383</definedName>
    <definedName name="Start_Time_Hours_val">'Data Formats'!$A$551</definedName>
    <definedName name="Start_Time_Minutes_val">'Data Formats'!$A$556</definedName>
    <definedName name="Status_Feedback_Output_Pointer">'Registers &amp; Files'!#REF!</definedName>
    <definedName name="Status_Feedback_Output_Pointer_val">'Data Formats'!$A$111</definedName>
    <definedName name="status_ouput_source_bus">'Registers &amp; Files'!$K$1262</definedName>
    <definedName name="Status_Output_Source_Bus_val">'Data Formats'!$A$35</definedName>
    <definedName name="status_output_source_number">'Registers &amp; Files'!$K$1261</definedName>
    <definedName name="status_output_source_number_val">'Data Formats'!$A$32</definedName>
    <definedName name="Status_Output_Source_Number_Value">'Data Formats'!#REF!</definedName>
    <definedName name="status_output_source_type">'Registers &amp; Files'!$K$1260</definedName>
    <definedName name="Status_Output_Source_Value">'Data Formats'!$A$25</definedName>
    <definedName name="Sub_File_Default_Value_val">'Data Formats'!$A$781</definedName>
    <definedName name="Sub_File_Heartbeat_Interval_val">'Data Formats'!$A$776</definedName>
    <definedName name="Sub_File_Length_val">'Data Formats'!$A$773</definedName>
    <definedName name="Sub_File_Minimum_Interval_val">'Data Formats'!$A$778</definedName>
    <definedName name="Sub_File_Periodic_Publish_Interval_val">'Data Formats'!$A$779</definedName>
    <definedName name="Sub_File_Publish_to_Starting_Address_val">'Data Formats'!$A$775</definedName>
    <definedName name="Sub_File_Publisher_File_Number_val">'Data Formats'!$A$780</definedName>
    <definedName name="Sub_File_Publisher_IP_Address_val">'Data Formats'!$A$769</definedName>
    <definedName name="Sub_File_Publisher_Timeout_val">'Data Formats'!$A$777</definedName>
    <definedName name="Sub_File_Publisher_Unit_ID_val">'Data Formats'!$A$770</definedName>
    <definedName name="Sub_File_Subscribe_to_Starting_Address_val">'Data Formats'!$A$774</definedName>
    <definedName name="Sub_File_Subscription_Number_val">'Data Formats'!$A$771</definedName>
    <definedName name="Sub_File_Type_val">'Data Formats'!$A$772</definedName>
    <definedName name="Subscriber_File">'Registers &amp; Files'!#REF!</definedName>
    <definedName name="Subscription_Number_val">'Registers &amp; Files'!#REF!</definedName>
    <definedName name="Sync_Filter">'Registers &amp; Files'!$K$1288</definedName>
    <definedName name="Sync_Filter_val">'Data Formats'!$A$61</definedName>
    <definedName name="Sync_Invert">'Registers &amp; Files'!$K$1289</definedName>
    <definedName name="Sync_Invert_val">'Data Formats'!$A$66</definedName>
    <definedName name="Sync_Source_Bus">'Registers &amp; Files'!$K$1287</definedName>
    <definedName name="Sync_Source_Bus_val">'Data Formats'!$A$59</definedName>
    <definedName name="Sync_Source_Number">'Registers &amp; Files'!$K$1286</definedName>
    <definedName name="Sync_Source_Number_val">'Data Formats'!$A$51</definedName>
    <definedName name="Sync_Source_Type">'Registers &amp; Files'!$K$1285</definedName>
    <definedName name="Sync_Source_Type_val">'Data Formats'!$A$44</definedName>
    <definedName name="terminal_senor_scalar">'Registers &amp; Files'!$K$1259</definedName>
    <definedName name="terminal_sensor_offset">'Registers &amp; Files'!$K$1258</definedName>
    <definedName name="terminal_sensor_offset_val">'Data Formats'!$A$20</definedName>
    <definedName name="Terminal_Sensor_Scalar_val">'Data Formats'!$A$22</definedName>
    <definedName name="terminal_sensor_type">'Registers &amp; Files'!$K$1257</definedName>
    <definedName name="Terminal_Sensor_Type_Value">'Data Formats'!$A$15</definedName>
    <definedName name="terminal_switch_type">'Registers &amp; Files'!$K$1256</definedName>
    <definedName name="Terminal_Switch_Type_Value">'Data Formats'!$A$7</definedName>
    <definedName name="terminal_type">'Registers &amp; Files'!$K$1255</definedName>
    <definedName name="Terminal_Type_Value">'Data Formats'!$A$3</definedName>
    <definedName name="Time_Period_Status_Period">'Registers &amp; Files'!#REF!</definedName>
    <definedName name="Time_Period_Status_val">'Data Formats'!$A$127</definedName>
    <definedName name="Time_Zone_Reference">'Registers &amp; Files'!$E$1144</definedName>
    <definedName name="Time_Zone_Reference_val">'Data Formats'!$A$424</definedName>
    <definedName name="Timer__Sync_Filter">'Registers &amp; Files'!$K$1298</definedName>
    <definedName name="Timer__Sync_Filter_val">'Data Formats'!$A$111</definedName>
    <definedName name="Timer__Sync_Invert">'Registers &amp; Files'!$K$1299</definedName>
    <definedName name="Timer__Sync_Invert_val">'Data Formats'!$A$116</definedName>
    <definedName name="Timer_Inhibit_Source_Pointer_val">'Data Formats'!$A$66</definedName>
    <definedName name="Timer_Sync_Source_Bus">'Registers &amp; Files'!$K$1297</definedName>
    <definedName name="Timer_Sync_Source_Bus_val">'Data Formats'!$A$109</definedName>
    <definedName name="Timer_Sync_Source_Number">'Registers &amp; Files'!$K$1296</definedName>
    <definedName name="Timer_Sync_Source_Number_val">'Data Formats'!$A$101</definedName>
    <definedName name="Timer_Sync_Source_Type">'Registers &amp; Files'!$K$1295</definedName>
    <definedName name="Timer_Sync_Source_Type_val">'Data Formats'!$A$94</definedName>
    <definedName name="Total_Breaker_On_Time">'Registers &amp; Files'!#REF!</definedName>
    <definedName name="Truth_Table">'Registers &amp; Files'!$K$1348</definedName>
    <definedName name="Z_88E4F3D0_3DE8_11D4_B8C2_005004993F5D_.wvu.Cols" localSheetId="0" hidden="1">'Registers &amp; Files'!$H:$H,'Registers &amp; Files'!$P:$Q</definedName>
    <definedName name="Z_88E4F3D0_3DE8_11D4_B8C2_005004993F5D_.wvu.PrintTitles" localSheetId="1" hidden="1">'Data Formats'!#REF!</definedName>
    <definedName name="Z_88E4F3D0_3DE8_11D4_B8C2_005004993F5D_.wvu.PrintTitles" localSheetId="0" hidden="1">'Registers &amp; Files'!$1:$1</definedName>
    <definedName name="Z_88E4F3D0_3DE8_11D4_B8C2_005004993F5D_.wvu.Rows" localSheetId="0" hidden="1">'Registers &amp; Files'!$875:$904</definedName>
    <definedName name="Zone_Action_Priority_val">'Data Formats'!$A$240</definedName>
    <definedName name="Zone_Comms_Loss_Action_val">'Data Formats'!$A$228</definedName>
    <definedName name="Zone_Comms_Restore_Action_val">'Data Formats'!$A$234</definedName>
    <definedName name="Zone_Custom_Logic_Truth_Table_val">'Data Formats'!$A$209</definedName>
    <definedName name="Zone_Last_Event">'Data Formats'!$A$220</definedName>
    <definedName name="Zone_Logic_Type_val">'Data Formats'!$A$202</definedName>
    <definedName name="Zone_Member_List_Bus_val">'Data Formats'!$A$277</definedName>
    <definedName name="Zone_Member_List_CBus_val">'Data Formats'!#REF!</definedName>
    <definedName name="Zone_Source_Pointer_Number_val">'Data Formats'!$A$251</definedName>
    <definedName name="Zone_Source_Pointer_val">'Data Formats'!$A$244</definedName>
  </definedNames>
  <calcPr calcId="191029"/>
  <customWorkbookViews>
    <customWorkbookView name="rlm - Personal View" guid="{88E4F3D0-3DE8-11D4-B8C2-005004993F5D}" mergeInterval="0" personalView="1" maximized="1" windowWidth="1539" windowHeight="1037"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25" i="2" l="1"/>
  <c r="I626" i="2"/>
  <c r="I627" i="2"/>
  <c r="C146" i="2"/>
  <c r="I146" i="2"/>
  <c r="C148" i="2"/>
  <c r="I148" i="2"/>
  <c r="C150" i="2"/>
  <c r="I150" i="2"/>
  <c r="C152" i="2"/>
  <c r="I152" i="2"/>
  <c r="G993" i="2"/>
  <c r="I993" i="2" s="1"/>
  <c r="G992" i="2"/>
  <c r="I992" i="2" s="1"/>
  <c r="G991" i="2"/>
  <c r="I991" i="2" s="1"/>
  <c r="G990" i="2"/>
  <c r="I990" i="2" s="1"/>
  <c r="I989" i="2"/>
  <c r="G989" i="2"/>
  <c r="G988" i="2"/>
  <c r="I988" i="2" s="1"/>
  <c r="G987" i="2"/>
  <c r="I987" i="2" s="1"/>
  <c r="G986" i="2"/>
  <c r="I986" i="2" s="1"/>
  <c r="I985" i="2"/>
  <c r="G985" i="2"/>
  <c r="G984" i="2"/>
  <c r="I984" i="2" s="1"/>
  <c r="G983" i="2"/>
  <c r="I983" i="2" s="1"/>
  <c r="G982" i="2"/>
  <c r="I982" i="2" s="1"/>
  <c r="I981" i="2"/>
  <c r="G981" i="2"/>
  <c r="G980" i="2"/>
  <c r="I980" i="2" s="1"/>
  <c r="G979" i="2"/>
  <c r="I979" i="2" s="1"/>
  <c r="G978" i="2"/>
  <c r="I978" i="2" s="1"/>
  <c r="B977" i="2"/>
  <c r="I43" i="2"/>
  <c r="C43" i="2"/>
  <c r="B42" i="2"/>
  <c r="I41" i="2"/>
  <c r="C41" i="2"/>
  <c r="B40" i="2"/>
  <c r="G908" i="2"/>
  <c r="I908" i="2"/>
  <c r="G907" i="2"/>
  <c r="I907" i="2" s="1"/>
  <c r="G906" i="2"/>
  <c r="I906" i="2"/>
  <c r="G905" i="2"/>
  <c r="I905" i="2"/>
  <c r="G904" i="2"/>
  <c r="I904" i="2"/>
  <c r="G903" i="2"/>
  <c r="I903" i="2"/>
  <c r="G902" i="2"/>
  <c r="I902" i="2"/>
  <c r="G901" i="2"/>
  <c r="I901" i="2"/>
  <c r="G900" i="2"/>
  <c r="I900" i="2"/>
  <c r="G899" i="2"/>
  <c r="I899" i="2"/>
  <c r="G898" i="2"/>
  <c r="I898" i="2"/>
  <c r="G897" i="2"/>
  <c r="I897" i="2"/>
  <c r="G896" i="2"/>
  <c r="I896" i="2"/>
  <c r="G895" i="2"/>
  <c r="I895" i="2"/>
  <c r="G894" i="2"/>
  <c r="I894" i="2"/>
  <c r="G893" i="2"/>
  <c r="I893" i="2"/>
  <c r="B161" i="2"/>
  <c r="I1136" i="2"/>
  <c r="B8" i="2"/>
  <c r="C9" i="2"/>
  <c r="I9" i="2"/>
  <c r="B10" i="2"/>
  <c r="I11" i="2"/>
  <c r="B12" i="2"/>
  <c r="C13" i="2"/>
  <c r="I13" i="2"/>
  <c r="B14" i="2"/>
  <c r="C15" i="2"/>
  <c r="I15" i="2"/>
  <c r="B16" i="2"/>
  <c r="C17" i="2"/>
  <c r="I17" i="2"/>
  <c r="B18" i="2"/>
  <c r="C19" i="2"/>
  <c r="I19" i="2"/>
  <c r="B20" i="2"/>
  <c r="C21" i="2"/>
  <c r="I21" i="2"/>
  <c r="B22" i="2"/>
  <c r="C23" i="2"/>
  <c r="I23" i="2"/>
  <c r="B24" i="2"/>
  <c r="C25" i="2"/>
  <c r="I25" i="2"/>
  <c r="B26" i="2"/>
  <c r="C27" i="2"/>
  <c r="I27" i="2"/>
  <c r="B28" i="2"/>
  <c r="C29" i="2"/>
  <c r="I29" i="2"/>
  <c r="B30" i="2"/>
  <c r="C31" i="2"/>
  <c r="I31" i="2"/>
  <c r="B32" i="2"/>
  <c r="C33" i="2"/>
  <c r="I33" i="2"/>
  <c r="B34" i="2"/>
  <c r="C35" i="2"/>
  <c r="I35" i="2"/>
  <c r="B36" i="2"/>
  <c r="C37" i="2"/>
  <c r="I37" i="2"/>
  <c r="B38" i="2"/>
  <c r="C39" i="2"/>
  <c r="I39" i="2"/>
  <c r="B44" i="2"/>
  <c r="C45" i="2"/>
  <c r="B46" i="2" s="1"/>
  <c r="C46" i="2" s="1"/>
  <c r="B47" i="2" s="1"/>
  <c r="C47" i="2" s="1"/>
  <c r="B48" i="2" s="1"/>
  <c r="C48" i="2" s="1"/>
  <c r="B49" i="2" s="1"/>
  <c r="C49" i="2" s="1"/>
  <c r="B50" i="2" s="1"/>
  <c r="C50" i="2" s="1"/>
  <c r="I45" i="2"/>
  <c r="I46" i="2"/>
  <c r="I47" i="2"/>
  <c r="I48" i="2"/>
  <c r="I49" i="2"/>
  <c r="I50" i="2"/>
  <c r="B51" i="2"/>
  <c r="B57" i="2"/>
  <c r="C58" i="2"/>
  <c r="B59" i="2" s="1"/>
  <c r="C59" i="2" s="1"/>
  <c r="B60" i="2" s="1"/>
  <c r="C60" i="2" s="1"/>
  <c r="B61" i="2" s="1"/>
  <c r="C61" i="2" s="1"/>
  <c r="B62" i="2" s="1"/>
  <c r="C62" i="2" s="1"/>
  <c r="B63" i="2" s="1"/>
  <c r="C63" i="2" s="1"/>
  <c r="B64" i="2" s="1"/>
  <c r="C64" i="2" s="1"/>
  <c r="B65" i="2" s="1"/>
  <c r="C65" i="2" s="1"/>
  <c r="B66" i="2" s="1"/>
  <c r="C66" i="2" s="1"/>
  <c r="B67" i="2" s="1"/>
  <c r="C67" i="2" s="1"/>
  <c r="B68" i="2" s="1"/>
  <c r="C68" i="2" s="1"/>
  <c r="B69" i="2" s="1"/>
  <c r="C69" i="2" s="1"/>
  <c r="B70" i="2" s="1"/>
  <c r="C70" i="2" s="1"/>
  <c r="B71" i="2" s="1"/>
  <c r="C71" i="2" s="1"/>
  <c r="B72" i="2" s="1"/>
  <c r="C72" i="2" s="1"/>
  <c r="B73" i="2" s="1"/>
  <c r="C73" i="2" s="1"/>
  <c r="I58" i="2"/>
  <c r="I59" i="2"/>
  <c r="I60" i="2"/>
  <c r="I61" i="2"/>
  <c r="I62" i="2"/>
  <c r="I63" i="2"/>
  <c r="I64" i="2"/>
  <c r="I65" i="2"/>
  <c r="I66" i="2"/>
  <c r="I67" i="2"/>
  <c r="I68" i="2"/>
  <c r="I69" i="2"/>
  <c r="I70" i="2"/>
  <c r="I71" i="2"/>
  <c r="I72" i="2"/>
  <c r="I73" i="2"/>
  <c r="B74" i="2"/>
  <c r="C75" i="2"/>
  <c r="B76" i="2" s="1"/>
  <c r="C76" i="2" s="1"/>
  <c r="B77" i="2" s="1"/>
  <c r="C77" i="2" s="1"/>
  <c r="B78" i="2" s="1"/>
  <c r="C78" i="2" s="1"/>
  <c r="B79" i="2" s="1"/>
  <c r="C79" i="2" s="1"/>
  <c r="B80" i="2" s="1"/>
  <c r="C80" i="2" s="1"/>
  <c r="B81" i="2" s="1"/>
  <c r="C81" i="2" s="1"/>
  <c r="B82" i="2" s="1"/>
  <c r="C82" i="2" s="1"/>
  <c r="B83" i="2" s="1"/>
  <c r="C83" i="2" s="1"/>
  <c r="B84" i="2" s="1"/>
  <c r="C84" i="2" s="1"/>
  <c r="B85" i="2" s="1"/>
  <c r="C85" i="2" s="1"/>
  <c r="B86" i="2" s="1"/>
  <c r="C86" i="2" s="1"/>
  <c r="B87" i="2" s="1"/>
  <c r="C87" i="2" s="1"/>
  <c r="B88" i="2" s="1"/>
  <c r="C88" i="2" s="1"/>
  <c r="B89" i="2" s="1"/>
  <c r="C89" i="2" s="1"/>
  <c r="B90" i="2" s="1"/>
  <c r="C90" i="2" s="1"/>
  <c r="I75" i="2"/>
  <c r="I76" i="2"/>
  <c r="I77" i="2"/>
  <c r="I78" i="2"/>
  <c r="I79" i="2"/>
  <c r="I80" i="2"/>
  <c r="I81" i="2"/>
  <c r="I82" i="2"/>
  <c r="I83" i="2"/>
  <c r="I84" i="2"/>
  <c r="I85" i="2"/>
  <c r="I86" i="2"/>
  <c r="I87" i="2"/>
  <c r="I88" i="2"/>
  <c r="I89" i="2"/>
  <c r="I90" i="2"/>
  <c r="B91" i="2"/>
  <c r="C92" i="2"/>
  <c r="B93" i="2" s="1"/>
  <c r="C93" i="2" s="1"/>
  <c r="B94" i="2" s="1"/>
  <c r="C94" i="2" s="1"/>
  <c r="B95" i="2" s="1"/>
  <c r="C95" i="2" s="1"/>
  <c r="B96" i="2" s="1"/>
  <c r="C96" i="2" s="1"/>
  <c r="B97" i="2" s="1"/>
  <c r="C97" i="2" s="1"/>
  <c r="B98" i="2" s="1"/>
  <c r="C98" i="2" s="1"/>
  <c r="B99" i="2" s="1"/>
  <c r="C99" i="2" s="1"/>
  <c r="B100" i="2" s="1"/>
  <c r="C100" i="2" s="1"/>
  <c r="B101" i="2" s="1"/>
  <c r="C101" i="2" s="1"/>
  <c r="B102" i="2" s="1"/>
  <c r="C102" i="2" s="1"/>
  <c r="B103" i="2" s="1"/>
  <c r="C103" i="2" s="1"/>
  <c r="B104" i="2" s="1"/>
  <c r="C104" i="2" s="1"/>
  <c r="B105" i="2" s="1"/>
  <c r="C105" i="2" s="1"/>
  <c r="B106" i="2" s="1"/>
  <c r="C106" i="2" s="1"/>
  <c r="B107" i="2" s="1"/>
  <c r="C107" i="2" s="1"/>
  <c r="I92" i="2"/>
  <c r="I93" i="2"/>
  <c r="I94" i="2"/>
  <c r="I95" i="2"/>
  <c r="I96" i="2"/>
  <c r="I97" i="2"/>
  <c r="I98" i="2"/>
  <c r="I99" i="2"/>
  <c r="I100" i="2"/>
  <c r="I101" i="2"/>
  <c r="I102" i="2"/>
  <c r="I103" i="2"/>
  <c r="I104" i="2"/>
  <c r="I105" i="2"/>
  <c r="I106" i="2"/>
  <c r="I107" i="2"/>
  <c r="B108" i="2"/>
  <c r="C109" i="2"/>
  <c r="B110" i="2" s="1"/>
  <c r="C110" i="2" s="1"/>
  <c r="B111" i="2" s="1"/>
  <c r="C111" i="2" s="1"/>
  <c r="B112" i="2" s="1"/>
  <c r="C112" i="2" s="1"/>
  <c r="B113" i="2" s="1"/>
  <c r="C113" i="2" s="1"/>
  <c r="B114" i="2" s="1"/>
  <c r="C114" i="2" s="1"/>
  <c r="B115" i="2" s="1"/>
  <c r="C115" i="2" s="1"/>
  <c r="B116" i="2" s="1"/>
  <c r="C116" i="2" s="1"/>
  <c r="B117" i="2" s="1"/>
  <c r="C117" i="2" s="1"/>
  <c r="B118" i="2" s="1"/>
  <c r="C118" i="2" s="1"/>
  <c r="B119" i="2" s="1"/>
  <c r="C119" i="2" s="1"/>
  <c r="B120" i="2" s="1"/>
  <c r="C120" i="2" s="1"/>
  <c r="B121" i="2" s="1"/>
  <c r="C121" i="2" s="1"/>
  <c r="B122" i="2" s="1"/>
  <c r="C122" i="2" s="1"/>
  <c r="B123" i="2" s="1"/>
  <c r="C123" i="2" s="1"/>
  <c r="B124" i="2" s="1"/>
  <c r="C124" i="2" s="1"/>
  <c r="I109" i="2"/>
  <c r="I110" i="2"/>
  <c r="I111" i="2"/>
  <c r="I112" i="2"/>
  <c r="I113" i="2"/>
  <c r="I114" i="2"/>
  <c r="I115" i="2"/>
  <c r="I116" i="2"/>
  <c r="I117" i="2"/>
  <c r="I118" i="2"/>
  <c r="I119" i="2"/>
  <c r="I120" i="2"/>
  <c r="I121" i="2"/>
  <c r="I122" i="2"/>
  <c r="I123" i="2"/>
  <c r="I124" i="2"/>
  <c r="B125" i="2"/>
  <c r="C126" i="2"/>
  <c r="I126" i="2"/>
  <c r="B127" i="2"/>
  <c r="C128" i="2"/>
  <c r="I128" i="2"/>
  <c r="C130" i="2"/>
  <c r="I130" i="2"/>
  <c r="B131" i="2"/>
  <c r="B129" i="2" s="1"/>
  <c r="C132" i="2"/>
  <c r="I132" i="2"/>
  <c r="C134" i="2"/>
  <c r="I134" i="2"/>
  <c r="B135" i="2"/>
  <c r="B133" i="2"/>
  <c r="C136" i="2"/>
  <c r="I136" i="2"/>
  <c r="B137" i="2"/>
  <c r="C138" i="2"/>
  <c r="I138" i="2"/>
  <c r="B139" i="2"/>
  <c r="C140" i="2"/>
  <c r="I140" i="2"/>
  <c r="B143" i="2"/>
  <c r="C144" i="2"/>
  <c r="I144" i="2"/>
  <c r="B145" i="2"/>
  <c r="B147" i="2"/>
  <c r="B149" i="2"/>
  <c r="B151" i="2"/>
  <c r="B153" i="2"/>
  <c r="C154" i="2"/>
  <c r="I154" i="2"/>
  <c r="B155" i="2"/>
  <c r="C156" i="2"/>
  <c r="I156" i="2"/>
  <c r="B157" i="2"/>
  <c r="C158" i="2"/>
  <c r="I158" i="2"/>
  <c r="B159" i="2"/>
  <c r="C160" i="2"/>
  <c r="I160" i="2"/>
  <c r="C162" i="2"/>
  <c r="I162" i="2"/>
  <c r="B163" i="2"/>
  <c r="C164" i="2"/>
  <c r="I164" i="2"/>
  <c r="B165" i="2"/>
  <c r="C166" i="2"/>
  <c r="I166" i="2"/>
  <c r="B167" i="2"/>
  <c r="C168" i="2"/>
  <c r="I168" i="2"/>
  <c r="B169" i="2"/>
  <c r="C170" i="2"/>
  <c r="I170" i="2"/>
  <c r="B171" i="2"/>
  <c r="C172" i="2"/>
  <c r="I172" i="2"/>
  <c r="B173" i="2"/>
  <c r="C174" i="2"/>
  <c r="I174" i="2"/>
  <c r="B175" i="2"/>
  <c r="C176" i="2"/>
  <c r="I176" i="2"/>
  <c r="B177" i="2"/>
  <c r="C178" i="2"/>
  <c r="I178" i="2"/>
  <c r="B179" i="2"/>
  <c r="C180" i="2"/>
  <c r="B181" i="2"/>
  <c r="C181" i="2" s="1"/>
  <c r="B182" i="2" s="1"/>
  <c r="C182" i="2" s="1"/>
  <c r="I180" i="2"/>
  <c r="I181" i="2"/>
  <c r="I182" i="2"/>
  <c r="B183" i="2"/>
  <c r="C184" i="2"/>
  <c r="I184" i="2"/>
  <c r="B185" i="2"/>
  <c r="C186" i="2"/>
  <c r="B187" i="2"/>
  <c r="C188" i="2"/>
  <c r="I188" i="2"/>
  <c r="B189" i="2"/>
  <c r="C190" i="2"/>
  <c r="I190" i="2"/>
  <c r="B191" i="2"/>
  <c r="C192" i="2"/>
  <c r="I192" i="2"/>
  <c r="B193" i="2"/>
  <c r="C194" i="2"/>
  <c r="B195" i="2" s="1"/>
  <c r="C195" i="2" s="1"/>
  <c r="B196" i="2" s="1"/>
  <c r="C196" i="2" s="1"/>
  <c r="B197" i="2" s="1"/>
  <c r="C197" i="2" s="1"/>
  <c r="B198" i="2" s="1"/>
  <c r="C198" i="2" s="1"/>
  <c r="B199" i="2" s="1"/>
  <c r="C199" i="2" s="1"/>
  <c r="B200" i="2" s="1"/>
  <c r="C200" i="2" s="1"/>
  <c r="B201" i="2" s="1"/>
  <c r="C201" i="2" s="1"/>
  <c r="B202" i="2" s="1"/>
  <c r="C202" i="2" s="1"/>
  <c r="B203" i="2" s="1"/>
  <c r="C203" i="2" s="1"/>
  <c r="B204" i="2" s="1"/>
  <c r="C204" i="2" s="1"/>
  <c r="B205" i="2" s="1"/>
  <c r="C205" i="2" s="1"/>
  <c r="B206" i="2" s="1"/>
  <c r="C206" i="2" s="1"/>
  <c r="B207" i="2" s="1"/>
  <c r="C207" i="2" s="1"/>
  <c r="B208" i="2" s="1"/>
  <c r="C208" i="2" s="1"/>
  <c r="B209" i="2" s="1"/>
  <c r="C209" i="2" s="1"/>
  <c r="I194" i="2"/>
  <c r="I195" i="2"/>
  <c r="I196" i="2"/>
  <c r="I197" i="2"/>
  <c r="I198" i="2"/>
  <c r="I199" i="2"/>
  <c r="I200" i="2"/>
  <c r="I201" i="2"/>
  <c r="I202" i="2"/>
  <c r="I203" i="2"/>
  <c r="I204" i="2"/>
  <c r="I205" i="2"/>
  <c r="I206" i="2"/>
  <c r="I207" i="2"/>
  <c r="I208" i="2"/>
  <c r="I209" i="2"/>
  <c r="B210" i="2"/>
  <c r="C211" i="2"/>
  <c r="B212" i="2" s="1"/>
  <c r="C212" i="2" s="1"/>
  <c r="B213" i="2" s="1"/>
  <c r="C213" i="2" s="1"/>
  <c r="B214" i="2" s="1"/>
  <c r="C214" i="2" s="1"/>
  <c r="B215" i="2" s="1"/>
  <c r="C215" i="2" s="1"/>
  <c r="B216" i="2" s="1"/>
  <c r="C216" i="2" s="1"/>
  <c r="B217" i="2" s="1"/>
  <c r="C217" i="2" s="1"/>
  <c r="B218" i="2" s="1"/>
  <c r="C218" i="2" s="1"/>
  <c r="B219" i="2" s="1"/>
  <c r="C219" i="2" s="1"/>
  <c r="B220" i="2" s="1"/>
  <c r="C220" i="2" s="1"/>
  <c r="B221" i="2" s="1"/>
  <c r="C221" i="2" s="1"/>
  <c r="B222" i="2" s="1"/>
  <c r="C222" i="2" s="1"/>
  <c r="B223" i="2" s="1"/>
  <c r="C223" i="2" s="1"/>
  <c r="B224" i="2" s="1"/>
  <c r="C224" i="2" s="1"/>
  <c r="B225" i="2" s="1"/>
  <c r="C225" i="2" s="1"/>
  <c r="B226" i="2" s="1"/>
  <c r="C226" i="2" s="1"/>
  <c r="I211" i="2"/>
  <c r="I212" i="2"/>
  <c r="I213" i="2"/>
  <c r="I214" i="2"/>
  <c r="I215" i="2"/>
  <c r="I216" i="2"/>
  <c r="I217" i="2"/>
  <c r="I218" i="2"/>
  <c r="I219" i="2"/>
  <c r="I220" i="2"/>
  <c r="I221" i="2"/>
  <c r="I222" i="2"/>
  <c r="I223" i="2"/>
  <c r="I224" i="2"/>
  <c r="I225" i="2"/>
  <c r="I226" i="2"/>
  <c r="B227" i="2"/>
  <c r="C228" i="2"/>
  <c r="B229" i="2" s="1"/>
  <c r="C229" i="2" s="1"/>
  <c r="B230" i="2" s="1"/>
  <c r="C230" i="2" s="1"/>
  <c r="B231" i="2" s="1"/>
  <c r="C231" i="2" s="1"/>
  <c r="B232" i="2" s="1"/>
  <c r="C232" i="2" s="1"/>
  <c r="B233" i="2" s="1"/>
  <c r="C233" i="2" s="1"/>
  <c r="B234" i="2" s="1"/>
  <c r="C234" i="2" s="1"/>
  <c r="B235" i="2" s="1"/>
  <c r="C235" i="2" s="1"/>
  <c r="B236" i="2" s="1"/>
  <c r="C236" i="2" s="1"/>
  <c r="B237" i="2" s="1"/>
  <c r="C237" i="2" s="1"/>
  <c r="B238" i="2" s="1"/>
  <c r="C238" i="2" s="1"/>
  <c r="B239" i="2" s="1"/>
  <c r="C239" i="2" s="1"/>
  <c r="B240" i="2" s="1"/>
  <c r="C240" i="2" s="1"/>
  <c r="B241" i="2" s="1"/>
  <c r="C241" i="2" s="1"/>
  <c r="B242" i="2" s="1"/>
  <c r="C242" i="2" s="1"/>
  <c r="B243" i="2" s="1"/>
  <c r="C243" i="2" s="1"/>
  <c r="I228" i="2"/>
  <c r="I229" i="2"/>
  <c r="I230" i="2"/>
  <c r="I231" i="2"/>
  <c r="I232" i="2"/>
  <c r="I233" i="2"/>
  <c r="I234" i="2"/>
  <c r="I235" i="2"/>
  <c r="I236" i="2"/>
  <c r="I237" i="2"/>
  <c r="I238" i="2"/>
  <c r="I239" i="2"/>
  <c r="I240" i="2"/>
  <c r="I241" i="2"/>
  <c r="I242" i="2"/>
  <c r="I243" i="2"/>
  <c r="B244" i="2"/>
  <c r="C245" i="2"/>
  <c r="B246" i="2" s="1"/>
  <c r="C246" i="2" s="1"/>
  <c r="B247" i="2" s="1"/>
  <c r="C247" i="2" s="1"/>
  <c r="B248" i="2" s="1"/>
  <c r="C248" i="2" s="1"/>
  <c r="B249" i="2" s="1"/>
  <c r="C249" i="2" s="1"/>
  <c r="B250" i="2" s="1"/>
  <c r="C250" i="2" s="1"/>
  <c r="B251" i="2" s="1"/>
  <c r="C251" i="2" s="1"/>
  <c r="B252" i="2" s="1"/>
  <c r="C252" i="2" s="1"/>
  <c r="B253" i="2" s="1"/>
  <c r="C253" i="2" s="1"/>
  <c r="B254" i="2" s="1"/>
  <c r="C254" i="2" s="1"/>
  <c r="B255" i="2" s="1"/>
  <c r="C255" i="2" s="1"/>
  <c r="B256" i="2" s="1"/>
  <c r="C256" i="2" s="1"/>
  <c r="B257" i="2" s="1"/>
  <c r="C257" i="2" s="1"/>
  <c r="B258" i="2" s="1"/>
  <c r="C258" i="2" s="1"/>
  <c r="B259" i="2" s="1"/>
  <c r="C259" i="2" s="1"/>
  <c r="B260" i="2" s="1"/>
  <c r="C260" i="2" s="1"/>
  <c r="I245" i="2"/>
  <c r="I246" i="2"/>
  <c r="I247" i="2"/>
  <c r="I248" i="2"/>
  <c r="I249" i="2"/>
  <c r="I250" i="2"/>
  <c r="I251" i="2"/>
  <c r="I252" i="2"/>
  <c r="I253" i="2"/>
  <c r="I254" i="2"/>
  <c r="I255" i="2"/>
  <c r="I256" i="2"/>
  <c r="I257" i="2"/>
  <c r="I258" i="2"/>
  <c r="I259" i="2"/>
  <c r="I260" i="2"/>
  <c r="B261" i="2"/>
  <c r="C262" i="2"/>
  <c r="B263" i="2" s="1"/>
  <c r="C263" i="2" s="1"/>
  <c r="B264" i="2" s="1"/>
  <c r="C264" i="2" s="1"/>
  <c r="B265" i="2" s="1"/>
  <c r="C265" i="2" s="1"/>
  <c r="B266" i="2" s="1"/>
  <c r="C266" i="2" s="1"/>
  <c r="B267" i="2" s="1"/>
  <c r="C267" i="2" s="1"/>
  <c r="B268" i="2" s="1"/>
  <c r="C268" i="2" s="1"/>
  <c r="B269" i="2" s="1"/>
  <c r="C269" i="2" s="1"/>
  <c r="B270" i="2" s="1"/>
  <c r="C270" i="2" s="1"/>
  <c r="B271" i="2" s="1"/>
  <c r="C271" i="2" s="1"/>
  <c r="B272" i="2" s="1"/>
  <c r="C272" i="2" s="1"/>
  <c r="B273" i="2" s="1"/>
  <c r="C273" i="2" s="1"/>
  <c r="B274" i="2" s="1"/>
  <c r="C274" i="2" s="1"/>
  <c r="B275" i="2" s="1"/>
  <c r="C275" i="2" s="1"/>
  <c r="B276" i="2" s="1"/>
  <c r="C276" i="2" s="1"/>
  <c r="B277" i="2" s="1"/>
  <c r="C277" i="2" s="1"/>
  <c r="I262" i="2"/>
  <c r="I263" i="2"/>
  <c r="I264" i="2"/>
  <c r="I265" i="2"/>
  <c r="I266" i="2"/>
  <c r="I267" i="2"/>
  <c r="I268" i="2"/>
  <c r="I269" i="2"/>
  <c r="I270" i="2"/>
  <c r="I271" i="2"/>
  <c r="I272" i="2"/>
  <c r="I273" i="2"/>
  <c r="I274" i="2"/>
  <c r="I275" i="2"/>
  <c r="I276" i="2"/>
  <c r="I277" i="2"/>
  <c r="B278" i="2"/>
  <c r="C279" i="2"/>
  <c r="B280" i="2" s="1"/>
  <c r="C280" i="2" s="1"/>
  <c r="B281" i="2" s="1"/>
  <c r="C281" i="2" s="1"/>
  <c r="B282" i="2" s="1"/>
  <c r="C282" i="2" s="1"/>
  <c r="B283" i="2" s="1"/>
  <c r="C283" i="2" s="1"/>
  <c r="B284" i="2" s="1"/>
  <c r="C284" i="2" s="1"/>
  <c r="B285" i="2" s="1"/>
  <c r="C285" i="2" s="1"/>
  <c r="B286" i="2" s="1"/>
  <c r="C286" i="2" s="1"/>
  <c r="B287" i="2" s="1"/>
  <c r="C287" i="2" s="1"/>
  <c r="B288" i="2" s="1"/>
  <c r="C288" i="2" s="1"/>
  <c r="B289" i="2" s="1"/>
  <c r="C289" i="2" s="1"/>
  <c r="B290" i="2" s="1"/>
  <c r="C290" i="2" s="1"/>
  <c r="B291" i="2" s="1"/>
  <c r="C291" i="2" s="1"/>
  <c r="B292" i="2" s="1"/>
  <c r="C292" i="2" s="1"/>
  <c r="B293" i="2" s="1"/>
  <c r="C293" i="2" s="1"/>
  <c r="B294" i="2" s="1"/>
  <c r="C294" i="2" s="1"/>
  <c r="I279" i="2"/>
  <c r="I280" i="2"/>
  <c r="I281" i="2"/>
  <c r="I282" i="2"/>
  <c r="I283" i="2"/>
  <c r="I284" i="2"/>
  <c r="I285" i="2"/>
  <c r="I286" i="2"/>
  <c r="I287" i="2"/>
  <c r="I288" i="2"/>
  <c r="I289" i="2"/>
  <c r="I290" i="2"/>
  <c r="I291" i="2"/>
  <c r="I292" i="2"/>
  <c r="I293" i="2"/>
  <c r="I294" i="2"/>
  <c r="B295" i="2"/>
  <c r="C296" i="2"/>
  <c r="B297" i="2" s="1"/>
  <c r="C297" i="2" s="1"/>
  <c r="B298" i="2" s="1"/>
  <c r="C298" i="2" s="1"/>
  <c r="B299" i="2" s="1"/>
  <c r="C299" i="2" s="1"/>
  <c r="B300" i="2" s="1"/>
  <c r="C300" i="2" s="1"/>
  <c r="B301" i="2" s="1"/>
  <c r="C301" i="2" s="1"/>
  <c r="B302" i="2" s="1"/>
  <c r="C302" i="2" s="1"/>
  <c r="B303" i="2" s="1"/>
  <c r="C303" i="2" s="1"/>
  <c r="B304" i="2" s="1"/>
  <c r="C304" i="2" s="1"/>
  <c r="B305" i="2" s="1"/>
  <c r="C305" i="2" s="1"/>
  <c r="B306" i="2" s="1"/>
  <c r="C306" i="2" s="1"/>
  <c r="B307" i="2" s="1"/>
  <c r="C307" i="2" s="1"/>
  <c r="B308" i="2" s="1"/>
  <c r="C308" i="2" s="1"/>
  <c r="B309" i="2" s="1"/>
  <c r="C309" i="2" s="1"/>
  <c r="B310" i="2" s="1"/>
  <c r="C310" i="2" s="1"/>
  <c r="B311" i="2" s="1"/>
  <c r="C311" i="2" s="1"/>
  <c r="I296" i="2"/>
  <c r="I297" i="2"/>
  <c r="I298" i="2"/>
  <c r="I299" i="2"/>
  <c r="I300" i="2"/>
  <c r="I301" i="2"/>
  <c r="I302" i="2"/>
  <c r="I303" i="2"/>
  <c r="I304" i="2"/>
  <c r="I305" i="2"/>
  <c r="I306" i="2"/>
  <c r="I307" i="2"/>
  <c r="I308" i="2"/>
  <c r="I309" i="2"/>
  <c r="I310" i="2"/>
  <c r="I311" i="2"/>
  <c r="B312" i="2"/>
  <c r="C313" i="2"/>
  <c r="I313" i="2"/>
  <c r="B314" i="2"/>
  <c r="C315" i="2"/>
  <c r="I315" i="2"/>
  <c r="B316" i="2"/>
  <c r="C317" i="2"/>
  <c r="I317" i="2"/>
  <c r="B318" i="2"/>
  <c r="C319" i="2"/>
  <c r="I319" i="2"/>
  <c r="B320" i="2"/>
  <c r="C321" i="2"/>
  <c r="I321" i="2"/>
  <c r="F322" i="2"/>
  <c r="F323" i="2" s="1"/>
  <c r="G322" i="2"/>
  <c r="B329" i="2"/>
  <c r="C330" i="2"/>
  <c r="J330" i="2" s="1"/>
  <c r="I330" i="2"/>
  <c r="I995" i="2" s="1"/>
  <c r="I332" i="2"/>
  <c r="I334" i="2"/>
  <c r="I335" i="2"/>
  <c r="I336" i="2"/>
  <c r="I337" i="2"/>
  <c r="I338" i="2"/>
  <c r="I339" i="2"/>
  <c r="I340" i="2"/>
  <c r="I341" i="2"/>
  <c r="I342" i="2"/>
  <c r="I343" i="2"/>
  <c r="I344" i="2"/>
  <c r="I345" i="2"/>
  <c r="I346" i="2"/>
  <c r="I347" i="2"/>
  <c r="I348" i="2"/>
  <c r="I349" i="2"/>
  <c r="I351" i="2"/>
  <c r="I352" i="2"/>
  <c r="I353" i="2"/>
  <c r="I354" i="2"/>
  <c r="I355" i="2"/>
  <c r="I356" i="2"/>
  <c r="I357" i="2"/>
  <c r="I358" i="2"/>
  <c r="I359" i="2"/>
  <c r="I360" i="2"/>
  <c r="I361" i="2"/>
  <c r="I362" i="2"/>
  <c r="I363" i="2"/>
  <c r="I364" i="2"/>
  <c r="I365" i="2"/>
  <c r="I366" i="2"/>
  <c r="B367" i="2"/>
  <c r="C368" i="2"/>
  <c r="B369" i="2"/>
  <c r="C369" i="2" s="1"/>
  <c r="I368" i="2"/>
  <c r="I369" i="2"/>
  <c r="I370" i="2"/>
  <c r="I371" i="2"/>
  <c r="I372" i="2"/>
  <c r="I373" i="2"/>
  <c r="I374" i="2"/>
  <c r="I375" i="2"/>
  <c r="I376" i="2"/>
  <c r="I377" i="2"/>
  <c r="I378" i="2"/>
  <c r="B395" i="2"/>
  <c r="C396" i="2"/>
  <c r="I396" i="2"/>
  <c r="I397" i="2"/>
  <c r="I398" i="2"/>
  <c r="I399" i="2"/>
  <c r="I400" i="2"/>
  <c r="I401" i="2"/>
  <c r="I402" i="2"/>
  <c r="I403" i="2"/>
  <c r="I404" i="2"/>
  <c r="I405" i="2"/>
  <c r="I406" i="2"/>
  <c r="I407" i="2"/>
  <c r="I408" i="2"/>
  <c r="B410" i="2"/>
  <c r="C410" i="2" s="1"/>
  <c r="B411" i="2" s="1"/>
  <c r="I410" i="2"/>
  <c r="I411" i="2"/>
  <c r="I412" i="2"/>
  <c r="I413" i="2"/>
  <c r="I414" i="2"/>
  <c r="I415" i="2"/>
  <c r="I416" i="2"/>
  <c r="I417" i="2"/>
  <c r="I418" i="2"/>
  <c r="I419" i="2"/>
  <c r="I420" i="2"/>
  <c r="I421" i="2"/>
  <c r="I422" i="2"/>
  <c r="I423" i="2"/>
  <c r="I424" i="2"/>
  <c r="I425" i="2"/>
  <c r="I426" i="2"/>
  <c r="I427" i="2"/>
  <c r="I428" i="2"/>
  <c r="I429" i="2"/>
  <c r="I430" i="2"/>
  <c r="I431" i="2"/>
  <c r="I432" i="2"/>
  <c r="I433" i="2"/>
  <c r="I434" i="2"/>
  <c r="B435" i="2"/>
  <c r="C436" i="2"/>
  <c r="J436" i="2" s="1"/>
  <c r="I436" i="2"/>
  <c r="I437" i="2"/>
  <c r="I438" i="2"/>
  <c r="B439" i="2"/>
  <c r="C440" i="2"/>
  <c r="I440" i="2"/>
  <c r="I441" i="2"/>
  <c r="I442" i="2"/>
  <c r="I443" i="2"/>
  <c r="I444" i="2"/>
  <c r="I445" i="2"/>
  <c r="I446" i="2"/>
  <c r="I447" i="2"/>
  <c r="I448" i="2"/>
  <c r="B449" i="2"/>
  <c r="C450" i="2"/>
  <c r="B451" i="2" s="1"/>
  <c r="C451" i="2" s="1"/>
  <c r="I450" i="2"/>
  <c r="I451" i="2"/>
  <c r="I452" i="2"/>
  <c r="I453" i="2"/>
  <c r="I454" i="2"/>
  <c r="I455" i="2"/>
  <c r="I456" i="2"/>
  <c r="I457" i="2"/>
  <c r="I458" i="2"/>
  <c r="B459" i="2"/>
  <c r="C460" i="2"/>
  <c r="I460" i="2"/>
  <c r="I461" i="2"/>
  <c r="I462" i="2"/>
  <c r="I463" i="2"/>
  <c r="I464" i="2"/>
  <c r="I465" i="2"/>
  <c r="I466" i="2"/>
  <c r="I467" i="2"/>
  <c r="I468" i="2"/>
  <c r="I469" i="2"/>
  <c r="I470" i="2"/>
  <c r="I471" i="2"/>
  <c r="I472" i="2"/>
  <c r="I473" i="2"/>
  <c r="I474" i="2"/>
  <c r="B475" i="2"/>
  <c r="C476"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B558" i="2"/>
  <c r="C559" i="2"/>
  <c r="J559" i="2" s="1"/>
  <c r="I559" i="2"/>
  <c r="C560" i="2"/>
  <c r="J560" i="2" s="1"/>
  <c r="I560" i="2"/>
  <c r="C561" i="2"/>
  <c r="J561" i="2"/>
  <c r="I561" i="2"/>
  <c r="C562" i="2"/>
  <c r="J562" i="2" s="1"/>
  <c r="I562" i="2"/>
  <c r="C563" i="2"/>
  <c r="J563" i="2" s="1"/>
  <c r="I563" i="2"/>
  <c r="C564" i="2"/>
  <c r="J564" i="2" s="1"/>
  <c r="I564" i="2"/>
  <c r="B565" i="2"/>
  <c r="C566" i="2"/>
  <c r="J566" i="2" s="1"/>
  <c r="I566" i="2"/>
  <c r="I567" i="2"/>
  <c r="B568" i="2"/>
  <c r="C569" i="2"/>
  <c r="I569" i="2"/>
  <c r="I570" i="2"/>
  <c r="B571" i="2"/>
  <c r="C572" i="2"/>
  <c r="B573" i="2" s="1"/>
  <c r="C573" i="2" s="1"/>
  <c r="J573" i="2" s="1"/>
  <c r="I572" i="2"/>
  <c r="I573" i="2"/>
  <c r="B574" i="2"/>
  <c r="C575" i="2"/>
  <c r="J575" i="2" s="1"/>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B603" i="2"/>
  <c r="C604" i="2"/>
  <c r="J604" i="2" s="1"/>
  <c r="B605" i="2"/>
  <c r="C606" i="2"/>
  <c r="J606" i="2" s="1"/>
  <c r="I606" i="2"/>
  <c r="I607" i="2"/>
  <c r="B608" i="2"/>
  <c r="C609" i="2"/>
  <c r="J609" i="2"/>
  <c r="I609" i="2"/>
  <c r="B610" i="2"/>
  <c r="C611" i="2"/>
  <c r="J611" i="2"/>
  <c r="B612" i="2"/>
  <c r="C613" i="2"/>
  <c r="J613" i="2" s="1"/>
  <c r="B614" i="2"/>
  <c r="C615" i="2"/>
  <c r="J615" i="2" s="1"/>
  <c r="B616" i="2"/>
  <c r="C617" i="2"/>
  <c r="I617" i="2"/>
  <c r="I618" i="2"/>
  <c r="I619" i="2"/>
  <c r="I620" i="2"/>
  <c r="I621" i="2"/>
  <c r="I622" i="2"/>
  <c r="I623" i="2"/>
  <c r="I624" i="2"/>
  <c r="I628" i="2"/>
  <c r="I629" i="2"/>
  <c r="I630" i="2"/>
  <c r="I631" i="2"/>
  <c r="I632" i="2"/>
  <c r="I633" i="2"/>
  <c r="I634" i="2"/>
  <c r="I635" i="2"/>
  <c r="I636" i="2"/>
  <c r="I637" i="2"/>
  <c r="I638" i="2"/>
  <c r="I639" i="2"/>
  <c r="I641" i="2"/>
  <c r="I642" i="2"/>
  <c r="I643" i="2"/>
  <c r="I644" i="2"/>
  <c r="I645" i="2"/>
  <c r="I646" i="2"/>
  <c r="I647" i="2"/>
  <c r="I648" i="2"/>
  <c r="B649" i="2"/>
  <c r="G650" i="2"/>
  <c r="G651" i="2"/>
  <c r="I651" i="2" s="1"/>
  <c r="G652" i="2"/>
  <c r="I652" i="2" s="1"/>
  <c r="G653" i="2"/>
  <c r="I653" i="2" s="1"/>
  <c r="G654" i="2"/>
  <c r="I654" i="2" s="1"/>
  <c r="G655" i="2"/>
  <c r="I655" i="2" s="1"/>
  <c r="G656" i="2"/>
  <c r="I656" i="2" s="1"/>
  <c r="G657" i="2"/>
  <c r="I657" i="2" s="1"/>
  <c r="G658" i="2"/>
  <c r="I658" i="2" s="1"/>
  <c r="G659" i="2"/>
  <c r="I659" i="2" s="1"/>
  <c r="I660" i="2"/>
  <c r="I661" i="2"/>
  <c r="I662" i="2"/>
  <c r="I663" i="2"/>
  <c r="I664" i="2"/>
  <c r="I665" i="2"/>
  <c r="G666" i="2"/>
  <c r="I666" i="2" s="1"/>
  <c r="G667" i="2"/>
  <c r="I667" i="2" s="1"/>
  <c r="G668" i="2"/>
  <c r="I668" i="2" s="1"/>
  <c r="B669" i="2"/>
  <c r="G670" i="2"/>
  <c r="I670" i="2"/>
  <c r="G671" i="2"/>
  <c r="I671" i="2"/>
  <c r="G672" i="2"/>
  <c r="I672" i="2"/>
  <c r="G673" i="2"/>
  <c r="I673" i="2"/>
  <c r="G674" i="2"/>
  <c r="I674" i="2"/>
  <c r="B675" i="2"/>
  <c r="G676" i="2"/>
  <c r="C676" i="2" s="1"/>
  <c r="B677" i="2" s="1"/>
  <c r="C677" i="2" s="1"/>
  <c r="B678" i="2" s="1"/>
  <c r="C678" i="2" s="1"/>
  <c r="B679" i="2" s="1"/>
  <c r="G677" i="2"/>
  <c r="I677" i="2" s="1"/>
  <c r="G678" i="2"/>
  <c r="I678" i="2" s="1"/>
  <c r="G679" i="2"/>
  <c r="I679" i="2" s="1"/>
  <c r="G680" i="2"/>
  <c r="I680" i="2" s="1"/>
  <c r="G681" i="2"/>
  <c r="I681" i="2" s="1"/>
  <c r="G682" i="2"/>
  <c r="I682" i="2" s="1"/>
  <c r="G683" i="2"/>
  <c r="I683" i="2" s="1"/>
  <c r="G684" i="2"/>
  <c r="I684" i="2" s="1"/>
  <c r="B685" i="2"/>
  <c r="G686" i="2"/>
  <c r="I686" i="2" s="1"/>
  <c r="G687" i="2"/>
  <c r="I687" i="2" s="1"/>
  <c r="B688" i="2"/>
  <c r="G689" i="2"/>
  <c r="I689" i="2" s="1"/>
  <c r="G690" i="2"/>
  <c r="I690" i="2" s="1"/>
  <c r="G691" i="2"/>
  <c r="I691" i="2" s="1"/>
  <c r="G692" i="2"/>
  <c r="I692" i="2" s="1"/>
  <c r="G693" i="2"/>
  <c r="I693" i="2" s="1"/>
  <c r="G694" i="2"/>
  <c r="I694" i="2" s="1"/>
  <c r="G695" i="2"/>
  <c r="I695" i="2" s="1"/>
  <c r="G696" i="2"/>
  <c r="I696" i="2" s="1"/>
  <c r="G697" i="2"/>
  <c r="I697" i="2" s="1"/>
  <c r="G698" i="2"/>
  <c r="I698" i="2" s="1"/>
  <c r="G699" i="2"/>
  <c r="I699" i="2" s="1"/>
  <c r="G700" i="2"/>
  <c r="I700" i="2" s="1"/>
  <c r="G701" i="2"/>
  <c r="I701" i="2" s="1"/>
  <c r="G702" i="2"/>
  <c r="I702" i="2" s="1"/>
  <c r="G703" i="2"/>
  <c r="I703" i="2" s="1"/>
  <c r="G704" i="2"/>
  <c r="I704" i="2" s="1"/>
  <c r="G706" i="2"/>
  <c r="I706" i="2" s="1"/>
  <c r="G707" i="2"/>
  <c r="I707" i="2" s="1"/>
  <c r="G708" i="2"/>
  <c r="I708" i="2" s="1"/>
  <c r="G709" i="2"/>
  <c r="I709" i="2" s="1"/>
  <c r="G710" i="2"/>
  <c r="I710" i="2" s="1"/>
  <c r="G711" i="2"/>
  <c r="I711" i="2" s="1"/>
  <c r="G712" i="2"/>
  <c r="I712" i="2"/>
  <c r="G713" i="2"/>
  <c r="I713" i="2" s="1"/>
  <c r="G714" i="2"/>
  <c r="I714" i="2" s="1"/>
  <c r="G715" i="2"/>
  <c r="I715" i="2" s="1"/>
  <c r="G716" i="2"/>
  <c r="I716" i="2"/>
  <c r="G717" i="2"/>
  <c r="I717" i="2" s="1"/>
  <c r="G718" i="2"/>
  <c r="I718" i="2" s="1"/>
  <c r="G719" i="2"/>
  <c r="I719" i="2" s="1"/>
  <c r="G720" i="2"/>
  <c r="I720" i="2"/>
  <c r="G721" i="2"/>
  <c r="I721" i="2" s="1"/>
  <c r="G723" i="2"/>
  <c r="I723" i="2" s="1"/>
  <c r="G724" i="2"/>
  <c r="I724" i="2" s="1"/>
  <c r="G725" i="2"/>
  <c r="I725" i="2"/>
  <c r="G726" i="2"/>
  <c r="I726" i="2" s="1"/>
  <c r="G727" i="2"/>
  <c r="I727" i="2" s="1"/>
  <c r="G728" i="2"/>
  <c r="I728" i="2" s="1"/>
  <c r="G729" i="2"/>
  <c r="I729" i="2"/>
  <c r="G730" i="2"/>
  <c r="I730" i="2" s="1"/>
  <c r="G731" i="2"/>
  <c r="I731" i="2" s="1"/>
  <c r="G732" i="2"/>
  <c r="I732" i="2" s="1"/>
  <c r="G733" i="2"/>
  <c r="I733" i="2"/>
  <c r="G734" i="2"/>
  <c r="I734" i="2" s="1"/>
  <c r="G735" i="2"/>
  <c r="I735" i="2" s="1"/>
  <c r="G736" i="2"/>
  <c r="I736" i="2" s="1"/>
  <c r="G737" i="2"/>
  <c r="I737" i="2"/>
  <c r="G738" i="2"/>
  <c r="I738" i="2" s="1"/>
  <c r="G740" i="2"/>
  <c r="I740" i="2" s="1"/>
  <c r="G741" i="2"/>
  <c r="I741" i="2" s="1"/>
  <c r="G742" i="2"/>
  <c r="I742" i="2"/>
  <c r="G743" i="2"/>
  <c r="I743" i="2" s="1"/>
  <c r="G744" i="2"/>
  <c r="I744" i="2" s="1"/>
  <c r="G745" i="2"/>
  <c r="I745" i="2" s="1"/>
  <c r="G746" i="2"/>
  <c r="I746" i="2"/>
  <c r="G747" i="2"/>
  <c r="I747" i="2" s="1"/>
  <c r="G748" i="2"/>
  <c r="I748" i="2" s="1"/>
  <c r="G749" i="2"/>
  <c r="I749" i="2" s="1"/>
  <c r="G750" i="2"/>
  <c r="I750" i="2"/>
  <c r="G751" i="2"/>
  <c r="I751" i="2" s="1"/>
  <c r="G752" i="2"/>
  <c r="I752" i="2" s="1"/>
  <c r="G753" i="2"/>
  <c r="I753" i="2" s="1"/>
  <c r="G754" i="2"/>
  <c r="I754" i="2"/>
  <c r="G755" i="2"/>
  <c r="I755" i="2" s="1"/>
  <c r="G757" i="2"/>
  <c r="I757" i="2" s="1"/>
  <c r="G758" i="2"/>
  <c r="I758" i="2" s="1"/>
  <c r="G759" i="2"/>
  <c r="I759" i="2"/>
  <c r="G760" i="2"/>
  <c r="I760" i="2" s="1"/>
  <c r="G761" i="2"/>
  <c r="I761" i="2" s="1"/>
  <c r="G762" i="2"/>
  <c r="I762" i="2" s="1"/>
  <c r="G763" i="2"/>
  <c r="I763" i="2"/>
  <c r="G764" i="2"/>
  <c r="I764" i="2" s="1"/>
  <c r="G765" i="2"/>
  <c r="I765" i="2" s="1"/>
  <c r="G766" i="2"/>
  <c r="I766" i="2" s="1"/>
  <c r="G767" i="2"/>
  <c r="I767" i="2"/>
  <c r="G768" i="2"/>
  <c r="I768" i="2" s="1"/>
  <c r="G769" i="2"/>
  <c r="I769" i="2" s="1"/>
  <c r="G770" i="2"/>
  <c r="I770" i="2" s="1"/>
  <c r="G771" i="2"/>
  <c r="I771" i="2"/>
  <c r="G772" i="2"/>
  <c r="I772" i="2" s="1"/>
  <c r="G774" i="2"/>
  <c r="I774" i="2" s="1"/>
  <c r="G775" i="2"/>
  <c r="I775" i="2" s="1"/>
  <c r="G776" i="2"/>
  <c r="I776" i="2"/>
  <c r="G777" i="2"/>
  <c r="I777" i="2" s="1"/>
  <c r="G778" i="2"/>
  <c r="I778" i="2" s="1"/>
  <c r="G779" i="2"/>
  <c r="I779" i="2" s="1"/>
  <c r="G780" i="2"/>
  <c r="I780" i="2"/>
  <c r="G781" i="2"/>
  <c r="I781" i="2" s="1"/>
  <c r="G782" i="2"/>
  <c r="I782" i="2" s="1"/>
  <c r="G783" i="2"/>
  <c r="I783" i="2" s="1"/>
  <c r="G784" i="2"/>
  <c r="I784" i="2"/>
  <c r="G785" i="2"/>
  <c r="I785" i="2" s="1"/>
  <c r="G786" i="2"/>
  <c r="I786" i="2" s="1"/>
  <c r="G787" i="2"/>
  <c r="I787" i="2" s="1"/>
  <c r="G788" i="2"/>
  <c r="I788" i="2" s="1"/>
  <c r="G789" i="2"/>
  <c r="I789" i="2" s="1"/>
  <c r="G791" i="2"/>
  <c r="I791" i="2" s="1"/>
  <c r="G792" i="2"/>
  <c r="I792" i="2" s="1"/>
  <c r="G793" i="2"/>
  <c r="I793" i="2"/>
  <c r="G794" i="2"/>
  <c r="I794" i="2" s="1"/>
  <c r="G795" i="2"/>
  <c r="I795" i="2" s="1"/>
  <c r="G796" i="2"/>
  <c r="I796" i="2" s="1"/>
  <c r="G797" i="2"/>
  <c r="I797" i="2"/>
  <c r="G798" i="2"/>
  <c r="I798" i="2" s="1"/>
  <c r="G799" i="2"/>
  <c r="I799" i="2" s="1"/>
  <c r="G800" i="2"/>
  <c r="I800" i="2" s="1"/>
  <c r="G801" i="2"/>
  <c r="I801" i="2"/>
  <c r="G802" i="2"/>
  <c r="I802" i="2" s="1"/>
  <c r="G803" i="2"/>
  <c r="I803" i="2" s="1"/>
  <c r="G804" i="2"/>
  <c r="I804" i="2" s="1"/>
  <c r="G805" i="2"/>
  <c r="I805" i="2" s="1"/>
  <c r="G806" i="2"/>
  <c r="I806" i="2" s="1"/>
  <c r="G808" i="2"/>
  <c r="I808" i="2" s="1"/>
  <c r="G809" i="2"/>
  <c r="I809" i="2" s="1"/>
  <c r="G810" i="2"/>
  <c r="I810" i="2"/>
  <c r="G811" i="2"/>
  <c r="I811" i="2" s="1"/>
  <c r="G812" i="2"/>
  <c r="I812" i="2"/>
  <c r="G813" i="2"/>
  <c r="I813" i="2" s="1"/>
  <c r="G814" i="2"/>
  <c r="I814" i="2"/>
  <c r="G815" i="2"/>
  <c r="I815" i="2" s="1"/>
  <c r="G816" i="2"/>
  <c r="I816" i="2" s="1"/>
  <c r="G817" i="2"/>
  <c r="I817" i="2" s="1"/>
  <c r="G818" i="2"/>
  <c r="I818" i="2"/>
  <c r="G819" i="2"/>
  <c r="I819" i="2" s="1"/>
  <c r="G820" i="2"/>
  <c r="I820" i="2" s="1"/>
  <c r="G821" i="2"/>
  <c r="I821" i="2" s="1"/>
  <c r="G822" i="2"/>
  <c r="I822" i="2" s="1"/>
  <c r="G823" i="2"/>
  <c r="I823" i="2" s="1"/>
  <c r="G825" i="2"/>
  <c r="I825" i="2" s="1"/>
  <c r="G826" i="2"/>
  <c r="I826" i="2" s="1"/>
  <c r="G827" i="2"/>
  <c r="I827" i="2"/>
  <c r="G828" i="2"/>
  <c r="I828" i="2" s="1"/>
  <c r="G829" i="2"/>
  <c r="I829" i="2"/>
  <c r="G830" i="2"/>
  <c r="I830" i="2" s="1"/>
  <c r="G831" i="2"/>
  <c r="I831" i="2"/>
  <c r="G832" i="2"/>
  <c r="I832" i="2" s="1"/>
  <c r="G833" i="2"/>
  <c r="I833" i="2" s="1"/>
  <c r="G834" i="2"/>
  <c r="I834" i="2" s="1"/>
  <c r="G835" i="2"/>
  <c r="I835" i="2"/>
  <c r="G836" i="2"/>
  <c r="I836" i="2" s="1"/>
  <c r="G837" i="2"/>
  <c r="I837" i="2" s="1"/>
  <c r="G838" i="2"/>
  <c r="I838" i="2" s="1"/>
  <c r="G839" i="2"/>
  <c r="I839" i="2" s="1"/>
  <c r="G840" i="2"/>
  <c r="I840" i="2" s="1"/>
  <c r="G842" i="2"/>
  <c r="I842" i="2" s="1"/>
  <c r="G843" i="2"/>
  <c r="I843" i="2" s="1"/>
  <c r="G844" i="2"/>
  <c r="I844" i="2"/>
  <c r="G845" i="2"/>
  <c r="I845" i="2" s="1"/>
  <c r="G846" i="2"/>
  <c r="I846" i="2"/>
  <c r="G847" i="2"/>
  <c r="I847" i="2" s="1"/>
  <c r="G848" i="2"/>
  <c r="I848" i="2"/>
  <c r="G849" i="2"/>
  <c r="I849" i="2" s="1"/>
  <c r="G850" i="2"/>
  <c r="I850" i="2" s="1"/>
  <c r="G851" i="2"/>
  <c r="I851" i="2" s="1"/>
  <c r="G852" i="2"/>
  <c r="I852" i="2"/>
  <c r="G853" i="2"/>
  <c r="I853" i="2" s="1"/>
  <c r="G854" i="2"/>
  <c r="I854" i="2" s="1"/>
  <c r="G855" i="2"/>
  <c r="I855" i="2" s="1"/>
  <c r="G856" i="2"/>
  <c r="I856" i="2"/>
  <c r="G857" i="2"/>
  <c r="I857" i="2" s="1"/>
  <c r="G859" i="2"/>
  <c r="I859" i="2" s="1"/>
  <c r="G860" i="2"/>
  <c r="I860" i="2" s="1"/>
  <c r="G861" i="2"/>
  <c r="I861" i="2"/>
  <c r="G862" i="2"/>
  <c r="I862" i="2" s="1"/>
  <c r="G863" i="2"/>
  <c r="I863" i="2"/>
  <c r="G864" i="2"/>
  <c r="I864" i="2" s="1"/>
  <c r="G865" i="2"/>
  <c r="I865" i="2"/>
  <c r="G866" i="2"/>
  <c r="I866" i="2" s="1"/>
  <c r="G867" i="2"/>
  <c r="I867" i="2" s="1"/>
  <c r="G868" i="2"/>
  <c r="I868" i="2" s="1"/>
  <c r="G869" i="2"/>
  <c r="I869" i="2"/>
  <c r="G870" i="2"/>
  <c r="I870" i="2" s="1"/>
  <c r="G871" i="2"/>
  <c r="I871" i="2" s="1"/>
  <c r="G872" i="2"/>
  <c r="I872" i="2" s="1"/>
  <c r="G873" i="2"/>
  <c r="I873" i="2"/>
  <c r="G874" i="2"/>
  <c r="I874" i="2" s="1"/>
  <c r="G876" i="2"/>
  <c r="I876" i="2" s="1"/>
  <c r="G877" i="2"/>
  <c r="I877" i="2" s="1"/>
  <c r="G878" i="2"/>
  <c r="I878" i="2"/>
  <c r="G879" i="2"/>
  <c r="I879" i="2" s="1"/>
  <c r="G880" i="2"/>
  <c r="I880" i="2"/>
  <c r="G881" i="2"/>
  <c r="I881" i="2" s="1"/>
  <c r="G882" i="2"/>
  <c r="I882" i="2"/>
  <c r="G883" i="2"/>
  <c r="I883" i="2" s="1"/>
  <c r="G884" i="2"/>
  <c r="I884" i="2" s="1"/>
  <c r="G885" i="2"/>
  <c r="I885" i="2" s="1"/>
  <c r="G886" i="2"/>
  <c r="I886" i="2"/>
  <c r="G887" i="2"/>
  <c r="I887" i="2" s="1"/>
  <c r="G888" i="2"/>
  <c r="I888" i="2" s="1"/>
  <c r="G889" i="2"/>
  <c r="I889" i="2" s="1"/>
  <c r="G890" i="2"/>
  <c r="I890" i="2"/>
  <c r="G891" i="2"/>
  <c r="I891" i="2" s="1"/>
  <c r="G910" i="2"/>
  <c r="I910" i="2" s="1"/>
  <c r="G911" i="2"/>
  <c r="I911" i="2" s="1"/>
  <c r="G912" i="2"/>
  <c r="I912" i="2"/>
  <c r="G913" i="2"/>
  <c r="I913" i="2" s="1"/>
  <c r="G914" i="2"/>
  <c r="I914" i="2"/>
  <c r="G915" i="2"/>
  <c r="I915" i="2" s="1"/>
  <c r="G916" i="2"/>
  <c r="I916" i="2"/>
  <c r="G917" i="2"/>
  <c r="I917" i="2" s="1"/>
  <c r="G918" i="2"/>
  <c r="I918" i="2" s="1"/>
  <c r="G919" i="2"/>
  <c r="I919" i="2" s="1"/>
  <c r="G920" i="2"/>
  <c r="I920" i="2"/>
  <c r="G921" i="2"/>
  <c r="I921" i="2" s="1"/>
  <c r="G922" i="2"/>
  <c r="I922" i="2" s="1"/>
  <c r="G923" i="2"/>
  <c r="I923" i="2" s="1"/>
  <c r="G924" i="2"/>
  <c r="I924" i="2"/>
  <c r="G925" i="2"/>
  <c r="I925" i="2" s="1"/>
  <c r="G927" i="2"/>
  <c r="I927" i="2" s="1"/>
  <c r="G928" i="2"/>
  <c r="I928" i="2" s="1"/>
  <c r="G929" i="2"/>
  <c r="I929" i="2"/>
  <c r="G930" i="2"/>
  <c r="I930" i="2" s="1"/>
  <c r="G931" i="2"/>
  <c r="I931" i="2"/>
  <c r="G932" i="2"/>
  <c r="I932" i="2" s="1"/>
  <c r="G933" i="2"/>
  <c r="I933" i="2"/>
  <c r="G934" i="2"/>
  <c r="I934" i="2" s="1"/>
  <c r="G935" i="2"/>
  <c r="I935" i="2" s="1"/>
  <c r="G936" i="2"/>
  <c r="I936" i="2" s="1"/>
  <c r="G937" i="2"/>
  <c r="I937" i="2"/>
  <c r="G938" i="2"/>
  <c r="I938" i="2" s="1"/>
  <c r="G939" i="2"/>
  <c r="I939" i="2" s="1"/>
  <c r="G940" i="2"/>
  <c r="I940" i="2" s="1"/>
  <c r="G941" i="2"/>
  <c r="I941" i="2"/>
  <c r="G942" i="2"/>
  <c r="I942" i="2" s="1"/>
  <c r="G944" i="2"/>
  <c r="I944" i="2" s="1"/>
  <c r="G945" i="2"/>
  <c r="I945" i="2" s="1"/>
  <c r="G946" i="2"/>
  <c r="I946" i="2"/>
  <c r="G947" i="2"/>
  <c r="I947" i="2" s="1"/>
  <c r="G948" i="2"/>
  <c r="I948" i="2"/>
  <c r="G949" i="2"/>
  <c r="I949" i="2" s="1"/>
  <c r="G950" i="2"/>
  <c r="I950" i="2"/>
  <c r="G951" i="2"/>
  <c r="I951" i="2" s="1"/>
  <c r="G952" i="2"/>
  <c r="I952" i="2" s="1"/>
  <c r="G953" i="2"/>
  <c r="I953" i="2" s="1"/>
  <c r="G954" i="2"/>
  <c r="I954" i="2"/>
  <c r="G955" i="2"/>
  <c r="I955" i="2" s="1"/>
  <c r="G956" i="2"/>
  <c r="I956" i="2" s="1"/>
  <c r="G957" i="2"/>
  <c r="I957" i="2" s="1"/>
  <c r="G958" i="2"/>
  <c r="I958" i="2"/>
  <c r="G959" i="2"/>
  <c r="I959" i="2" s="1"/>
  <c r="G961" i="2"/>
  <c r="I961" i="2" s="1"/>
  <c r="G962" i="2"/>
  <c r="I962" i="2" s="1"/>
  <c r="G963" i="2"/>
  <c r="I963" i="2"/>
  <c r="G964" i="2"/>
  <c r="I964" i="2" s="1"/>
  <c r="G965" i="2"/>
  <c r="I965" i="2"/>
  <c r="G966" i="2"/>
  <c r="I966" i="2" s="1"/>
  <c r="G967" i="2"/>
  <c r="I967" i="2"/>
  <c r="G968" i="2"/>
  <c r="I968" i="2" s="1"/>
  <c r="G969" i="2"/>
  <c r="I969" i="2" s="1"/>
  <c r="G970" i="2"/>
  <c r="I970" i="2" s="1"/>
  <c r="G971" i="2"/>
  <c r="I971" i="2"/>
  <c r="G972" i="2"/>
  <c r="I972" i="2" s="1"/>
  <c r="G973" i="2"/>
  <c r="I973" i="2" s="1"/>
  <c r="G974" i="2"/>
  <c r="I974" i="2" s="1"/>
  <c r="G975" i="2"/>
  <c r="I975" i="2"/>
  <c r="G976" i="2"/>
  <c r="I976" i="2" s="1"/>
  <c r="F995" i="2"/>
  <c r="G995" i="2"/>
  <c r="B1001" i="2"/>
  <c r="C1002" i="2"/>
  <c r="B1003" i="2" s="1"/>
  <c r="C1003" i="2" s="1"/>
  <c r="I1002" i="2"/>
  <c r="I1003" i="2"/>
  <c r="I1004" i="2"/>
  <c r="I1005" i="2"/>
  <c r="I1006" i="2"/>
  <c r="I1007" i="2"/>
  <c r="I1008" i="2"/>
  <c r="I1009" i="2"/>
  <c r="I1010" i="2"/>
  <c r="B1011" i="2"/>
  <c r="C1012" i="2"/>
  <c r="J1012"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B1037" i="2"/>
  <c r="C1038" i="2"/>
  <c r="B1039" i="2" s="1"/>
  <c r="C1039" i="2" s="1"/>
  <c r="B1040" i="2" s="1"/>
  <c r="C1040" i="2" s="1"/>
  <c r="J1038" i="2"/>
  <c r="I1038" i="2"/>
  <c r="I1039" i="2"/>
  <c r="I1040" i="2"/>
  <c r="I1041" i="2"/>
  <c r="I1042" i="2"/>
  <c r="I1043" i="2"/>
  <c r="I1044" i="2"/>
  <c r="I1045" i="2"/>
  <c r="B1046" i="2"/>
  <c r="C1047" i="2"/>
  <c r="I1047" i="2"/>
  <c r="I1048" i="2"/>
  <c r="I1049" i="2"/>
  <c r="I1050" i="2"/>
  <c r="I1051" i="2"/>
  <c r="I1052" i="2"/>
  <c r="I1053" i="2"/>
  <c r="I1054" i="2"/>
  <c r="I1055" i="2"/>
  <c r="I1056" i="2"/>
  <c r="I1057" i="2"/>
  <c r="I1058" i="2"/>
  <c r="I1059" i="2"/>
  <c r="I1060" i="2"/>
  <c r="I1061" i="2"/>
  <c r="I1062" i="2"/>
  <c r="B1063" i="2"/>
  <c r="C1064" i="2"/>
  <c r="I1064" i="2"/>
  <c r="I1065" i="2"/>
  <c r="I1066" i="2"/>
  <c r="I1067" i="2"/>
  <c r="I1068" i="2"/>
  <c r="I1069" i="2"/>
  <c r="I1070" i="2"/>
  <c r="I1071" i="2"/>
  <c r="I1072" i="2"/>
  <c r="I1073" i="2"/>
  <c r="I1074" i="2"/>
  <c r="I1075" i="2"/>
  <c r="I1076" i="2"/>
  <c r="I1077" i="2"/>
  <c r="I1078" i="2"/>
  <c r="I1079" i="2"/>
  <c r="B1080" i="2"/>
  <c r="C1081" i="2"/>
  <c r="B1082" i="2" s="1"/>
  <c r="C1082" i="2" s="1"/>
  <c r="I1081" i="2"/>
  <c r="I1082" i="2"/>
  <c r="I1083" i="2"/>
  <c r="I1084" i="2"/>
  <c r="I1085" i="2"/>
  <c r="I1086" i="2"/>
  <c r="I1087" i="2"/>
  <c r="I1088" i="2"/>
  <c r="I1089" i="2"/>
  <c r="I1090" i="2"/>
  <c r="I1091" i="2"/>
  <c r="I1092" i="2"/>
  <c r="I1093" i="2"/>
  <c r="I1094" i="2"/>
  <c r="I1095" i="2"/>
  <c r="I1096" i="2"/>
  <c r="B1097" i="2"/>
  <c r="C1098" i="2"/>
  <c r="B1099" i="2"/>
  <c r="C1099" i="2" s="1"/>
  <c r="I1098" i="2"/>
  <c r="I1099" i="2"/>
  <c r="I1100" i="2"/>
  <c r="I1101" i="2"/>
  <c r="I1102" i="2"/>
  <c r="I1103" i="2"/>
  <c r="I1104" i="2"/>
  <c r="I1105" i="2"/>
  <c r="I1106" i="2"/>
  <c r="I1107" i="2"/>
  <c r="I1108" i="2"/>
  <c r="I1109" i="2"/>
  <c r="I1110" i="2"/>
  <c r="I1111" i="2"/>
  <c r="I1112" i="2"/>
  <c r="I1113" i="2"/>
  <c r="B1114" i="2"/>
  <c r="C1115" i="2"/>
  <c r="B1116" i="2" s="1"/>
  <c r="C1116" i="2" s="1"/>
  <c r="I1115" i="2"/>
  <c r="I1116" i="2"/>
  <c r="I1117" i="2"/>
  <c r="I1118" i="2"/>
  <c r="I1119" i="2"/>
  <c r="I1120" i="2"/>
  <c r="I1121" i="2"/>
  <c r="I1122" i="2"/>
  <c r="I1123" i="2"/>
  <c r="I1124" i="2"/>
  <c r="I1127" i="2"/>
  <c r="B1128" i="2"/>
  <c r="C1129" i="2"/>
  <c r="I1129" i="2"/>
  <c r="I1130" i="2"/>
  <c r="I1131" i="2"/>
  <c r="I1132" i="2"/>
  <c r="I1133" i="2"/>
  <c r="I1134" i="2"/>
  <c r="I1135" i="2"/>
  <c r="I1137" i="2"/>
  <c r="B1138" i="2"/>
  <c r="C1139" i="2"/>
  <c r="J1139" i="2" s="1"/>
  <c r="I1139" i="2"/>
  <c r="I1140" i="2"/>
  <c r="I1141" i="2"/>
  <c r="I1142" i="2"/>
  <c r="I1143" i="2"/>
  <c r="I1144" i="2"/>
  <c r="I1145" i="2"/>
  <c r="I1146" i="2"/>
  <c r="I1147" i="2"/>
  <c r="I1148" i="2"/>
  <c r="I1149" i="2"/>
  <c r="B1150" i="2"/>
  <c r="C1151" i="2"/>
  <c r="B1152" i="2" s="1"/>
  <c r="C1152" i="2" s="1"/>
  <c r="B1153" i="2" s="1"/>
  <c r="C1153" i="2" s="1"/>
  <c r="I1151" i="2"/>
  <c r="I1152" i="2"/>
  <c r="I1153" i="2"/>
  <c r="I1154" i="2"/>
  <c r="I1155" i="2"/>
  <c r="B1156" i="2"/>
  <c r="C1157" i="2"/>
  <c r="J1157" i="2"/>
  <c r="I1157" i="2"/>
  <c r="I1158" i="2"/>
  <c r="I1159" i="2"/>
  <c r="I1160" i="2"/>
  <c r="I1161" i="2"/>
  <c r="I1162" i="2"/>
  <c r="I1163" i="2"/>
  <c r="I1164" i="2"/>
  <c r="I1165" i="2"/>
  <c r="I1166" i="2"/>
  <c r="I1167" i="2"/>
  <c r="I1168" i="2"/>
  <c r="B1169" i="2"/>
  <c r="C1170" i="2"/>
  <c r="B1171" i="2" s="1"/>
  <c r="C1171" i="2" s="1"/>
  <c r="I1170" i="2"/>
  <c r="I1171" i="2"/>
  <c r="I1172" i="2"/>
  <c r="I1173" i="2"/>
  <c r="B1174" i="2"/>
  <c r="C1175" i="2"/>
  <c r="J1175" i="2" s="1"/>
  <c r="I1175" i="2"/>
  <c r="I1176" i="2"/>
  <c r="I1177" i="2"/>
  <c r="B1178" i="2"/>
  <c r="C1179" i="2"/>
  <c r="B1180" i="2" s="1"/>
  <c r="C1180" i="2" s="1"/>
  <c r="I1179" i="2"/>
  <c r="I1180" i="2"/>
  <c r="I1181" i="2"/>
  <c r="I1182" i="2"/>
  <c r="I1183" i="2"/>
  <c r="I1184" i="2"/>
  <c r="I1185" i="2"/>
  <c r="I1186" i="2"/>
  <c r="I1187" i="2"/>
  <c r="B1188" i="2"/>
  <c r="C1189" i="2"/>
  <c r="B1190" i="2" s="1"/>
  <c r="C1190" i="2" s="1"/>
  <c r="I1189" i="2"/>
  <c r="I1190" i="2"/>
  <c r="I1191" i="2"/>
  <c r="I1192" i="2"/>
  <c r="I1193" i="2"/>
  <c r="I1194" i="2"/>
  <c r="I1195" i="2"/>
  <c r="I1196" i="2"/>
  <c r="I1197" i="2"/>
  <c r="I1198" i="2"/>
  <c r="I1199" i="2"/>
  <c r="B1200" i="2"/>
  <c r="C1201" i="2"/>
  <c r="B1202" i="2" s="1"/>
  <c r="C1202" i="2" s="1"/>
  <c r="I1201" i="2"/>
  <c r="I1202" i="2"/>
  <c r="I1203" i="2"/>
  <c r="I1204" i="2"/>
  <c r="I1205" i="2"/>
  <c r="I1206" i="2"/>
  <c r="I1207" i="2"/>
  <c r="I1208" i="2"/>
  <c r="B1209" i="2"/>
  <c r="C1210" i="2"/>
  <c r="B1211" i="2" s="1"/>
  <c r="C1211" i="2" s="1"/>
  <c r="J1211" i="2" s="1"/>
  <c r="I1210" i="2"/>
  <c r="I1211" i="2"/>
  <c r="B1212" i="2"/>
  <c r="C1213" i="2"/>
  <c r="J1213" i="2" s="1"/>
  <c r="I1213" i="2"/>
  <c r="C1215" i="2"/>
  <c r="J1215" i="2" s="1"/>
  <c r="I1215" i="2"/>
  <c r="B1216" i="2"/>
  <c r="C1217" i="2"/>
  <c r="F1218" i="2"/>
  <c r="F1219" i="2" s="1"/>
  <c r="I1227" i="2"/>
  <c r="I1228" i="2"/>
  <c r="I1229" i="2"/>
  <c r="I1230" i="2"/>
  <c r="I1231" i="2"/>
  <c r="I1232" i="2"/>
  <c r="I1233" i="2"/>
  <c r="I1234" i="2"/>
  <c r="I1235" i="2"/>
  <c r="I1237" i="2"/>
  <c r="I1238" i="2"/>
  <c r="I1239" i="2"/>
  <c r="I1241" i="2"/>
  <c r="I1242" i="2"/>
  <c r="I1243" i="2"/>
  <c r="I1246" i="2" s="1"/>
  <c r="I1249" i="2" s="1"/>
  <c r="F1246" i="2"/>
  <c r="G1246" i="2"/>
  <c r="G1249" i="2" s="1"/>
  <c r="I1253" i="2"/>
  <c r="I1254" i="2"/>
  <c r="I1255" i="2"/>
  <c r="I1256" i="2"/>
  <c r="I1257" i="2"/>
  <c r="I1265" i="2" s="1"/>
  <c r="I1268" i="2" s="1"/>
  <c r="I1260" i="2"/>
  <c r="I1261" i="2"/>
  <c r="I1263" i="2"/>
  <c r="F1265" i="2"/>
  <c r="G1265" i="2"/>
  <c r="G1268" i="2" s="1"/>
  <c r="I1272" i="2"/>
  <c r="I1273" i="2"/>
  <c r="I1302" i="2" s="1"/>
  <c r="I1305" i="2" s="1"/>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F1302" i="2"/>
  <c r="G1302" i="2"/>
  <c r="G1305" i="2" s="1"/>
  <c r="I1311" i="2"/>
  <c r="I1312" i="2"/>
  <c r="I1313" i="2"/>
  <c r="I1314" i="2"/>
  <c r="I1315" i="2"/>
  <c r="I1316" i="2"/>
  <c r="I1317" i="2"/>
  <c r="I1318" i="2"/>
  <c r="I1319" i="2"/>
  <c r="F1321" i="2"/>
  <c r="G1321" i="2"/>
  <c r="G1338" i="2" s="1"/>
  <c r="I1343" i="2"/>
  <c r="I1344" i="2"/>
  <c r="I1358" i="2" s="1"/>
  <c r="I1361" i="2" s="1"/>
  <c r="I1347" i="2"/>
  <c r="I1348" i="2"/>
  <c r="I1349" i="2"/>
  <c r="I1350" i="2"/>
  <c r="I1351" i="2"/>
  <c r="I1352" i="2"/>
  <c r="I1353" i="2"/>
  <c r="I1354" i="2"/>
  <c r="I1355" i="2"/>
  <c r="I1356" i="2"/>
  <c r="F1358" i="2"/>
  <c r="G1358" i="2"/>
  <c r="G1361" i="2" s="1"/>
  <c r="I1365" i="2"/>
  <c r="I1366" i="2"/>
  <c r="I1369" i="2"/>
  <c r="G1371" i="2"/>
  <c r="G1374" i="2" s="1"/>
  <c r="I1378" i="2"/>
  <c r="I1379" i="2"/>
  <c r="I1381" i="2"/>
  <c r="I1382" i="2"/>
  <c r="I1383" i="2"/>
  <c r="I1385" i="2"/>
  <c r="I1386" i="2"/>
  <c r="I1387" i="2"/>
  <c r="I1389" i="2"/>
  <c r="I1390" i="2"/>
  <c r="F1392" i="2"/>
  <c r="G1392" i="2"/>
  <c r="G1395" i="2" s="1"/>
  <c r="I1395" i="2" s="1"/>
  <c r="I1399" i="2"/>
  <c r="I1400" i="2"/>
  <c r="I1403" i="2"/>
  <c r="I1404" i="2"/>
  <c r="I1405" i="2"/>
  <c r="I1406" i="2"/>
  <c r="I1407" i="2"/>
  <c r="I1408" i="2"/>
  <c r="I1409" i="2"/>
  <c r="I1410" i="2"/>
  <c r="I1411" i="2"/>
  <c r="I1412" i="2"/>
  <c r="I1413" i="2"/>
  <c r="I1414" i="2"/>
  <c r="I1415" i="2"/>
  <c r="I1416" i="2"/>
  <c r="I1417" i="2"/>
  <c r="I1418" i="2"/>
  <c r="I1419" i="2"/>
  <c r="I1420" i="2"/>
  <c r="F1423" i="2"/>
  <c r="G1423" i="2"/>
  <c r="G1426" i="2" s="1"/>
  <c r="I1426" i="2" s="1"/>
  <c r="I1430" i="2"/>
  <c r="I1431" i="2"/>
  <c r="F1452" i="2"/>
  <c r="G1455" i="2"/>
  <c r="I1455" i="2"/>
  <c r="I1459" i="2"/>
  <c r="I1460" i="2"/>
  <c r="I1463" i="2"/>
  <c r="I1464" i="2"/>
  <c r="I1465" i="2"/>
  <c r="I1466" i="2"/>
  <c r="I1467" i="2"/>
  <c r="I1468" i="2"/>
  <c r="I1469" i="2"/>
  <c r="I1470" i="2"/>
  <c r="I1471" i="2"/>
  <c r="I1472" i="2"/>
  <c r="I1473" i="2"/>
  <c r="I1474" i="2"/>
  <c r="I1475" i="2"/>
  <c r="I1476" i="2"/>
  <c r="I1477" i="2"/>
  <c r="F1479" i="2"/>
  <c r="G1479" i="2"/>
  <c r="G1482" i="2"/>
  <c r="I1486" i="2"/>
  <c r="I1487" i="2"/>
  <c r="I1488" i="2"/>
  <c r="I1490" i="2"/>
  <c r="I1491" i="2"/>
  <c r="I1492" i="2"/>
  <c r="I1493" i="2"/>
  <c r="I1494" i="2"/>
  <c r="I1495" i="2"/>
  <c r="I1496" i="2"/>
  <c r="I1497" i="2"/>
  <c r="F1499" i="2"/>
  <c r="G1499" i="2"/>
  <c r="G1502" i="2"/>
  <c r="I1506" i="2"/>
  <c r="I1507" i="2"/>
  <c r="I1508" i="2"/>
  <c r="I1509" i="2"/>
  <c r="I1510" i="2"/>
  <c r="I1511" i="2"/>
  <c r="I1515" i="2" s="1"/>
  <c r="I1512" i="2"/>
  <c r="I1513" i="2"/>
  <c r="I1514" i="2"/>
  <c r="F1515" i="2"/>
  <c r="G1515" i="2"/>
  <c r="I1524" i="2"/>
  <c r="I1525" i="2"/>
  <c r="I1526" i="2"/>
  <c r="I1527" i="2"/>
  <c r="I1528" i="2"/>
  <c r="I1530" i="2"/>
  <c r="I1531" i="2"/>
  <c r="I1532" i="2"/>
  <c r="I1533" i="2"/>
  <c r="I1534" i="2"/>
  <c r="I1535" i="2"/>
  <c r="I1536" i="2"/>
  <c r="I1537" i="2"/>
  <c r="I1538" i="2"/>
  <c r="I1539" i="2"/>
  <c r="I1540" i="2"/>
  <c r="I1541" i="2"/>
  <c r="F1543" i="2"/>
  <c r="G1543" i="2"/>
  <c r="G1546" i="2" s="1"/>
  <c r="I1554" i="2"/>
  <c r="I1555" i="2"/>
  <c r="I1574" i="2" s="1"/>
  <c r="I1577" i="2" s="1"/>
  <c r="I1556" i="2"/>
  <c r="I1557" i="2"/>
  <c r="I1558" i="2"/>
  <c r="I1559" i="2"/>
  <c r="I1560" i="2"/>
  <c r="I1561" i="2"/>
  <c r="I1562" i="2"/>
  <c r="I1563" i="2"/>
  <c r="I1564" i="2"/>
  <c r="I1565" i="2"/>
  <c r="I1566" i="2"/>
  <c r="I1567" i="2"/>
  <c r="I1568" i="2"/>
  <c r="I1569" i="2"/>
  <c r="I1570" i="2"/>
  <c r="I1571" i="2"/>
  <c r="G1574" i="2"/>
  <c r="G1577" i="2" s="1"/>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G1620" i="2"/>
  <c r="G1623" i="2"/>
  <c r="I1631" i="2"/>
  <c r="I1632" i="2"/>
  <c r="I1633" i="2"/>
  <c r="I1634" i="2"/>
  <c r="I1635" i="2"/>
  <c r="I1636" i="2"/>
  <c r="I1637" i="2"/>
  <c r="G1639" i="2"/>
  <c r="G1642" i="2" s="1"/>
  <c r="G1646" i="2"/>
  <c r="G1650" i="2" s="1"/>
  <c r="G1654" i="2"/>
  <c r="G1662" i="2"/>
  <c r="G1666" i="2" s="1"/>
  <c r="G1670" i="2"/>
  <c r="G1674" i="2" s="1"/>
  <c r="G1678" i="2"/>
  <c r="G1686" i="2"/>
  <c r="I1694" i="2"/>
  <c r="I1698" i="2" s="1"/>
  <c r="G1698" i="2"/>
  <c r="G1702" i="2"/>
  <c r="I1702" i="2" s="1"/>
  <c r="I1706" i="2" s="1"/>
  <c r="G1710" i="2"/>
  <c r="I1710" i="2" s="1"/>
  <c r="G1718" i="2"/>
  <c r="I1718" i="2" s="1"/>
  <c r="I1722" i="2"/>
  <c r="I1726" i="2"/>
  <c r="I1727" i="2"/>
  <c r="I1731" i="2" s="1"/>
  <c r="G1731" i="2"/>
  <c r="G1743" i="2"/>
  <c r="I1743" i="2" s="1"/>
  <c r="I1747" i="2" s="1"/>
  <c r="I1751" i="2"/>
  <c r="I1757" i="2"/>
  <c r="I1758" i="2"/>
  <c r="I1768" i="2" s="1"/>
  <c r="I1771" i="2" s="1"/>
  <c r="I1759" i="2"/>
  <c r="I1760" i="2"/>
  <c r="I1761" i="2"/>
  <c r="I1762" i="2"/>
  <c r="I1765" i="2"/>
  <c r="I1766" i="2"/>
  <c r="G1768" i="2"/>
  <c r="G1771" i="2" s="1"/>
  <c r="B409" i="2"/>
  <c r="B607" i="2"/>
  <c r="C607" i="2" s="1"/>
  <c r="J607" i="2" s="1"/>
  <c r="B909" i="2"/>
  <c r="C910" i="2"/>
  <c r="J910" i="2" s="1"/>
  <c r="B1158" i="2"/>
  <c r="C1158" i="2" s="1"/>
  <c r="C686" i="2"/>
  <c r="J686" i="2" s="1"/>
  <c r="J569" i="2"/>
  <c r="B570" i="2"/>
  <c r="C570" i="2" s="1"/>
  <c r="J570" i="2" s="1"/>
  <c r="C670" i="2"/>
  <c r="B671" i="2" s="1"/>
  <c r="C671" i="2" s="1"/>
  <c r="B672" i="2" s="1"/>
  <c r="C672" i="2" s="1"/>
  <c r="B673" i="2" s="1"/>
  <c r="C673" i="2" s="1"/>
  <c r="B674" i="2" s="1"/>
  <c r="C674" i="2" s="1"/>
  <c r="B1140" i="2"/>
  <c r="C1140" i="2" s="1"/>
  <c r="B576" i="2"/>
  <c r="C576" i="2"/>
  <c r="B577" i="2" s="1"/>
  <c r="C577" i="2" s="1"/>
  <c r="J1098" i="2"/>
  <c r="J368" i="2"/>
  <c r="B332" i="2"/>
  <c r="J1151" i="2"/>
  <c r="C689" i="2"/>
  <c r="I676" i="2"/>
  <c r="J1210" i="2"/>
  <c r="B1013" i="2"/>
  <c r="C1013" i="2" s="1"/>
  <c r="B1014" i="2" s="1"/>
  <c r="C1014" i="2" s="1"/>
  <c r="J1115" i="2"/>
  <c r="J1002" i="2"/>
  <c r="J1081" i="2"/>
  <c r="G1706" i="2"/>
  <c r="B397" i="2"/>
  <c r="C397" i="2" s="1"/>
  <c r="J397" i="2" s="1"/>
  <c r="J396" i="2"/>
  <c r="I1646" i="2"/>
  <c r="I1650" i="2" s="1"/>
  <c r="I1654" i="2"/>
  <c r="I1658" i="2" s="1"/>
  <c r="G1658" i="2"/>
  <c r="B1130" i="2"/>
  <c r="C1130" i="2" s="1"/>
  <c r="B1131" i="2" s="1"/>
  <c r="C1131" i="2" s="1"/>
  <c r="J1129" i="2"/>
  <c r="J1152" i="2"/>
  <c r="B1048" i="2"/>
  <c r="C1048" i="2"/>
  <c r="J1047" i="2"/>
  <c r="G1722" i="2"/>
  <c r="B1176" i="2"/>
  <c r="C1176" i="2" s="1"/>
  <c r="B1181" i="2"/>
  <c r="C1181" i="2" s="1"/>
  <c r="J1180" i="2"/>
  <c r="B1065" i="2"/>
  <c r="C1065" i="2" s="1"/>
  <c r="J1065" i="2" s="1"/>
  <c r="J1064" i="2"/>
  <c r="B687" i="2"/>
  <c r="C687" i="2" s="1"/>
  <c r="J687" i="2" s="1"/>
  <c r="J1130" i="2"/>
  <c r="G1714" i="2"/>
  <c r="I1714" i="2"/>
  <c r="I1686" i="2"/>
  <c r="I1690" i="2" s="1"/>
  <c r="G1690" i="2"/>
  <c r="I1662" i="2"/>
  <c r="I1666" i="2" s="1"/>
  <c r="I650" i="2"/>
  <c r="C650" i="2"/>
  <c r="B651" i="2" s="1"/>
  <c r="C651" i="2" s="1"/>
  <c r="B652" i="2" s="1"/>
  <c r="C652" i="2" s="1"/>
  <c r="B653" i="2" s="1"/>
  <c r="C653" i="2" s="1"/>
  <c r="B654" i="2" s="1"/>
  <c r="C654" i="2" s="1"/>
  <c r="B655" i="2" s="1"/>
  <c r="C655" i="2" s="1"/>
  <c r="B656" i="2" s="1"/>
  <c r="C656" i="2" s="1"/>
  <c r="B657" i="2" s="1"/>
  <c r="C657" i="2" s="1"/>
  <c r="B658" i="2" s="1"/>
  <c r="C658" i="2" s="1"/>
  <c r="B659" i="2" s="1"/>
  <c r="C659" i="2" s="1"/>
  <c r="B660" i="2" s="1"/>
  <c r="C660" i="2" s="1"/>
  <c r="B661" i="2" s="1"/>
  <c r="C661" i="2" s="1"/>
  <c r="B662" i="2" s="1"/>
  <c r="C662" i="2" s="1"/>
  <c r="B663" i="2" s="1"/>
  <c r="C663" i="2" s="1"/>
  <c r="B664" i="2" s="1"/>
  <c r="C664" i="2" s="1"/>
  <c r="B665" i="2" s="1"/>
  <c r="C665" i="2" s="1"/>
  <c r="B666" i="2" s="1"/>
  <c r="C666" i="2" s="1"/>
  <c r="B667" i="2" s="1"/>
  <c r="C667" i="2" s="1"/>
  <c r="B668" i="2" s="1"/>
  <c r="C668" i="2" s="1"/>
  <c r="J1131" i="2"/>
  <c r="B1132" i="2"/>
  <c r="C1132" i="2" s="1"/>
  <c r="B379" i="2"/>
  <c r="C978" i="2"/>
  <c r="B979" i="2" s="1"/>
  <c r="J410" i="2"/>
  <c r="C411" i="2"/>
  <c r="B412" i="2" s="1"/>
  <c r="J460" i="2"/>
  <c r="B461" i="2"/>
  <c r="C461" i="2"/>
  <c r="B462" i="2" s="1"/>
  <c r="C462" i="2" s="1"/>
  <c r="J689" i="2"/>
  <c r="B690" i="2"/>
  <c r="C690" i="2" s="1"/>
  <c r="B691" i="2" s="1"/>
  <c r="C691" i="2" s="1"/>
  <c r="J476" i="2"/>
  <c r="B477" i="2"/>
  <c r="C477" i="2" s="1"/>
  <c r="B478" i="2" s="1"/>
  <c r="C478" i="2" s="1"/>
  <c r="J440" i="2"/>
  <c r="B441" i="2"/>
  <c r="C441" i="2" s="1"/>
  <c r="J441" i="2" s="1"/>
  <c r="I322" i="2"/>
  <c r="I323" i="2" s="1"/>
  <c r="J978" i="2"/>
  <c r="C412" i="2"/>
  <c r="J412" i="2" s="1"/>
  <c r="J411" i="2"/>
  <c r="B413" i="2"/>
  <c r="C413" i="2" s="1"/>
  <c r="J691" i="2" l="1"/>
  <c r="B692" i="2"/>
  <c r="C692" i="2" s="1"/>
  <c r="B1203" i="2"/>
  <c r="C1203" i="2" s="1"/>
  <c r="J1202" i="2"/>
  <c r="J1171" i="2"/>
  <c r="B1172" i="2"/>
  <c r="C1172" i="2" s="1"/>
  <c r="B463" i="2"/>
  <c r="C463" i="2" s="1"/>
  <c r="J463" i="2" s="1"/>
  <c r="J462" i="2"/>
  <c r="B1191" i="2"/>
  <c r="C1191" i="2" s="1"/>
  <c r="J1190" i="2"/>
  <c r="B1117" i="2"/>
  <c r="C1117" i="2" s="1"/>
  <c r="J1116" i="2"/>
  <c r="J1082" i="2"/>
  <c r="B1083" i="2"/>
  <c r="C1083" i="2" s="1"/>
  <c r="J1099" i="2"/>
  <c r="B1100" i="2"/>
  <c r="C1100" i="2" s="1"/>
  <c r="C979" i="2"/>
  <c r="B980" i="2" s="1"/>
  <c r="C980" i="2" s="1"/>
  <c r="J572" i="2"/>
  <c r="I1371" i="2"/>
  <c r="I1374" i="2" s="1"/>
  <c r="J1170" i="2"/>
  <c r="B398" i="2"/>
  <c r="C398" i="2" s="1"/>
  <c r="B437" i="2"/>
  <c r="C437" i="2" s="1"/>
  <c r="B438" i="2" s="1"/>
  <c r="C438" i="2" s="1"/>
  <c r="J438" i="2" s="1"/>
  <c r="J690" i="2"/>
  <c r="B567" i="2"/>
  <c r="C567" i="2" s="1"/>
  <c r="J567" i="2" s="1"/>
  <c r="J1201" i="2"/>
  <c r="J1013" i="2"/>
  <c r="I1392" i="2"/>
  <c r="J576" i="2"/>
  <c r="J450" i="2"/>
  <c r="J1189" i="2"/>
  <c r="B1182" i="2"/>
  <c r="C1182" i="2" s="1"/>
  <c r="J1181" i="2"/>
  <c r="J478" i="2"/>
  <c r="B479" i="2"/>
  <c r="C479" i="2" s="1"/>
  <c r="B1066" i="2"/>
  <c r="C1066" i="2" s="1"/>
  <c r="G1682" i="2"/>
  <c r="I1678" i="2"/>
  <c r="I1682" i="2" s="1"/>
  <c r="B1154" i="2"/>
  <c r="C1154" i="2" s="1"/>
  <c r="J1153" i="2"/>
  <c r="J577" i="2"/>
  <c r="B578" i="2"/>
  <c r="C578" i="2" s="1"/>
  <c r="J1132" i="2"/>
  <c r="B1133" i="2"/>
  <c r="C1133" i="2" s="1"/>
  <c r="B1015" i="2"/>
  <c r="C1015" i="2" s="1"/>
  <c r="J1014" i="2"/>
  <c r="J437" i="2"/>
  <c r="J979" i="2"/>
  <c r="B442" i="2"/>
  <c r="C442" i="2" s="1"/>
  <c r="J980" i="2"/>
  <c r="B981" i="2"/>
  <c r="C981" i="2" s="1"/>
  <c r="J1140" i="2"/>
  <c r="B1141" i="2"/>
  <c r="C1141" i="2" s="1"/>
  <c r="B414" i="2"/>
  <c r="C414" i="2" s="1"/>
  <c r="J413" i="2"/>
  <c r="B452" i="2"/>
  <c r="C452" i="2" s="1"/>
  <c r="J451" i="2"/>
  <c r="J1040" i="2"/>
  <c r="B1041" i="2"/>
  <c r="C1041" i="2" s="1"/>
  <c r="I1620" i="2"/>
  <c r="I1623" i="2" s="1"/>
  <c r="J477" i="2"/>
  <c r="B1177" i="2"/>
  <c r="C1177" i="2" s="1"/>
  <c r="J1177" i="2" s="1"/>
  <c r="J1176" i="2"/>
  <c r="B331" i="2"/>
  <c r="C332" i="2"/>
  <c r="J617" i="2"/>
  <c r="B618" i="2"/>
  <c r="C618" i="2" s="1"/>
  <c r="I1543" i="2"/>
  <c r="I1546" i="2" s="1"/>
  <c r="I1499" i="2"/>
  <c r="I1502" i="2" s="1"/>
  <c r="I1479" i="2"/>
  <c r="I1482" i="2" s="1"/>
  <c r="I1218" i="2"/>
  <c r="I1219" i="2" s="1"/>
  <c r="B1049" i="2"/>
  <c r="C1049" i="2" s="1"/>
  <c r="J1048" i="2"/>
  <c r="B1159" i="2"/>
  <c r="C1159" i="2" s="1"/>
  <c r="J1158" i="2"/>
  <c r="J369" i="2"/>
  <c r="B370" i="2"/>
  <c r="C370" i="2" s="1"/>
  <c r="J461" i="2"/>
  <c r="I1423" i="2"/>
  <c r="C679" i="2"/>
  <c r="B680" i="2" s="1"/>
  <c r="C680" i="2" s="1"/>
  <c r="B681" i="2" s="1"/>
  <c r="C681" i="2" s="1"/>
  <c r="B682" i="2" s="1"/>
  <c r="C682" i="2" s="1"/>
  <c r="B683" i="2" s="1"/>
  <c r="C683" i="2" s="1"/>
  <c r="B684" i="2" s="1"/>
  <c r="C684" i="2" s="1"/>
  <c r="B911" i="2"/>
  <c r="C911" i="2" s="1"/>
  <c r="G1747" i="2"/>
  <c r="I1670" i="2"/>
  <c r="I1674" i="2" s="1"/>
  <c r="I1321" i="2"/>
  <c r="I1338" i="2" s="1"/>
  <c r="J1003" i="2"/>
  <c r="B1004" i="2"/>
  <c r="C1004" i="2" s="1"/>
  <c r="J1039" i="2"/>
  <c r="J1179" i="2"/>
  <c r="I1639" i="2"/>
  <c r="I1642" i="2" s="1"/>
  <c r="B1084" i="2" l="1"/>
  <c r="C1084" i="2" s="1"/>
  <c r="J1083" i="2"/>
  <c r="B1173" i="2"/>
  <c r="C1173" i="2" s="1"/>
  <c r="J1173" i="2" s="1"/>
  <c r="J1172" i="2"/>
  <c r="J1100" i="2"/>
  <c r="B1101" i="2"/>
  <c r="C1101" i="2" s="1"/>
  <c r="J398" i="2"/>
  <c r="B399" i="2"/>
  <c r="C399" i="2" s="1"/>
  <c r="B464" i="2"/>
  <c r="C464" i="2" s="1"/>
  <c r="J1117" i="2"/>
  <c r="B1118" i="2"/>
  <c r="C1118" i="2" s="1"/>
  <c r="J1203" i="2"/>
  <c r="B1204" i="2"/>
  <c r="C1204" i="2" s="1"/>
  <c r="J692" i="2"/>
  <c r="B693" i="2"/>
  <c r="C693" i="2" s="1"/>
  <c r="J1191" i="2"/>
  <c r="B1192" i="2"/>
  <c r="C1192" i="2" s="1"/>
  <c r="J1004" i="2"/>
  <c r="B1005" i="2"/>
  <c r="C1005" i="2" s="1"/>
  <c r="B1142" i="2"/>
  <c r="C1142" i="2" s="1"/>
  <c r="J1141" i="2"/>
  <c r="B1183" i="2"/>
  <c r="C1183" i="2" s="1"/>
  <c r="J1182" i="2"/>
  <c r="B1050" i="2"/>
  <c r="C1050" i="2" s="1"/>
  <c r="J1049" i="2"/>
  <c r="J414" i="2"/>
  <c r="B415" i="2"/>
  <c r="C415" i="2" s="1"/>
  <c r="J442" i="2"/>
  <c r="B443" i="2"/>
  <c r="C443" i="2" s="1"/>
  <c r="B465" i="2"/>
  <c r="C465" i="2" s="1"/>
  <c r="J464" i="2"/>
  <c r="J1154" i="2"/>
  <c r="B1155" i="2"/>
  <c r="C1155" i="2" s="1"/>
  <c r="J1155" i="2" s="1"/>
  <c r="J618" i="2"/>
  <c r="B619" i="2"/>
  <c r="C619" i="2" s="1"/>
  <c r="B1016" i="2"/>
  <c r="C1016" i="2" s="1"/>
  <c r="J1015" i="2"/>
  <c r="B371" i="2"/>
  <c r="C371" i="2" s="1"/>
  <c r="J370" i="2"/>
  <c r="J332" i="2"/>
  <c r="B334" i="2"/>
  <c r="B1042" i="2"/>
  <c r="C1042" i="2" s="1"/>
  <c r="J1041" i="2"/>
  <c r="B982" i="2"/>
  <c r="C982" i="2" s="1"/>
  <c r="J981" i="2"/>
  <c r="B912" i="2"/>
  <c r="C912" i="2" s="1"/>
  <c r="J911" i="2"/>
  <c r="J1159" i="2"/>
  <c r="B1160" i="2"/>
  <c r="C1160" i="2" s="1"/>
  <c r="J452" i="2"/>
  <c r="B453" i="2"/>
  <c r="C453" i="2" s="1"/>
  <c r="B1134" i="2"/>
  <c r="C1134" i="2" s="1"/>
  <c r="J1133" i="2"/>
  <c r="B579" i="2"/>
  <c r="C579" i="2" s="1"/>
  <c r="J578" i="2"/>
  <c r="J1066" i="2"/>
  <c r="B1067" i="2"/>
  <c r="C1067" i="2" s="1"/>
  <c r="J479" i="2"/>
  <c r="B480" i="2"/>
  <c r="C480" i="2" s="1"/>
  <c r="B400" i="2" l="1"/>
  <c r="C400" i="2" s="1"/>
  <c r="J399" i="2"/>
  <c r="J693" i="2"/>
  <c r="B694" i="2"/>
  <c r="C694" i="2" s="1"/>
  <c r="B1102" i="2"/>
  <c r="C1102" i="2" s="1"/>
  <c r="J1101" i="2"/>
  <c r="J1204" i="2"/>
  <c r="B1205" i="2"/>
  <c r="C1205" i="2" s="1"/>
  <c r="J1118" i="2"/>
  <c r="B1119" i="2"/>
  <c r="C1119" i="2" s="1"/>
  <c r="B1193" i="2"/>
  <c r="C1193" i="2" s="1"/>
  <c r="J1192" i="2"/>
  <c r="J1084" i="2"/>
  <c r="B1085" i="2"/>
  <c r="C1085" i="2" s="1"/>
  <c r="J480" i="2"/>
  <c r="B481" i="2"/>
  <c r="C481" i="2" s="1"/>
  <c r="J453" i="2"/>
  <c r="B454" i="2"/>
  <c r="C454" i="2" s="1"/>
  <c r="J1134" i="2"/>
  <c r="B1135" i="2"/>
  <c r="C1135" i="2" s="1"/>
  <c r="B983" i="2"/>
  <c r="C983" i="2" s="1"/>
  <c r="J982" i="2"/>
  <c r="B1051" i="2"/>
  <c r="C1051" i="2" s="1"/>
  <c r="J1050" i="2"/>
  <c r="B1068" i="2"/>
  <c r="C1068" i="2" s="1"/>
  <c r="J1067" i="2"/>
  <c r="B1161" i="2"/>
  <c r="C1161" i="2" s="1"/>
  <c r="J1160" i="2"/>
  <c r="C334" i="2"/>
  <c r="B333" i="2"/>
  <c r="J443" i="2"/>
  <c r="B444" i="2"/>
  <c r="C444" i="2" s="1"/>
  <c r="J1005" i="2"/>
  <c r="B1006" i="2"/>
  <c r="C1006" i="2" s="1"/>
  <c r="B580" i="2"/>
  <c r="C580" i="2" s="1"/>
  <c r="J579" i="2"/>
  <c r="J912" i="2"/>
  <c r="B913" i="2"/>
  <c r="C913" i="2" s="1"/>
  <c r="B1043" i="2"/>
  <c r="C1043" i="2" s="1"/>
  <c r="J1042" i="2"/>
  <c r="J371" i="2"/>
  <c r="B372" i="2"/>
  <c r="C372" i="2" s="1"/>
  <c r="B1017" i="2"/>
  <c r="C1017" i="2" s="1"/>
  <c r="J1016" i="2"/>
  <c r="J465" i="2"/>
  <c r="B466" i="2"/>
  <c r="C466" i="2" s="1"/>
  <c r="B1184" i="2"/>
  <c r="C1184" i="2" s="1"/>
  <c r="J1183" i="2"/>
  <c r="J1142" i="2"/>
  <c r="B1143" i="2"/>
  <c r="C1143" i="2" s="1"/>
  <c r="B620" i="2"/>
  <c r="C620" i="2" s="1"/>
  <c r="J619" i="2"/>
  <c r="B416" i="2"/>
  <c r="C416" i="2" s="1"/>
  <c r="J415" i="2"/>
  <c r="J1205" i="2" l="1"/>
  <c r="B1206" i="2"/>
  <c r="C1206" i="2" s="1"/>
  <c r="J1085" i="2"/>
  <c r="B1086" i="2"/>
  <c r="C1086" i="2" s="1"/>
  <c r="B1103" i="2"/>
  <c r="C1103" i="2" s="1"/>
  <c r="J1102" i="2"/>
  <c r="J694" i="2"/>
  <c r="B695" i="2"/>
  <c r="C695" i="2" s="1"/>
  <c r="B1194" i="2"/>
  <c r="C1194" i="2" s="1"/>
  <c r="J1193" i="2"/>
  <c r="J1119" i="2"/>
  <c r="B1120" i="2"/>
  <c r="C1120" i="2" s="1"/>
  <c r="B401" i="2"/>
  <c r="C401" i="2" s="1"/>
  <c r="J400" i="2"/>
  <c r="J372" i="2"/>
  <c r="B373" i="2"/>
  <c r="C373" i="2" s="1"/>
  <c r="J1068" i="2"/>
  <c r="B1069" i="2"/>
  <c r="C1069" i="2" s="1"/>
  <c r="B417" i="2"/>
  <c r="C417" i="2" s="1"/>
  <c r="J416" i="2"/>
  <c r="B1018" i="2"/>
  <c r="C1018" i="2" s="1"/>
  <c r="J1017" i="2"/>
  <c r="J444" i="2"/>
  <c r="B445" i="2"/>
  <c r="C445" i="2" s="1"/>
  <c r="J1135" i="2"/>
  <c r="B1136" i="2"/>
  <c r="C1136" i="2" s="1"/>
  <c r="B1137" i="2" s="1"/>
  <c r="C1137" i="2" s="1"/>
  <c r="J1137" i="2" s="1"/>
  <c r="J481" i="2"/>
  <c r="B482" i="2"/>
  <c r="C482" i="2" s="1"/>
  <c r="B1052" i="2"/>
  <c r="C1052" i="2" s="1"/>
  <c r="J1051" i="2"/>
  <c r="B1185" i="2"/>
  <c r="C1185" i="2" s="1"/>
  <c r="J1184" i="2"/>
  <c r="B581" i="2"/>
  <c r="C581" i="2" s="1"/>
  <c r="J580" i="2"/>
  <c r="J1161" i="2"/>
  <c r="B1162" i="2"/>
  <c r="C1162" i="2" s="1"/>
  <c r="B984" i="2"/>
  <c r="C984" i="2" s="1"/>
  <c r="J983" i="2"/>
  <c r="J1143" i="2"/>
  <c r="B1144" i="2"/>
  <c r="C1144" i="2" s="1"/>
  <c r="J466" i="2"/>
  <c r="B467" i="2"/>
  <c r="C467" i="2" s="1"/>
  <c r="B914" i="2"/>
  <c r="C914" i="2" s="1"/>
  <c r="J913" i="2"/>
  <c r="B335" i="2"/>
  <c r="C335" i="2" s="1"/>
  <c r="J334" i="2"/>
  <c r="B621" i="2"/>
  <c r="C621" i="2" s="1"/>
  <c r="J620" i="2"/>
  <c r="J1043" i="2"/>
  <c r="B1044" i="2"/>
  <c r="C1044" i="2" s="1"/>
  <c r="J1006" i="2"/>
  <c r="B1007" i="2"/>
  <c r="C1007" i="2" s="1"/>
  <c r="B455" i="2"/>
  <c r="C455" i="2" s="1"/>
  <c r="J454" i="2"/>
  <c r="J695" i="2" l="1"/>
  <c r="B696" i="2"/>
  <c r="C696" i="2" s="1"/>
  <c r="J401" i="2"/>
  <c r="B402" i="2"/>
  <c r="C402" i="2" s="1"/>
  <c r="J1103" i="2"/>
  <c r="B1104" i="2"/>
  <c r="C1104" i="2" s="1"/>
  <c r="B1121" i="2"/>
  <c r="C1121" i="2" s="1"/>
  <c r="J1120" i="2"/>
  <c r="J1086" i="2"/>
  <c r="B1087" i="2"/>
  <c r="C1087" i="2" s="1"/>
  <c r="J1206" i="2"/>
  <c r="B1207" i="2"/>
  <c r="C1207" i="2" s="1"/>
  <c r="J1194" i="2"/>
  <c r="B1195" i="2"/>
  <c r="C1195" i="2" s="1"/>
  <c r="B1163" i="2"/>
  <c r="C1163" i="2" s="1"/>
  <c r="J1162" i="2"/>
  <c r="B483" i="2"/>
  <c r="C483" i="2" s="1"/>
  <c r="J482" i="2"/>
  <c r="J1069" i="2"/>
  <c r="B1070" i="2"/>
  <c r="C1070" i="2" s="1"/>
  <c r="J621" i="2"/>
  <c r="B622" i="2"/>
  <c r="C622" i="2" s="1"/>
  <c r="J581" i="2"/>
  <c r="B582" i="2"/>
  <c r="C582" i="2" s="1"/>
  <c r="B1053" i="2"/>
  <c r="C1053" i="2" s="1"/>
  <c r="J1052" i="2"/>
  <c r="J417" i="2"/>
  <c r="B418" i="2"/>
  <c r="C418" i="2" s="1"/>
  <c r="J1007" i="2"/>
  <c r="B1008" i="2"/>
  <c r="C1008" i="2" s="1"/>
  <c r="B1045" i="2"/>
  <c r="C1045" i="2" s="1"/>
  <c r="J1045" i="2" s="1"/>
  <c r="J1044" i="2"/>
  <c r="B468" i="2"/>
  <c r="C468" i="2" s="1"/>
  <c r="J467" i="2"/>
  <c r="B446" i="2"/>
  <c r="C446" i="2" s="1"/>
  <c r="J445" i="2"/>
  <c r="B374" i="2"/>
  <c r="C374" i="2" s="1"/>
  <c r="J373" i="2"/>
  <c r="J914" i="2"/>
  <c r="B915" i="2"/>
  <c r="C915" i="2" s="1"/>
  <c r="B1145" i="2"/>
  <c r="C1145" i="2" s="1"/>
  <c r="J1144" i="2"/>
  <c r="J455" i="2"/>
  <c r="B456" i="2"/>
  <c r="C456" i="2" s="1"/>
  <c r="B336" i="2"/>
  <c r="C336" i="2" s="1"/>
  <c r="J335" i="2"/>
  <c r="B985" i="2"/>
  <c r="C985" i="2" s="1"/>
  <c r="J984" i="2"/>
  <c r="B1186" i="2"/>
  <c r="C1186" i="2" s="1"/>
  <c r="J1185" i="2"/>
  <c r="B1019" i="2"/>
  <c r="C1019" i="2" s="1"/>
  <c r="J1018" i="2"/>
  <c r="B1122" i="2" l="1"/>
  <c r="C1122" i="2" s="1"/>
  <c r="J1121" i="2"/>
  <c r="J1195" i="2"/>
  <c r="B1196" i="2"/>
  <c r="C1196" i="2" s="1"/>
  <c r="B1105" i="2"/>
  <c r="C1105" i="2" s="1"/>
  <c r="J1104" i="2"/>
  <c r="J1207" i="2"/>
  <c r="B1208" i="2"/>
  <c r="C1208" i="2" s="1"/>
  <c r="J1208" i="2" s="1"/>
  <c r="J402" i="2"/>
  <c r="B403" i="2"/>
  <c r="C403" i="2" s="1"/>
  <c r="J1087" i="2"/>
  <c r="B1088" i="2"/>
  <c r="C1088" i="2" s="1"/>
  <c r="B697" i="2"/>
  <c r="C697" i="2" s="1"/>
  <c r="J696" i="2"/>
  <c r="B1054" i="2"/>
  <c r="C1054" i="2" s="1"/>
  <c r="J1053" i="2"/>
  <c r="B1164" i="2"/>
  <c r="C1164" i="2" s="1"/>
  <c r="J1163" i="2"/>
  <c r="J1070" i="2"/>
  <c r="B1071" i="2"/>
  <c r="C1071" i="2" s="1"/>
  <c r="B1009" i="2"/>
  <c r="C1009" i="2" s="1"/>
  <c r="J1008" i="2"/>
  <c r="J1019" i="2"/>
  <c r="B1020" i="2"/>
  <c r="C1020" i="2" s="1"/>
  <c r="B375" i="2"/>
  <c r="C375" i="2" s="1"/>
  <c r="J374" i="2"/>
  <c r="J456" i="2"/>
  <c r="B457" i="2"/>
  <c r="C457" i="2" s="1"/>
  <c r="J483" i="2"/>
  <c r="B484" i="2"/>
  <c r="C484" i="2" s="1"/>
  <c r="J915" i="2"/>
  <c r="B916" i="2"/>
  <c r="C916" i="2" s="1"/>
  <c r="B986" i="2"/>
  <c r="C986" i="2" s="1"/>
  <c r="J985" i="2"/>
  <c r="B1187" i="2"/>
  <c r="C1187" i="2" s="1"/>
  <c r="J1187" i="2" s="1"/>
  <c r="J1186" i="2"/>
  <c r="J336" i="2"/>
  <c r="B337" i="2"/>
  <c r="C337" i="2" s="1"/>
  <c r="J1145" i="2"/>
  <c r="B1146" i="2"/>
  <c r="C1146" i="2" s="1"/>
  <c r="J446" i="2"/>
  <c r="B447" i="2"/>
  <c r="C447" i="2" s="1"/>
  <c r="J468" i="2"/>
  <c r="B469" i="2"/>
  <c r="C469" i="2" s="1"/>
  <c r="B419" i="2"/>
  <c r="C419" i="2" s="1"/>
  <c r="J418" i="2"/>
  <c r="B583" i="2"/>
  <c r="C583" i="2" s="1"/>
  <c r="J582" i="2"/>
  <c r="J622" i="2"/>
  <c r="B623" i="2"/>
  <c r="C623" i="2" s="1"/>
  <c r="B698" i="2" l="1"/>
  <c r="C698" i="2" s="1"/>
  <c r="J697" i="2"/>
  <c r="J1105" i="2"/>
  <c r="B1106" i="2"/>
  <c r="C1106" i="2" s="1"/>
  <c r="J1088" i="2"/>
  <c r="B1089" i="2"/>
  <c r="C1089" i="2" s="1"/>
  <c r="B1197" i="2"/>
  <c r="C1197" i="2" s="1"/>
  <c r="J1196" i="2"/>
  <c r="B404" i="2"/>
  <c r="C404" i="2" s="1"/>
  <c r="J403" i="2"/>
  <c r="B1123" i="2"/>
  <c r="C1123" i="2" s="1"/>
  <c r="J1122" i="2"/>
  <c r="B624" i="2"/>
  <c r="C624" i="2" s="1"/>
  <c r="J623" i="2"/>
  <c r="J1146" i="2"/>
  <c r="B1147" i="2"/>
  <c r="C1147" i="2" s="1"/>
  <c r="J484" i="2"/>
  <c r="B485" i="2"/>
  <c r="C485" i="2" s="1"/>
  <c r="J1020" i="2"/>
  <c r="B1021" i="2"/>
  <c r="C1021" i="2" s="1"/>
  <c r="J583" i="2"/>
  <c r="B584" i="2"/>
  <c r="C584" i="2" s="1"/>
  <c r="J375" i="2"/>
  <c r="B376" i="2"/>
  <c r="C376" i="2" s="1"/>
  <c r="B1055" i="2"/>
  <c r="C1055" i="2" s="1"/>
  <c r="J1054" i="2"/>
  <c r="B458" i="2"/>
  <c r="C458" i="2" s="1"/>
  <c r="J458" i="2" s="1"/>
  <c r="J457" i="2"/>
  <c r="B470" i="2"/>
  <c r="C470" i="2" s="1"/>
  <c r="J469" i="2"/>
  <c r="B917" i="2"/>
  <c r="C917" i="2" s="1"/>
  <c r="J916" i="2"/>
  <c r="J1071" i="2"/>
  <c r="B1072" i="2"/>
  <c r="C1072" i="2" s="1"/>
  <c r="B448" i="2"/>
  <c r="C448" i="2" s="1"/>
  <c r="J448" i="2" s="1"/>
  <c r="J447" i="2"/>
  <c r="B338" i="2"/>
  <c r="C338" i="2" s="1"/>
  <c r="J337" i="2"/>
  <c r="B420" i="2"/>
  <c r="C420" i="2" s="1"/>
  <c r="J419" i="2"/>
  <c r="J986" i="2"/>
  <c r="B987" i="2"/>
  <c r="C987" i="2" s="1"/>
  <c r="B1010" i="2"/>
  <c r="C1010" i="2" s="1"/>
  <c r="J1010" i="2" s="1"/>
  <c r="J1009" i="2"/>
  <c r="J1164" i="2"/>
  <c r="B1165" i="2"/>
  <c r="C1165" i="2" s="1"/>
  <c r="B1198" i="2" l="1"/>
  <c r="C1198" i="2" s="1"/>
  <c r="J1197" i="2"/>
  <c r="J1089" i="2"/>
  <c r="B1090" i="2"/>
  <c r="C1090" i="2" s="1"/>
  <c r="J1106" i="2"/>
  <c r="B1107" i="2"/>
  <c r="C1107" i="2" s="1"/>
  <c r="J1123" i="2"/>
  <c r="B1124" i="2"/>
  <c r="C1124" i="2" s="1"/>
  <c r="B405" i="2"/>
  <c r="C405" i="2" s="1"/>
  <c r="J404" i="2"/>
  <c r="B699" i="2"/>
  <c r="C699" i="2" s="1"/>
  <c r="J698" i="2"/>
  <c r="J917" i="2"/>
  <c r="B918" i="2"/>
  <c r="C918" i="2" s="1"/>
  <c r="B1056" i="2"/>
  <c r="C1056" i="2" s="1"/>
  <c r="J1055" i="2"/>
  <c r="B1073" i="2"/>
  <c r="C1073" i="2" s="1"/>
  <c r="J1072" i="2"/>
  <c r="B377" i="2"/>
  <c r="C377" i="2" s="1"/>
  <c r="J376" i="2"/>
  <c r="B585" i="2"/>
  <c r="C585" i="2" s="1"/>
  <c r="J584" i="2"/>
  <c r="J485" i="2"/>
  <c r="B486" i="2"/>
  <c r="C486" i="2" s="1"/>
  <c r="J338" i="2"/>
  <c r="B339" i="2"/>
  <c r="C339" i="2" s="1"/>
  <c r="B471" i="2"/>
  <c r="C471" i="2" s="1"/>
  <c r="J470" i="2"/>
  <c r="J1165" i="2"/>
  <c r="B1166" i="2"/>
  <c r="C1166" i="2" s="1"/>
  <c r="J420" i="2"/>
  <c r="B421" i="2"/>
  <c r="C421" i="2" s="1"/>
  <c r="B625" i="2"/>
  <c r="C625" i="2" s="1"/>
  <c r="J624" i="2"/>
  <c r="B988" i="2"/>
  <c r="C988" i="2" s="1"/>
  <c r="J987" i="2"/>
  <c r="J1021" i="2"/>
  <c r="B1022" i="2"/>
  <c r="C1022" i="2" s="1"/>
  <c r="B1148" i="2"/>
  <c r="C1148" i="2" s="1"/>
  <c r="J1147" i="2"/>
  <c r="B1125" i="2" l="1"/>
  <c r="C1125" i="2" s="1"/>
  <c r="B1126" i="2" s="1"/>
  <c r="C1126" i="2" s="1"/>
  <c r="B1127" i="2" s="1"/>
  <c r="C1127" i="2" s="1"/>
  <c r="J1127" i="2" s="1"/>
  <c r="J1124" i="2"/>
  <c r="J1107" i="2"/>
  <c r="B1108" i="2"/>
  <c r="C1108" i="2" s="1"/>
  <c r="B1091" i="2"/>
  <c r="C1091" i="2" s="1"/>
  <c r="J1090" i="2"/>
  <c r="J699" i="2"/>
  <c r="B700" i="2"/>
  <c r="C700" i="2" s="1"/>
  <c r="J405" i="2"/>
  <c r="B406" i="2"/>
  <c r="C406" i="2" s="1"/>
  <c r="J1198" i="2"/>
  <c r="B1199" i="2"/>
  <c r="C1199" i="2" s="1"/>
  <c r="J1199" i="2" s="1"/>
  <c r="J988" i="2"/>
  <c r="B989" i="2"/>
  <c r="C989" i="2" s="1"/>
  <c r="J1166" i="2"/>
  <c r="B1167" i="2"/>
  <c r="C1167" i="2" s="1"/>
  <c r="J625" i="2"/>
  <c r="B626" i="2"/>
  <c r="C626" i="2" s="1"/>
  <c r="B472" i="2"/>
  <c r="C472" i="2" s="1"/>
  <c r="J471" i="2"/>
  <c r="B378" i="2"/>
  <c r="C378" i="2" s="1"/>
  <c r="J378" i="2" s="1"/>
  <c r="J377" i="2"/>
  <c r="B1023" i="2"/>
  <c r="C1023" i="2" s="1"/>
  <c r="J1022" i="2"/>
  <c r="B422" i="2"/>
  <c r="C422" i="2" s="1"/>
  <c r="J421" i="2"/>
  <c r="B487" i="2"/>
  <c r="C487" i="2" s="1"/>
  <c r="J486" i="2"/>
  <c r="J918" i="2"/>
  <c r="B919" i="2"/>
  <c r="C919" i="2" s="1"/>
  <c r="B586" i="2"/>
  <c r="C586" i="2" s="1"/>
  <c r="J585" i="2"/>
  <c r="B1074" i="2"/>
  <c r="C1074" i="2" s="1"/>
  <c r="J1073" i="2"/>
  <c r="J1056" i="2"/>
  <c r="B1057" i="2"/>
  <c r="C1057" i="2" s="1"/>
  <c r="B1149" i="2"/>
  <c r="C1149" i="2" s="1"/>
  <c r="J1149" i="2" s="1"/>
  <c r="J1148" i="2"/>
  <c r="B340" i="2"/>
  <c r="C340" i="2" s="1"/>
  <c r="J339" i="2"/>
  <c r="B701" i="2" l="1"/>
  <c r="C701" i="2" s="1"/>
  <c r="J700" i="2"/>
  <c r="B1092" i="2"/>
  <c r="C1092" i="2" s="1"/>
  <c r="J1091" i="2"/>
  <c r="J1108" i="2"/>
  <c r="B1109" i="2"/>
  <c r="C1109" i="2" s="1"/>
  <c r="J406" i="2"/>
  <c r="B407" i="2"/>
  <c r="C407" i="2" s="1"/>
  <c r="B1075" i="2"/>
  <c r="C1075" i="2" s="1"/>
  <c r="J1074" i="2"/>
  <c r="B473" i="2"/>
  <c r="C473" i="2" s="1"/>
  <c r="J472" i="2"/>
  <c r="B990" i="2"/>
  <c r="C990" i="2" s="1"/>
  <c r="J989" i="2"/>
  <c r="B423" i="2"/>
  <c r="C423" i="2" s="1"/>
  <c r="J422" i="2"/>
  <c r="B341" i="2"/>
  <c r="C341" i="2" s="1"/>
  <c r="J340" i="2"/>
  <c r="B488" i="2"/>
  <c r="C488" i="2" s="1"/>
  <c r="J487" i="2"/>
  <c r="B1024" i="2"/>
  <c r="C1024" i="2" s="1"/>
  <c r="J1023" i="2"/>
  <c r="J919" i="2"/>
  <c r="B920" i="2"/>
  <c r="C920" i="2" s="1"/>
  <c r="B587" i="2"/>
  <c r="C587" i="2" s="1"/>
  <c r="J586" i="2"/>
  <c r="J1057" i="2"/>
  <c r="B1058" i="2"/>
  <c r="C1058" i="2" s="1"/>
  <c r="J626" i="2"/>
  <c r="B627" i="2"/>
  <c r="C627" i="2" s="1"/>
  <c r="J1167" i="2"/>
  <c r="B1168" i="2"/>
  <c r="C1168" i="2" s="1"/>
  <c r="J1168" i="2" s="1"/>
  <c r="B408" i="2" l="1"/>
  <c r="C408" i="2" s="1"/>
  <c r="J408" i="2" s="1"/>
  <c r="J407" i="2"/>
  <c r="B1093" i="2"/>
  <c r="C1093" i="2" s="1"/>
  <c r="J1092" i="2"/>
  <c r="J1109" i="2"/>
  <c r="B1110" i="2"/>
  <c r="C1110" i="2" s="1"/>
  <c r="J701" i="2"/>
  <c r="B702" i="2"/>
  <c r="C702" i="2" s="1"/>
  <c r="J1024" i="2"/>
  <c r="B1025" i="2"/>
  <c r="C1025" i="2" s="1"/>
  <c r="B342" i="2"/>
  <c r="C342" i="2" s="1"/>
  <c r="J341" i="2"/>
  <c r="J990" i="2"/>
  <c r="B991" i="2"/>
  <c r="C991" i="2" s="1"/>
  <c r="B474" i="2"/>
  <c r="C474" i="2" s="1"/>
  <c r="J474" i="2" s="1"/>
  <c r="J473" i="2"/>
  <c r="J1058" i="2"/>
  <c r="B1059" i="2"/>
  <c r="C1059" i="2" s="1"/>
  <c r="B588" i="2"/>
  <c r="C588" i="2" s="1"/>
  <c r="J587" i="2"/>
  <c r="B489" i="2"/>
  <c r="C489" i="2" s="1"/>
  <c r="J488" i="2"/>
  <c r="J423" i="2"/>
  <c r="B424" i="2"/>
  <c r="C424" i="2" s="1"/>
  <c r="J1075" i="2"/>
  <c r="B1076" i="2"/>
  <c r="C1076" i="2" s="1"/>
  <c r="J627" i="2"/>
  <c r="B628" i="2"/>
  <c r="C628" i="2" s="1"/>
  <c r="J920" i="2"/>
  <c r="B921" i="2"/>
  <c r="C921" i="2" s="1"/>
  <c r="J702" i="2" l="1"/>
  <c r="B703" i="2"/>
  <c r="C703" i="2" s="1"/>
  <c r="B1094" i="2"/>
  <c r="C1094" i="2" s="1"/>
  <c r="J1093" i="2"/>
  <c r="B1111" i="2"/>
  <c r="C1111" i="2" s="1"/>
  <c r="J1110" i="2"/>
  <c r="B589" i="2"/>
  <c r="C589" i="2" s="1"/>
  <c r="J588" i="2"/>
  <c r="B922" i="2"/>
  <c r="C922" i="2" s="1"/>
  <c r="J921" i="2"/>
  <c r="B425" i="2"/>
  <c r="C425" i="2" s="1"/>
  <c r="J424" i="2"/>
  <c r="J1059" i="2"/>
  <c r="B1060" i="2"/>
  <c r="C1060" i="2" s="1"/>
  <c r="B992" i="2"/>
  <c r="C992" i="2" s="1"/>
  <c r="J991" i="2"/>
  <c r="B1026" i="2"/>
  <c r="C1026" i="2" s="1"/>
  <c r="J1025" i="2"/>
  <c r="J489" i="2"/>
  <c r="B490" i="2"/>
  <c r="C490" i="2" s="1"/>
  <c r="B343" i="2"/>
  <c r="C343" i="2" s="1"/>
  <c r="J342" i="2"/>
  <c r="B629" i="2"/>
  <c r="C629" i="2" s="1"/>
  <c r="J628" i="2"/>
  <c r="J1076" i="2"/>
  <c r="B1077" i="2"/>
  <c r="C1077" i="2" s="1"/>
  <c r="J1111" i="2" l="1"/>
  <c r="B1112" i="2"/>
  <c r="C1112" i="2" s="1"/>
  <c r="J1094" i="2"/>
  <c r="B1095" i="2"/>
  <c r="C1095" i="2" s="1"/>
  <c r="B704" i="2"/>
  <c r="C704" i="2" s="1"/>
  <c r="J703" i="2"/>
  <c r="J343" i="2"/>
  <c r="B344" i="2"/>
  <c r="C344" i="2" s="1"/>
  <c r="J425" i="2"/>
  <c r="B426" i="2"/>
  <c r="C426" i="2" s="1"/>
  <c r="B1078" i="2"/>
  <c r="C1078" i="2" s="1"/>
  <c r="J1077" i="2"/>
  <c r="J1026" i="2"/>
  <c r="B1027" i="2"/>
  <c r="C1027" i="2" s="1"/>
  <c r="J922" i="2"/>
  <c r="B923" i="2"/>
  <c r="C923" i="2" s="1"/>
  <c r="J992" i="2"/>
  <c r="B993" i="2"/>
  <c r="C993" i="2" s="1"/>
  <c r="J993" i="2" s="1"/>
  <c r="J589" i="2"/>
  <c r="B590" i="2"/>
  <c r="C590" i="2" s="1"/>
  <c r="B491" i="2"/>
  <c r="C491" i="2" s="1"/>
  <c r="J490" i="2"/>
  <c r="B630" i="2"/>
  <c r="C630" i="2" s="1"/>
  <c r="J629" i="2"/>
  <c r="B1061" i="2"/>
  <c r="C1061" i="2" s="1"/>
  <c r="J1060" i="2"/>
  <c r="B706" i="2" l="1"/>
  <c r="J704" i="2"/>
  <c r="B1096" i="2"/>
  <c r="C1096" i="2" s="1"/>
  <c r="J1096" i="2" s="1"/>
  <c r="J1095" i="2"/>
  <c r="B1113" i="2"/>
  <c r="C1113" i="2" s="1"/>
  <c r="J1113" i="2" s="1"/>
  <c r="J1112" i="2"/>
  <c r="B1062" i="2"/>
  <c r="C1062" i="2" s="1"/>
  <c r="J1062" i="2" s="1"/>
  <c r="J1061" i="2"/>
  <c r="B631" i="2"/>
  <c r="C631" i="2" s="1"/>
  <c r="J630" i="2"/>
  <c r="B1079" i="2"/>
  <c r="C1079" i="2" s="1"/>
  <c r="J1079" i="2" s="1"/>
  <c r="J1078" i="2"/>
  <c r="J590" i="2"/>
  <c r="B591" i="2"/>
  <c r="C591" i="2" s="1"/>
  <c r="J923" i="2"/>
  <c r="B924" i="2"/>
  <c r="C924" i="2" s="1"/>
  <c r="B345" i="2"/>
  <c r="C345" i="2" s="1"/>
  <c r="J344" i="2"/>
  <c r="B492" i="2"/>
  <c r="C492" i="2" s="1"/>
  <c r="J491" i="2"/>
  <c r="B1028" i="2"/>
  <c r="C1028" i="2" s="1"/>
  <c r="J1027" i="2"/>
  <c r="J426" i="2"/>
  <c r="B427" i="2"/>
  <c r="C427" i="2" s="1"/>
  <c r="C706" i="2" l="1"/>
  <c r="B705" i="2"/>
  <c r="B1029" i="2"/>
  <c r="C1029" i="2" s="1"/>
  <c r="J1028" i="2"/>
  <c r="B346" i="2"/>
  <c r="C346" i="2" s="1"/>
  <c r="J345" i="2"/>
  <c r="J631" i="2"/>
  <c r="B632" i="2"/>
  <c r="C632" i="2" s="1"/>
  <c r="B592" i="2"/>
  <c r="C592" i="2" s="1"/>
  <c r="J591" i="2"/>
  <c r="B493" i="2"/>
  <c r="C493" i="2" s="1"/>
  <c r="J492" i="2"/>
  <c r="J427" i="2"/>
  <c r="B428" i="2"/>
  <c r="C428" i="2" s="1"/>
  <c r="B925" i="2"/>
  <c r="C925" i="2" s="1"/>
  <c r="J924" i="2"/>
  <c r="B707" i="2" l="1"/>
  <c r="C707" i="2" s="1"/>
  <c r="J706" i="2"/>
  <c r="B1030" i="2"/>
  <c r="C1030" i="2" s="1"/>
  <c r="J1029" i="2"/>
  <c r="J428" i="2"/>
  <c r="B429" i="2"/>
  <c r="C429" i="2" s="1"/>
  <c r="B633" i="2"/>
  <c r="C633" i="2" s="1"/>
  <c r="J632" i="2"/>
  <c r="J925" i="2"/>
  <c r="B927" i="2"/>
  <c r="B494" i="2"/>
  <c r="C494" i="2" s="1"/>
  <c r="J493" i="2"/>
  <c r="B593" i="2"/>
  <c r="C593" i="2" s="1"/>
  <c r="J592" i="2"/>
  <c r="B347" i="2"/>
  <c r="C347" i="2" s="1"/>
  <c r="J346" i="2"/>
  <c r="B708" i="2" l="1"/>
  <c r="C708" i="2" s="1"/>
  <c r="J707" i="2"/>
  <c r="B926" i="2"/>
  <c r="C927" i="2"/>
  <c r="B430" i="2"/>
  <c r="C430" i="2" s="1"/>
  <c r="J429" i="2"/>
  <c r="J347" i="2"/>
  <c r="B348" i="2"/>
  <c r="C348" i="2" s="1"/>
  <c r="B495" i="2"/>
  <c r="C495" i="2" s="1"/>
  <c r="J494" i="2"/>
  <c r="B634" i="2"/>
  <c r="C634" i="2" s="1"/>
  <c r="J633" i="2"/>
  <c r="B594" i="2"/>
  <c r="C594" i="2" s="1"/>
  <c r="J593" i="2"/>
  <c r="J1030" i="2"/>
  <c r="B1031" i="2"/>
  <c r="C1031" i="2" s="1"/>
  <c r="J708" i="2" l="1"/>
  <c r="B709" i="2"/>
  <c r="C709" i="2" s="1"/>
  <c r="J594" i="2"/>
  <c r="B595" i="2"/>
  <c r="C595" i="2" s="1"/>
  <c r="B635" i="2"/>
  <c r="C635" i="2" s="1"/>
  <c r="J634" i="2"/>
  <c r="B349" i="2"/>
  <c r="C349" i="2" s="1"/>
  <c r="J348" i="2"/>
  <c r="B928" i="2"/>
  <c r="C928" i="2" s="1"/>
  <c r="J927" i="2"/>
  <c r="J1031" i="2"/>
  <c r="B1032" i="2"/>
  <c r="C1032" i="2" s="1"/>
  <c r="J495" i="2"/>
  <c r="B496" i="2"/>
  <c r="C496" i="2" s="1"/>
  <c r="J430" i="2"/>
  <c r="B431" i="2"/>
  <c r="C431" i="2" s="1"/>
  <c r="B710" i="2" l="1"/>
  <c r="C710" i="2" s="1"/>
  <c r="J709" i="2"/>
  <c r="B432" i="2"/>
  <c r="C432" i="2" s="1"/>
  <c r="J431" i="2"/>
  <c r="B351" i="2"/>
  <c r="J349" i="2"/>
  <c r="B497" i="2"/>
  <c r="C497" i="2" s="1"/>
  <c r="J496" i="2"/>
  <c r="B1033" i="2"/>
  <c r="C1033" i="2" s="1"/>
  <c r="J1032" i="2"/>
  <c r="J595" i="2"/>
  <c r="B596" i="2"/>
  <c r="C596" i="2" s="1"/>
  <c r="B929" i="2"/>
  <c r="C929" i="2" s="1"/>
  <c r="J928" i="2"/>
  <c r="J635" i="2"/>
  <c r="B636" i="2"/>
  <c r="C636" i="2" s="1"/>
  <c r="J710" i="2" l="1"/>
  <c r="B711" i="2"/>
  <c r="C711" i="2" s="1"/>
  <c r="B597" i="2"/>
  <c r="C597" i="2" s="1"/>
  <c r="J596" i="2"/>
  <c r="J636" i="2"/>
  <c r="B637" i="2"/>
  <c r="C637" i="2" s="1"/>
  <c r="B930" i="2"/>
  <c r="C930" i="2" s="1"/>
  <c r="J929" i="2"/>
  <c r="B350" i="2"/>
  <c r="C351" i="2"/>
  <c r="J497" i="2"/>
  <c r="B498" i="2"/>
  <c r="C498" i="2" s="1"/>
  <c r="J432" i="2"/>
  <c r="B433" i="2"/>
  <c r="C433" i="2" s="1"/>
  <c r="J1033" i="2"/>
  <c r="B1034" i="2"/>
  <c r="C1034" i="2" s="1"/>
  <c r="B712" i="2" l="1"/>
  <c r="C712" i="2" s="1"/>
  <c r="J711" i="2"/>
  <c r="J930" i="2"/>
  <c r="B931" i="2"/>
  <c r="C931" i="2" s="1"/>
  <c r="B499" i="2"/>
  <c r="C499" i="2" s="1"/>
  <c r="J498" i="2"/>
  <c r="B598" i="2"/>
  <c r="C598" i="2" s="1"/>
  <c r="J597" i="2"/>
  <c r="J1034" i="2"/>
  <c r="B1035" i="2"/>
  <c r="C1035" i="2" s="1"/>
  <c r="B434" i="2"/>
  <c r="C434" i="2" s="1"/>
  <c r="J434" i="2" s="1"/>
  <c r="J433" i="2"/>
  <c r="B352" i="2"/>
  <c r="C352" i="2" s="1"/>
  <c r="J351" i="2"/>
  <c r="B638" i="2"/>
  <c r="C638" i="2" s="1"/>
  <c r="J637" i="2"/>
  <c r="B713" i="2" l="1"/>
  <c r="C713" i="2" s="1"/>
  <c r="J712" i="2"/>
  <c r="J638" i="2"/>
  <c r="B639" i="2"/>
  <c r="C639" i="2" s="1"/>
  <c r="B599" i="2"/>
  <c r="C599" i="2" s="1"/>
  <c r="J598" i="2"/>
  <c r="B500" i="2"/>
  <c r="C500" i="2" s="1"/>
  <c r="J499" i="2"/>
  <c r="B353" i="2"/>
  <c r="C353" i="2" s="1"/>
  <c r="J352" i="2"/>
  <c r="B1036" i="2"/>
  <c r="C1036" i="2" s="1"/>
  <c r="J1036" i="2" s="1"/>
  <c r="J1218" i="2" s="1"/>
  <c r="J1035" i="2"/>
  <c r="J931" i="2"/>
  <c r="B932" i="2"/>
  <c r="C932" i="2" s="1"/>
  <c r="B714" i="2" l="1"/>
  <c r="C714" i="2" s="1"/>
  <c r="J713" i="2"/>
  <c r="J932" i="2"/>
  <c r="B933" i="2"/>
  <c r="C933" i="2" s="1"/>
  <c r="B640" i="2"/>
  <c r="C640" i="2" s="1"/>
  <c r="B641" i="2" s="1"/>
  <c r="C641" i="2" s="1"/>
  <c r="J639" i="2"/>
  <c r="B600" i="2"/>
  <c r="C600" i="2" s="1"/>
  <c r="J599" i="2"/>
  <c r="B501" i="2"/>
  <c r="C501" i="2" s="1"/>
  <c r="J500" i="2"/>
  <c r="B354" i="2"/>
  <c r="C354" i="2" s="1"/>
  <c r="J353" i="2"/>
  <c r="B715" i="2" l="1"/>
  <c r="C715" i="2" s="1"/>
  <c r="J714" i="2"/>
  <c r="J933" i="2"/>
  <c r="B934" i="2"/>
  <c r="C934" i="2" s="1"/>
  <c r="B642" i="2"/>
  <c r="C642" i="2" s="1"/>
  <c r="J641" i="2"/>
  <c r="B502" i="2"/>
  <c r="C502" i="2" s="1"/>
  <c r="J501" i="2"/>
  <c r="J354" i="2"/>
  <c r="B355" i="2"/>
  <c r="C355" i="2" s="1"/>
  <c r="B601" i="2"/>
  <c r="C601" i="2" s="1"/>
  <c r="J600" i="2"/>
  <c r="J715" i="2" l="1"/>
  <c r="B716" i="2"/>
  <c r="C716" i="2" s="1"/>
  <c r="J355" i="2"/>
  <c r="B356" i="2"/>
  <c r="C356" i="2" s="1"/>
  <c r="J934" i="2"/>
  <c r="B935" i="2"/>
  <c r="C935" i="2" s="1"/>
  <c r="B503" i="2"/>
  <c r="C503" i="2" s="1"/>
  <c r="J502" i="2"/>
  <c r="B602" i="2"/>
  <c r="C602" i="2" s="1"/>
  <c r="J602" i="2" s="1"/>
  <c r="J601" i="2"/>
  <c r="J642" i="2"/>
  <c r="B643" i="2"/>
  <c r="C643" i="2" s="1"/>
  <c r="B717" i="2" l="1"/>
  <c r="C717" i="2" s="1"/>
  <c r="J716" i="2"/>
  <c r="B504" i="2"/>
  <c r="C504" i="2" s="1"/>
  <c r="J503" i="2"/>
  <c r="J643" i="2"/>
  <c r="B644" i="2"/>
  <c r="C644" i="2" s="1"/>
  <c r="J356" i="2"/>
  <c r="B357" i="2"/>
  <c r="C357" i="2" s="1"/>
  <c r="B936" i="2"/>
  <c r="C936" i="2" s="1"/>
  <c r="J935" i="2"/>
  <c r="J717" i="2" l="1"/>
  <c r="B718" i="2"/>
  <c r="C718" i="2" s="1"/>
  <c r="B937" i="2"/>
  <c r="C937" i="2" s="1"/>
  <c r="J936" i="2"/>
  <c r="J504" i="2"/>
  <c r="B505" i="2"/>
  <c r="C505" i="2" s="1"/>
  <c r="B358" i="2"/>
  <c r="C358" i="2" s="1"/>
  <c r="J357" i="2"/>
  <c r="B645" i="2"/>
  <c r="C645" i="2" s="1"/>
  <c r="J644" i="2"/>
  <c r="B719" i="2" l="1"/>
  <c r="C719" i="2" s="1"/>
  <c r="J718" i="2"/>
  <c r="J645" i="2"/>
  <c r="B646" i="2"/>
  <c r="C646" i="2" s="1"/>
  <c r="B938" i="2"/>
  <c r="C938" i="2" s="1"/>
  <c r="J937" i="2"/>
  <c r="B506" i="2"/>
  <c r="C506" i="2" s="1"/>
  <c r="J505" i="2"/>
  <c r="J358" i="2"/>
  <c r="B359" i="2"/>
  <c r="C359" i="2" s="1"/>
  <c r="B720" i="2" l="1"/>
  <c r="C720" i="2" s="1"/>
  <c r="J719" i="2"/>
  <c r="J359" i="2"/>
  <c r="B360" i="2"/>
  <c r="C360" i="2" s="1"/>
  <c r="B939" i="2"/>
  <c r="C939" i="2" s="1"/>
  <c r="J938" i="2"/>
  <c r="J646" i="2"/>
  <c r="B647" i="2"/>
  <c r="C647" i="2" s="1"/>
  <c r="B507" i="2"/>
  <c r="C507" i="2" s="1"/>
  <c r="J506" i="2"/>
  <c r="J720" i="2" l="1"/>
  <c r="B721" i="2"/>
  <c r="C721" i="2" s="1"/>
  <c r="B361" i="2"/>
  <c r="C361" i="2" s="1"/>
  <c r="J360" i="2"/>
  <c r="J939" i="2"/>
  <c r="B940" i="2"/>
  <c r="C940" i="2" s="1"/>
  <c r="B508" i="2"/>
  <c r="C508" i="2" s="1"/>
  <c r="J507" i="2"/>
  <c r="B648" i="2"/>
  <c r="C648" i="2" s="1"/>
  <c r="J648" i="2" s="1"/>
  <c r="J647" i="2"/>
  <c r="B723" i="2" l="1"/>
  <c r="J721" i="2"/>
  <c r="B362" i="2"/>
  <c r="C362" i="2" s="1"/>
  <c r="J361" i="2"/>
  <c r="J508" i="2"/>
  <c r="B509" i="2"/>
  <c r="C509" i="2" s="1"/>
  <c r="B941" i="2"/>
  <c r="C941" i="2" s="1"/>
  <c r="J940" i="2"/>
  <c r="C723" i="2" l="1"/>
  <c r="B722" i="2"/>
  <c r="J362" i="2"/>
  <c r="B363" i="2"/>
  <c r="C363" i="2" s="1"/>
  <c r="B942" i="2"/>
  <c r="C942" i="2" s="1"/>
  <c r="J941" i="2"/>
  <c r="J509" i="2"/>
  <c r="B510" i="2"/>
  <c r="C510" i="2" s="1"/>
  <c r="B724" i="2" l="1"/>
  <c r="C724" i="2" s="1"/>
  <c r="J723" i="2"/>
  <c r="J942" i="2"/>
  <c r="B944" i="2"/>
  <c r="J510" i="2"/>
  <c r="B511" i="2"/>
  <c r="C511" i="2" s="1"/>
  <c r="B364" i="2"/>
  <c r="C364" i="2" s="1"/>
  <c r="J363" i="2"/>
  <c r="J724" i="2" l="1"/>
  <c r="B725" i="2"/>
  <c r="C725" i="2" s="1"/>
  <c r="B512" i="2"/>
  <c r="C512" i="2" s="1"/>
  <c r="J511" i="2"/>
  <c r="J364" i="2"/>
  <c r="B365" i="2"/>
  <c r="C365" i="2" s="1"/>
  <c r="C944" i="2"/>
  <c r="B943" i="2"/>
  <c r="J725" i="2" l="1"/>
  <c r="B726" i="2"/>
  <c r="C726" i="2" s="1"/>
  <c r="J512" i="2"/>
  <c r="B513" i="2"/>
  <c r="C513" i="2" s="1"/>
  <c r="B366" i="2"/>
  <c r="C366" i="2" s="1"/>
  <c r="J366" i="2" s="1"/>
  <c r="J365" i="2"/>
  <c r="B945" i="2"/>
  <c r="C945" i="2" s="1"/>
  <c r="J944" i="2"/>
  <c r="B727" i="2" l="1"/>
  <c r="C727" i="2" s="1"/>
  <c r="J726" i="2"/>
  <c r="J945" i="2"/>
  <c r="B946" i="2"/>
  <c r="C946" i="2" s="1"/>
  <c r="J513" i="2"/>
  <c r="B514" i="2"/>
  <c r="C514" i="2" s="1"/>
  <c r="J727" i="2" l="1"/>
  <c r="B728" i="2"/>
  <c r="C728" i="2" s="1"/>
  <c r="B515" i="2"/>
  <c r="C515" i="2" s="1"/>
  <c r="J514" i="2"/>
  <c r="J946" i="2"/>
  <c r="B947" i="2"/>
  <c r="C947" i="2" s="1"/>
  <c r="J728" i="2" l="1"/>
  <c r="B729" i="2"/>
  <c r="C729" i="2" s="1"/>
  <c r="J515" i="2"/>
  <c r="B516" i="2"/>
  <c r="C516" i="2" s="1"/>
  <c r="B948" i="2"/>
  <c r="C948" i="2" s="1"/>
  <c r="J947" i="2"/>
  <c r="B730" i="2" l="1"/>
  <c r="C730" i="2" s="1"/>
  <c r="J729" i="2"/>
  <c r="B949" i="2"/>
  <c r="C949" i="2" s="1"/>
  <c r="J948" i="2"/>
  <c r="J516" i="2"/>
  <c r="B517" i="2"/>
  <c r="C517" i="2" s="1"/>
  <c r="B731" i="2" l="1"/>
  <c r="C731" i="2" s="1"/>
  <c r="J730" i="2"/>
  <c r="J949" i="2"/>
  <c r="B950" i="2"/>
  <c r="C950" i="2" s="1"/>
  <c r="B518" i="2"/>
  <c r="C518" i="2" s="1"/>
  <c r="J517" i="2"/>
  <c r="B732" i="2" l="1"/>
  <c r="C732" i="2" s="1"/>
  <c r="J731" i="2"/>
  <c r="J518" i="2"/>
  <c r="B519" i="2"/>
  <c r="C519" i="2" s="1"/>
  <c r="B951" i="2"/>
  <c r="C951" i="2" s="1"/>
  <c r="J950" i="2"/>
  <c r="J732" i="2" l="1"/>
  <c r="B733" i="2"/>
  <c r="C733" i="2" s="1"/>
  <c r="B952" i="2"/>
  <c r="C952" i="2" s="1"/>
  <c r="J951" i="2"/>
  <c r="B520" i="2"/>
  <c r="C520" i="2" s="1"/>
  <c r="J519" i="2"/>
  <c r="J733" i="2" l="1"/>
  <c r="B734" i="2"/>
  <c r="C734" i="2" s="1"/>
  <c r="J520" i="2"/>
  <c r="B521" i="2"/>
  <c r="C521" i="2" s="1"/>
  <c r="B953" i="2"/>
  <c r="C953" i="2" s="1"/>
  <c r="J952" i="2"/>
  <c r="J734" i="2" l="1"/>
  <c r="B735" i="2"/>
  <c r="C735" i="2" s="1"/>
  <c r="J953" i="2"/>
  <c r="B954" i="2"/>
  <c r="C954" i="2" s="1"/>
  <c r="B522" i="2"/>
  <c r="C522" i="2" s="1"/>
  <c r="J521" i="2"/>
  <c r="B736" i="2" l="1"/>
  <c r="C736" i="2" s="1"/>
  <c r="J735" i="2"/>
  <c r="B955" i="2"/>
  <c r="C955" i="2" s="1"/>
  <c r="J954" i="2"/>
  <c r="B523" i="2"/>
  <c r="C523" i="2" s="1"/>
  <c r="J522" i="2"/>
  <c r="B737" i="2" l="1"/>
  <c r="C737" i="2" s="1"/>
  <c r="J736" i="2"/>
  <c r="J523" i="2"/>
  <c r="B524" i="2"/>
  <c r="C524" i="2" s="1"/>
  <c r="B956" i="2"/>
  <c r="C956" i="2" s="1"/>
  <c r="J955" i="2"/>
  <c r="B738" i="2" l="1"/>
  <c r="C738" i="2" s="1"/>
  <c r="J737" i="2"/>
  <c r="J956" i="2"/>
  <c r="B957" i="2"/>
  <c r="C957" i="2" s="1"/>
  <c r="B525" i="2"/>
  <c r="C525" i="2" s="1"/>
  <c r="J524" i="2"/>
  <c r="J738" i="2" l="1"/>
  <c r="B740" i="2"/>
  <c r="B958" i="2"/>
  <c r="C958" i="2" s="1"/>
  <c r="J957" i="2"/>
  <c r="J525" i="2"/>
  <c r="B526" i="2"/>
  <c r="C526" i="2" s="1"/>
  <c r="C740" i="2" l="1"/>
  <c r="B739" i="2"/>
  <c r="J958" i="2"/>
  <c r="B959" i="2"/>
  <c r="C959" i="2" s="1"/>
  <c r="J526" i="2"/>
  <c r="B527" i="2"/>
  <c r="C527" i="2" s="1"/>
  <c r="J740" i="2" l="1"/>
  <c r="B741" i="2"/>
  <c r="C741" i="2" s="1"/>
  <c r="J527" i="2"/>
  <c r="B528" i="2"/>
  <c r="C528" i="2" s="1"/>
  <c r="J959" i="2"/>
  <c r="B961" i="2"/>
  <c r="B742" i="2" l="1"/>
  <c r="C742" i="2" s="1"/>
  <c r="J741" i="2"/>
  <c r="B529" i="2"/>
  <c r="C529" i="2" s="1"/>
  <c r="J528" i="2"/>
  <c r="C961" i="2"/>
  <c r="B960" i="2"/>
  <c r="B743" i="2" l="1"/>
  <c r="C743" i="2" s="1"/>
  <c r="J742" i="2"/>
  <c r="J529" i="2"/>
  <c r="B530" i="2"/>
  <c r="C530" i="2" s="1"/>
  <c r="J961" i="2"/>
  <c r="B962" i="2"/>
  <c r="C962" i="2" s="1"/>
  <c r="B744" i="2" l="1"/>
  <c r="C744" i="2" s="1"/>
  <c r="J743" i="2"/>
  <c r="B963" i="2"/>
  <c r="C963" i="2" s="1"/>
  <c r="J962" i="2"/>
  <c r="J530" i="2"/>
  <c r="B531" i="2"/>
  <c r="C531" i="2" s="1"/>
  <c r="J744" i="2" l="1"/>
  <c r="B745" i="2"/>
  <c r="C745" i="2" s="1"/>
  <c r="J963" i="2"/>
  <c r="B964" i="2"/>
  <c r="C964" i="2" s="1"/>
  <c r="B532" i="2"/>
  <c r="C532" i="2" s="1"/>
  <c r="J531" i="2"/>
  <c r="B746" i="2" l="1"/>
  <c r="C746" i="2" s="1"/>
  <c r="J745" i="2"/>
  <c r="J532" i="2"/>
  <c r="B533" i="2"/>
  <c r="C533" i="2" s="1"/>
  <c r="B965" i="2"/>
  <c r="C965" i="2" s="1"/>
  <c r="J964" i="2"/>
  <c r="J746" i="2" l="1"/>
  <c r="B747" i="2"/>
  <c r="C747" i="2" s="1"/>
  <c r="J965" i="2"/>
  <c r="B966" i="2"/>
  <c r="C966" i="2" s="1"/>
  <c r="B534" i="2"/>
  <c r="C534" i="2" s="1"/>
  <c r="J533" i="2"/>
  <c r="J747" i="2" l="1"/>
  <c r="B748" i="2"/>
  <c r="C748" i="2" s="1"/>
  <c r="J966" i="2"/>
  <c r="B967" i="2"/>
  <c r="C967" i="2" s="1"/>
  <c r="J534" i="2"/>
  <c r="B535" i="2"/>
  <c r="C535" i="2" s="1"/>
  <c r="J748" i="2" l="1"/>
  <c r="B749" i="2"/>
  <c r="C749" i="2" s="1"/>
  <c r="J967" i="2"/>
  <c r="B968" i="2"/>
  <c r="C968" i="2" s="1"/>
  <c r="B536" i="2"/>
  <c r="C536" i="2" s="1"/>
  <c r="J535" i="2"/>
  <c r="J749" i="2" l="1"/>
  <c r="B750" i="2"/>
  <c r="C750" i="2" s="1"/>
  <c r="B537" i="2"/>
  <c r="C537" i="2" s="1"/>
  <c r="J536" i="2"/>
  <c r="B969" i="2"/>
  <c r="C969" i="2" s="1"/>
  <c r="J968" i="2"/>
  <c r="J750" i="2" l="1"/>
  <c r="B751" i="2"/>
  <c r="C751" i="2" s="1"/>
  <c r="B970" i="2"/>
  <c r="C970" i="2" s="1"/>
  <c r="J969" i="2"/>
  <c r="B538" i="2"/>
  <c r="C538" i="2" s="1"/>
  <c r="J537" i="2"/>
  <c r="B752" i="2" l="1"/>
  <c r="C752" i="2" s="1"/>
  <c r="J751" i="2"/>
  <c r="J538" i="2"/>
  <c r="B539" i="2"/>
  <c r="C539" i="2" s="1"/>
  <c r="B971" i="2"/>
  <c r="C971" i="2" s="1"/>
  <c r="J970" i="2"/>
  <c r="B753" i="2" l="1"/>
  <c r="C753" i="2" s="1"/>
  <c r="J752" i="2"/>
  <c r="B972" i="2"/>
  <c r="C972" i="2" s="1"/>
  <c r="J971" i="2"/>
  <c r="J539" i="2"/>
  <c r="B540" i="2"/>
  <c r="C540" i="2" s="1"/>
  <c r="B754" i="2" l="1"/>
  <c r="C754" i="2" s="1"/>
  <c r="J753" i="2"/>
  <c r="J540" i="2"/>
  <c r="B541" i="2"/>
  <c r="C541" i="2" s="1"/>
  <c r="J972" i="2"/>
  <c r="B973" i="2"/>
  <c r="C973" i="2" s="1"/>
  <c r="J754" i="2" l="1"/>
  <c r="B755" i="2"/>
  <c r="C755" i="2" s="1"/>
  <c r="B542" i="2"/>
  <c r="C542" i="2" s="1"/>
  <c r="J541" i="2"/>
  <c r="J973" i="2"/>
  <c r="B974" i="2"/>
  <c r="C974" i="2" s="1"/>
  <c r="B757" i="2" l="1"/>
  <c r="J755" i="2"/>
  <c r="B543" i="2"/>
  <c r="C543" i="2" s="1"/>
  <c r="J542" i="2"/>
  <c r="B975" i="2"/>
  <c r="C975" i="2" s="1"/>
  <c r="J974" i="2"/>
  <c r="C757" i="2" l="1"/>
  <c r="B756" i="2"/>
  <c r="B976" i="2"/>
  <c r="C976" i="2" s="1"/>
  <c r="J976" i="2" s="1"/>
  <c r="J975" i="2"/>
  <c r="J543" i="2"/>
  <c r="B544" i="2"/>
  <c r="C544" i="2" s="1"/>
  <c r="J757" i="2" l="1"/>
  <c r="B758" i="2"/>
  <c r="C758" i="2" s="1"/>
  <c r="J544" i="2"/>
  <c r="B545" i="2"/>
  <c r="C545" i="2" s="1"/>
  <c r="J758" i="2" l="1"/>
  <c r="B759" i="2"/>
  <c r="C759" i="2" s="1"/>
  <c r="J545" i="2"/>
  <c r="B546" i="2"/>
  <c r="C546" i="2" s="1"/>
  <c r="J759" i="2" l="1"/>
  <c r="B760" i="2"/>
  <c r="C760" i="2" s="1"/>
  <c r="J546" i="2"/>
  <c r="B547" i="2"/>
  <c r="C547" i="2" s="1"/>
  <c r="J760" i="2" l="1"/>
  <c r="B761" i="2"/>
  <c r="C761" i="2" s="1"/>
  <c r="B548" i="2"/>
  <c r="C548" i="2" s="1"/>
  <c r="J547" i="2"/>
  <c r="B762" i="2" l="1"/>
  <c r="C762" i="2" s="1"/>
  <c r="J761" i="2"/>
  <c r="J548" i="2"/>
  <c r="B549" i="2"/>
  <c r="C549" i="2" s="1"/>
  <c r="B763" i="2" l="1"/>
  <c r="C763" i="2" s="1"/>
  <c r="J762" i="2"/>
  <c r="J549" i="2"/>
  <c r="B550" i="2"/>
  <c r="C550" i="2" s="1"/>
  <c r="J763" i="2" l="1"/>
  <c r="B764" i="2"/>
  <c r="C764" i="2" s="1"/>
  <c r="B551" i="2"/>
  <c r="C551" i="2" s="1"/>
  <c r="J550" i="2"/>
  <c r="B765" i="2" l="1"/>
  <c r="C765" i="2" s="1"/>
  <c r="J764" i="2"/>
  <c r="J551" i="2"/>
  <c r="B552" i="2"/>
  <c r="C552" i="2" s="1"/>
  <c r="B766" i="2" l="1"/>
  <c r="C766" i="2" s="1"/>
  <c r="J765" i="2"/>
  <c r="J552" i="2"/>
  <c r="B553" i="2"/>
  <c r="C553" i="2" s="1"/>
  <c r="J766" i="2" l="1"/>
  <c r="B767" i="2"/>
  <c r="C767" i="2" s="1"/>
  <c r="J553" i="2"/>
  <c r="B554" i="2"/>
  <c r="C554" i="2" s="1"/>
  <c r="J767" i="2" l="1"/>
  <c r="B768" i="2"/>
  <c r="C768" i="2" s="1"/>
  <c r="J554" i="2"/>
  <c r="B555" i="2"/>
  <c r="C555" i="2" s="1"/>
  <c r="B769" i="2" l="1"/>
  <c r="C769" i="2" s="1"/>
  <c r="J768" i="2"/>
  <c r="B556" i="2"/>
  <c r="C556" i="2" s="1"/>
  <c r="J555" i="2"/>
  <c r="B770" i="2" l="1"/>
  <c r="C770" i="2" s="1"/>
  <c r="J769" i="2"/>
  <c r="B557" i="2"/>
  <c r="C557" i="2" s="1"/>
  <c r="J557" i="2" s="1"/>
  <c r="J995" i="2" s="1"/>
  <c r="J1219" i="2" s="1"/>
  <c r="J556" i="2"/>
  <c r="B771" i="2" l="1"/>
  <c r="C771" i="2" s="1"/>
  <c r="J770" i="2"/>
  <c r="B772" i="2" l="1"/>
  <c r="C772" i="2" s="1"/>
  <c r="J771" i="2"/>
  <c r="J772" i="2" l="1"/>
  <c r="B774" i="2"/>
  <c r="B773" i="2" l="1"/>
  <c r="C774" i="2"/>
  <c r="B775" i="2" l="1"/>
  <c r="C775" i="2" s="1"/>
  <c r="J774" i="2"/>
  <c r="B776" i="2" l="1"/>
  <c r="C776" i="2" s="1"/>
  <c r="J775" i="2"/>
  <c r="J776" i="2" l="1"/>
  <c r="B777" i="2"/>
  <c r="C777" i="2" s="1"/>
  <c r="B778" i="2" l="1"/>
  <c r="C778" i="2" s="1"/>
  <c r="J777" i="2"/>
  <c r="J778" i="2" l="1"/>
  <c r="B779" i="2"/>
  <c r="C779" i="2" s="1"/>
  <c r="J779" i="2" l="1"/>
  <c r="B780" i="2"/>
  <c r="C780" i="2" s="1"/>
  <c r="B781" i="2" l="1"/>
  <c r="C781" i="2" s="1"/>
  <c r="J780" i="2"/>
  <c r="B782" i="2" l="1"/>
  <c r="C782" i="2" s="1"/>
  <c r="J781" i="2"/>
  <c r="J782" i="2" l="1"/>
  <c r="B783" i="2"/>
  <c r="C783" i="2" s="1"/>
  <c r="J783" i="2" l="1"/>
  <c r="B784" i="2"/>
  <c r="C784" i="2" s="1"/>
  <c r="J784" i="2" l="1"/>
  <c r="B785" i="2"/>
  <c r="C785" i="2" s="1"/>
  <c r="J785" i="2" l="1"/>
  <c r="B786" i="2"/>
  <c r="C786" i="2" s="1"/>
  <c r="B787" i="2" l="1"/>
  <c r="C787" i="2" s="1"/>
  <c r="J786" i="2"/>
  <c r="B788" i="2" l="1"/>
  <c r="C788" i="2" s="1"/>
  <c r="J787" i="2"/>
  <c r="B789" i="2" l="1"/>
  <c r="C789" i="2" s="1"/>
  <c r="J788" i="2"/>
  <c r="B791" i="2" l="1"/>
  <c r="J789" i="2"/>
  <c r="C791" i="2" l="1"/>
  <c r="B790" i="2"/>
  <c r="B792" i="2" l="1"/>
  <c r="C792" i="2" s="1"/>
  <c r="J791" i="2"/>
  <c r="B793" i="2" l="1"/>
  <c r="C793" i="2" s="1"/>
  <c r="J792" i="2"/>
  <c r="J793" i="2" l="1"/>
  <c r="B794" i="2"/>
  <c r="C794" i="2" s="1"/>
  <c r="J794" i="2" l="1"/>
  <c r="B795" i="2"/>
  <c r="C795" i="2" s="1"/>
  <c r="B796" i="2" l="1"/>
  <c r="C796" i="2" s="1"/>
  <c r="J795" i="2"/>
  <c r="B797" i="2" l="1"/>
  <c r="C797" i="2" s="1"/>
  <c r="J796" i="2"/>
  <c r="J797" i="2" l="1"/>
  <c r="B798" i="2"/>
  <c r="C798" i="2" s="1"/>
  <c r="B799" i="2" l="1"/>
  <c r="C799" i="2" s="1"/>
  <c r="J798" i="2"/>
  <c r="B800" i="2" l="1"/>
  <c r="C800" i="2" s="1"/>
  <c r="J799" i="2"/>
  <c r="B801" i="2" l="1"/>
  <c r="C801" i="2" s="1"/>
  <c r="J800" i="2"/>
  <c r="J801" i="2" l="1"/>
  <c r="B802" i="2"/>
  <c r="C802" i="2" s="1"/>
  <c r="B803" i="2" l="1"/>
  <c r="C803" i="2" s="1"/>
  <c r="J802" i="2"/>
  <c r="J803" i="2" l="1"/>
  <c r="B804" i="2"/>
  <c r="C804" i="2" s="1"/>
  <c r="J804" i="2" l="1"/>
  <c r="B805" i="2"/>
  <c r="C805" i="2" s="1"/>
  <c r="J805" i="2" l="1"/>
  <c r="B806" i="2"/>
  <c r="C806" i="2" s="1"/>
  <c r="J806" i="2" l="1"/>
  <c r="B808" i="2"/>
  <c r="C808" i="2" l="1"/>
  <c r="B807" i="2"/>
  <c r="B809" i="2" l="1"/>
  <c r="C809" i="2" s="1"/>
  <c r="J808" i="2"/>
  <c r="J809" i="2" l="1"/>
  <c r="B810" i="2"/>
  <c r="C810" i="2" s="1"/>
  <c r="B811" i="2" l="1"/>
  <c r="C811" i="2" s="1"/>
  <c r="J810" i="2"/>
  <c r="J811" i="2" l="1"/>
  <c r="B812" i="2"/>
  <c r="C812" i="2" s="1"/>
  <c r="J812" i="2" l="1"/>
  <c r="B813" i="2"/>
  <c r="C813" i="2" s="1"/>
  <c r="J813" i="2" l="1"/>
  <c r="B814" i="2"/>
  <c r="C814" i="2" s="1"/>
  <c r="J814" i="2" l="1"/>
  <c r="B815" i="2"/>
  <c r="C815" i="2" s="1"/>
  <c r="J815" i="2" l="1"/>
  <c r="B816" i="2"/>
  <c r="C816" i="2" s="1"/>
  <c r="B817" i="2" l="1"/>
  <c r="C817" i="2" s="1"/>
  <c r="J816" i="2"/>
  <c r="B818" i="2" l="1"/>
  <c r="C818" i="2" s="1"/>
  <c r="J817" i="2"/>
  <c r="B819" i="2" l="1"/>
  <c r="C819" i="2" s="1"/>
  <c r="J818" i="2"/>
  <c r="B820" i="2" l="1"/>
  <c r="C820" i="2" s="1"/>
  <c r="J819" i="2"/>
  <c r="J820" i="2" l="1"/>
  <c r="B821" i="2"/>
  <c r="C821" i="2" s="1"/>
  <c r="J821" i="2" l="1"/>
  <c r="B822" i="2"/>
  <c r="C822" i="2" s="1"/>
  <c r="B823" i="2" l="1"/>
  <c r="C823" i="2" s="1"/>
  <c r="J822" i="2"/>
  <c r="B825" i="2" l="1"/>
  <c r="J823" i="2"/>
  <c r="C825" i="2" l="1"/>
  <c r="B824" i="2"/>
  <c r="B826" i="2" l="1"/>
  <c r="C826" i="2" s="1"/>
  <c r="J825" i="2"/>
  <c r="J826" i="2" l="1"/>
  <c r="B827" i="2"/>
  <c r="C827" i="2" s="1"/>
  <c r="J827" i="2" l="1"/>
  <c r="B828" i="2"/>
  <c r="C828" i="2" s="1"/>
  <c r="J828" i="2" l="1"/>
  <c r="B829" i="2"/>
  <c r="C829" i="2" s="1"/>
  <c r="B830" i="2" l="1"/>
  <c r="C830" i="2" s="1"/>
  <c r="J829" i="2"/>
  <c r="B831" i="2" l="1"/>
  <c r="C831" i="2" s="1"/>
  <c r="J830" i="2"/>
  <c r="J831" i="2" l="1"/>
  <c r="B832" i="2"/>
  <c r="C832" i="2" s="1"/>
  <c r="J832" i="2" l="1"/>
  <c r="B833" i="2"/>
  <c r="C833" i="2" s="1"/>
  <c r="J833" i="2" l="1"/>
  <c r="B834" i="2"/>
  <c r="C834" i="2" s="1"/>
  <c r="B835" i="2" l="1"/>
  <c r="C835" i="2" s="1"/>
  <c r="J834" i="2"/>
  <c r="B836" i="2" l="1"/>
  <c r="C836" i="2" s="1"/>
  <c r="J835" i="2"/>
  <c r="J836" i="2" l="1"/>
  <c r="B837" i="2"/>
  <c r="C837" i="2" s="1"/>
  <c r="J837" i="2" l="1"/>
  <c r="B838" i="2"/>
  <c r="C838" i="2" s="1"/>
  <c r="B839" i="2" l="1"/>
  <c r="C839" i="2" s="1"/>
  <c r="J838" i="2"/>
  <c r="B840" i="2" l="1"/>
  <c r="C840" i="2" s="1"/>
  <c r="J839" i="2"/>
  <c r="J840" i="2" l="1"/>
  <c r="B842" i="2"/>
  <c r="C842" i="2" l="1"/>
  <c r="B841" i="2"/>
  <c r="B843" i="2" l="1"/>
  <c r="C843" i="2" s="1"/>
  <c r="J842" i="2"/>
  <c r="B844" i="2" l="1"/>
  <c r="C844" i="2" s="1"/>
  <c r="J843" i="2"/>
  <c r="B845" i="2" l="1"/>
  <c r="C845" i="2" s="1"/>
  <c r="J844" i="2"/>
  <c r="B846" i="2" l="1"/>
  <c r="C846" i="2" s="1"/>
  <c r="J845" i="2"/>
  <c r="J846" i="2" l="1"/>
  <c r="B847" i="2"/>
  <c r="C847" i="2" s="1"/>
  <c r="B848" i="2" l="1"/>
  <c r="C848" i="2" s="1"/>
  <c r="J847" i="2"/>
  <c r="J848" i="2" l="1"/>
  <c r="B849" i="2"/>
  <c r="C849" i="2" s="1"/>
  <c r="B850" i="2" l="1"/>
  <c r="C850" i="2" s="1"/>
  <c r="J849" i="2"/>
  <c r="J850" i="2" l="1"/>
  <c r="B851" i="2"/>
  <c r="C851" i="2" s="1"/>
  <c r="J851" i="2" l="1"/>
  <c r="B852" i="2"/>
  <c r="C852" i="2" s="1"/>
  <c r="B853" i="2" l="1"/>
  <c r="C853" i="2" s="1"/>
  <c r="J852" i="2"/>
  <c r="B854" i="2" l="1"/>
  <c r="C854" i="2" s="1"/>
  <c r="J853" i="2"/>
  <c r="B855" i="2" l="1"/>
  <c r="C855" i="2" s="1"/>
  <c r="J854" i="2"/>
  <c r="J855" i="2" l="1"/>
  <c r="B856" i="2"/>
  <c r="C856" i="2" s="1"/>
  <c r="B857" i="2" l="1"/>
  <c r="C857" i="2" s="1"/>
  <c r="J856" i="2"/>
  <c r="B859" i="2" l="1"/>
  <c r="J857" i="2"/>
  <c r="B858" i="2" l="1"/>
  <c r="C859" i="2"/>
  <c r="B860" i="2" l="1"/>
  <c r="C860" i="2" s="1"/>
  <c r="J859" i="2"/>
  <c r="J860" i="2" l="1"/>
  <c r="B861" i="2"/>
  <c r="C861" i="2" s="1"/>
  <c r="J861" i="2" l="1"/>
  <c r="B862" i="2"/>
  <c r="C862" i="2" s="1"/>
  <c r="J862" i="2" l="1"/>
  <c r="B863" i="2"/>
  <c r="C863" i="2" s="1"/>
  <c r="J863" i="2" l="1"/>
  <c r="B864" i="2"/>
  <c r="C864" i="2" s="1"/>
  <c r="B865" i="2" l="1"/>
  <c r="C865" i="2" s="1"/>
  <c r="J864" i="2"/>
  <c r="J865" i="2" l="1"/>
  <c r="B866" i="2"/>
  <c r="C866" i="2" s="1"/>
  <c r="J866" i="2" l="1"/>
  <c r="B867" i="2"/>
  <c r="C867" i="2" s="1"/>
  <c r="J867" i="2" l="1"/>
  <c r="B868" i="2"/>
  <c r="C868" i="2" s="1"/>
  <c r="B869" i="2" l="1"/>
  <c r="C869" i="2" s="1"/>
  <c r="J868" i="2"/>
  <c r="J869" i="2" l="1"/>
  <c r="B870" i="2"/>
  <c r="C870" i="2" s="1"/>
  <c r="J870" i="2" l="1"/>
  <c r="B871" i="2"/>
  <c r="C871" i="2" s="1"/>
  <c r="B872" i="2" l="1"/>
  <c r="C872" i="2" s="1"/>
  <c r="J871" i="2"/>
  <c r="J872" i="2" l="1"/>
  <c r="B873" i="2"/>
  <c r="C873" i="2" s="1"/>
  <c r="J873" i="2" l="1"/>
  <c r="B874" i="2"/>
  <c r="C874" i="2" s="1"/>
  <c r="B876" i="2" l="1"/>
  <c r="J874" i="2"/>
  <c r="B875" i="2" l="1"/>
  <c r="C876" i="2"/>
  <c r="B877" i="2" l="1"/>
  <c r="C877" i="2" s="1"/>
  <c r="J876" i="2"/>
  <c r="J877" i="2" l="1"/>
  <c r="B878" i="2"/>
  <c r="C878" i="2" s="1"/>
  <c r="J878" i="2" l="1"/>
  <c r="B879" i="2"/>
  <c r="C879" i="2" s="1"/>
  <c r="B880" i="2" l="1"/>
  <c r="C880" i="2" s="1"/>
  <c r="J879" i="2"/>
  <c r="B881" i="2" l="1"/>
  <c r="C881" i="2" s="1"/>
  <c r="J880" i="2"/>
  <c r="J881" i="2" l="1"/>
  <c r="B882" i="2"/>
  <c r="C882" i="2" s="1"/>
  <c r="B883" i="2" l="1"/>
  <c r="C883" i="2" s="1"/>
  <c r="J882" i="2"/>
  <c r="B884" i="2" l="1"/>
  <c r="C884" i="2" s="1"/>
  <c r="J883" i="2"/>
  <c r="J884" i="2" l="1"/>
  <c r="B885" i="2"/>
  <c r="C885" i="2" s="1"/>
  <c r="B886" i="2" l="1"/>
  <c r="C886" i="2" s="1"/>
  <c r="J885" i="2"/>
  <c r="B887" i="2" l="1"/>
  <c r="C887" i="2" s="1"/>
  <c r="J886" i="2"/>
  <c r="B888" i="2" l="1"/>
  <c r="C888" i="2" s="1"/>
  <c r="J887" i="2"/>
  <c r="B889" i="2" l="1"/>
  <c r="C889" i="2" s="1"/>
  <c r="J888" i="2"/>
  <c r="B890" i="2" l="1"/>
  <c r="C890" i="2" s="1"/>
  <c r="J889" i="2"/>
  <c r="J890" i="2" l="1"/>
  <c r="B891" i="2"/>
  <c r="C891" i="2" s="1"/>
  <c r="B893" i="2" l="1"/>
  <c r="J891" i="2"/>
  <c r="C893" i="2" l="1"/>
  <c r="B892" i="2"/>
  <c r="B894" i="2" l="1"/>
  <c r="C894" i="2" s="1"/>
  <c r="J893" i="2"/>
  <c r="B895" i="2" l="1"/>
  <c r="C895" i="2" s="1"/>
  <c r="J894" i="2"/>
  <c r="J895" i="2" l="1"/>
  <c r="B896" i="2"/>
  <c r="C896" i="2" s="1"/>
  <c r="J896" i="2" l="1"/>
  <c r="B897" i="2"/>
  <c r="C897" i="2" s="1"/>
  <c r="B898" i="2" l="1"/>
  <c r="C898" i="2" s="1"/>
  <c r="J897" i="2"/>
  <c r="B899" i="2" l="1"/>
  <c r="C899" i="2" s="1"/>
  <c r="J898" i="2"/>
  <c r="J899" i="2" l="1"/>
  <c r="B900" i="2"/>
  <c r="C900" i="2" s="1"/>
  <c r="B901" i="2" l="1"/>
  <c r="C901" i="2" s="1"/>
  <c r="J900" i="2"/>
  <c r="B902" i="2" l="1"/>
  <c r="C902" i="2" s="1"/>
  <c r="J901" i="2"/>
  <c r="J902" i="2" l="1"/>
  <c r="B903" i="2"/>
  <c r="C903" i="2" s="1"/>
  <c r="J903" i="2" l="1"/>
  <c r="B904" i="2"/>
  <c r="C904" i="2" s="1"/>
  <c r="B905" i="2" l="1"/>
  <c r="C905" i="2" s="1"/>
  <c r="J904" i="2"/>
  <c r="B906" i="2" l="1"/>
  <c r="C906" i="2" s="1"/>
  <c r="J905" i="2"/>
  <c r="J906" i="2" l="1"/>
  <c r="B907" i="2"/>
  <c r="C907" i="2" s="1"/>
  <c r="J907" i="2" l="1"/>
  <c r="B908" i="2"/>
  <c r="C908" i="2" s="1"/>
  <c r="J908" i="2" s="1"/>
</calcChain>
</file>

<file path=xl/sharedStrings.xml><?xml version="1.0" encoding="utf-8"?>
<sst xmlns="http://schemas.openxmlformats.org/spreadsheetml/2006/main" count="10728" uniqueCount="2454">
  <si>
    <t>Schedule Defined Control</t>
  </si>
  <si>
    <t>Schedule Defined Control ,Schedule 1 - 64</t>
  </si>
  <si>
    <t>Schedule Active Control , Schedule 1 - 64</t>
  </si>
  <si>
    <t>Breaker Control Manual</t>
  </si>
  <si>
    <t>Breaker Control Auto</t>
  </si>
  <si>
    <t>Non-Responding Zone Status</t>
  </si>
  <si>
    <t>Bus Model, Bus 1-16</t>
  </si>
  <si>
    <t>Bus Firmware Version, Bus 1-16</t>
  </si>
  <si>
    <t>Input Defined/Undefined</t>
  </si>
  <si>
    <t>Zone Defined/Undefined</t>
  </si>
  <si>
    <t>Zone Active/Inactive</t>
  </si>
  <si>
    <t>Zone Last Event</t>
  </si>
  <si>
    <t>Zone Truth Table</t>
  </si>
  <si>
    <t>Zone Logic Type</t>
  </si>
  <si>
    <t>Zone Active Priority</t>
  </si>
  <si>
    <t>Zone Source Pointer Set</t>
  </si>
  <si>
    <t>0 = undefined 1 = defined</t>
  </si>
  <si>
    <t>0 = inactive 1 = active</t>
  </si>
  <si>
    <t>Bus/Breaker Configuration</t>
  </si>
  <si>
    <t>Schedule Defined/Undefined</t>
  </si>
  <si>
    <t>Schedule Active/Inactive</t>
  </si>
  <si>
    <t>Schedule Name Tag</t>
  </si>
  <si>
    <t>Special Day Defined/Undefined</t>
  </si>
  <si>
    <t>Special Day Schedule Active/Inactive</t>
  </si>
  <si>
    <t>Duration</t>
  </si>
  <si>
    <t>through day</t>
  </si>
  <si>
    <t>duration</t>
  </si>
  <si>
    <t>priority</t>
  </si>
  <si>
    <t>month of year</t>
  </si>
  <si>
    <t>Record 1-64</t>
  </si>
  <si>
    <t>Schedule Configuration</t>
  </si>
  <si>
    <t>Periods</t>
  </si>
  <si>
    <t>Period Defined/Undefined</t>
  </si>
  <si>
    <t>Period Active/Inactive</t>
  </si>
  <si>
    <t>Period Name Tag</t>
  </si>
  <si>
    <t>Start Time</t>
  </si>
  <si>
    <t>start hour</t>
  </si>
  <si>
    <t>start offset</t>
  </si>
  <si>
    <t>End Time</t>
  </si>
  <si>
    <t>end hour</t>
  </si>
  <si>
    <t>start minutes</t>
  </si>
  <si>
    <t>end minutes</t>
  </si>
  <si>
    <t>end offset</t>
  </si>
  <si>
    <t>Schedule Days</t>
  </si>
  <si>
    <t xml:space="preserve">CBUS Output Configuration </t>
  </si>
  <si>
    <t>Defined/Undefined</t>
  </si>
  <si>
    <t>Zone Truth Tables, Zones 1-256</t>
  </si>
  <si>
    <t xml:space="preserve">Zone Last Event Logic, 1-256 </t>
  </si>
  <si>
    <t>Temperature C</t>
  </si>
  <si>
    <t>Temperature F</t>
  </si>
  <si>
    <t>Default</t>
  </si>
  <si>
    <t>Min</t>
  </si>
  <si>
    <t>Max</t>
  </si>
  <si>
    <t>NF1500PL</t>
  </si>
  <si>
    <t>NF2500PL</t>
  </si>
  <si>
    <t>NF3500PL</t>
  </si>
  <si>
    <t>File 11:  Event Log</t>
  </si>
  <si>
    <t>File 14: System Configuration</t>
  </si>
  <si>
    <t>File 15: Communications Configuration</t>
  </si>
  <si>
    <t>1 = Modbus Agile*</t>
  </si>
  <si>
    <t>RS232 Baud Rate</t>
  </si>
  <si>
    <t>RS485 Baud Rate</t>
  </si>
  <si>
    <t>RS232 Communications Mode</t>
  </si>
  <si>
    <t>RS485 Communications Mode</t>
  </si>
  <si>
    <t>38400*</t>
  </si>
  <si>
    <t>5 = Modbus TCP passthrough to RS232</t>
  </si>
  <si>
    <t>6 = Modbus RS232 passthrough to RS485</t>
  </si>
  <si>
    <t>76800**</t>
  </si>
  <si>
    <t>250000***</t>
  </si>
  <si>
    <t>2 = ASCII</t>
  </si>
  <si>
    <t>3 = RTU</t>
  </si>
  <si>
    <t>7 = Modbus TCP passthrough to RS485</t>
  </si>
  <si>
    <t>4 = DMX***</t>
  </si>
  <si>
    <t>5 = BACnet**</t>
  </si>
  <si>
    <t>4 = C-Bus****</t>
  </si>
  <si>
    <t>9600****</t>
  </si>
  <si>
    <t>RS232 modes</t>
  </si>
  <si>
    <t>RS485 modes</t>
  </si>
  <si>
    <t>Communications Port Configuration</t>
  </si>
  <si>
    <t>Modbus Configuration</t>
  </si>
  <si>
    <t>1-247, default = 248</t>
  </si>
  <si>
    <t>Modbus Communications Status</t>
  </si>
  <si>
    <t>No. of Modbus messages with valid CRC</t>
  </si>
  <si>
    <t>No. of Modbus broadcast messages</t>
  </si>
  <si>
    <t>No. of Messages with illegal opcode/function code</t>
  </si>
  <si>
    <t>No. of Messages with exceptions</t>
  </si>
  <si>
    <t>Ethernet Communications Status</t>
  </si>
  <si>
    <t>No. of Modbus messages rx this unit</t>
  </si>
  <si>
    <t>No. of Modbus messages tx this units</t>
  </si>
  <si>
    <t>No. of Modbus messages with valid LRC</t>
  </si>
  <si>
    <t>No. of Modbus messages with invalid CRC</t>
  </si>
  <si>
    <t>No. of Modbus messages with invalid LRC</t>
  </si>
  <si>
    <t>Modbus Event Counter</t>
  </si>
  <si>
    <t>Ethernet rx frames</t>
  </si>
  <si>
    <t>Ethernet tx frames</t>
  </si>
  <si>
    <t>Ethernet rx frames with errors</t>
  </si>
  <si>
    <t>Ethernet tx frames with errors</t>
  </si>
  <si>
    <t>TCP frame errors</t>
  </si>
  <si>
    <t>IP frame errors</t>
  </si>
  <si>
    <t>TCP frames rx</t>
  </si>
  <si>
    <t>TCP frames tx</t>
  </si>
  <si>
    <t>IP last error</t>
  </si>
  <si>
    <t>Ethernet Interrupts</t>
  </si>
  <si>
    <t>PPP rx frame errors</t>
  </si>
  <si>
    <t>Fragmented rx frames</t>
  </si>
  <si>
    <t>Unknown frames rx</t>
  </si>
  <si>
    <t xml:space="preserve">Ethernet errhw </t>
  </si>
  <si>
    <t xml:space="preserve">Ethernet errlw </t>
  </si>
  <si>
    <t>UDP frames rx</t>
  </si>
  <si>
    <t>UDP frames tx</t>
  </si>
  <si>
    <t>ARP frames rx</t>
  </si>
  <si>
    <t>ARP frames tx</t>
  </si>
  <si>
    <t>UDP frames errors</t>
  </si>
  <si>
    <t>0-256</t>
  </si>
  <si>
    <t>Ethernet Port Link Bitmap</t>
  </si>
  <si>
    <t>bit 0-port1,bit 1-port2,bit 2-port3, 0=no link, 1=link</t>
  </si>
  <si>
    <t>Cbus Area Address</t>
  </si>
  <si>
    <t>Cbus TCP Port</t>
  </si>
  <si>
    <t>Record 1</t>
  </si>
  <si>
    <t xml:space="preserve">Communications Configuration </t>
  </si>
  <si>
    <t>DLF Modified Application Version</t>
  </si>
  <si>
    <t>DLF Modified Download Version</t>
  </si>
  <si>
    <t>No. of Messages to other devices</t>
  </si>
  <si>
    <t>RS232 Serial Communications Status</t>
  </si>
  <si>
    <t>Uart 2 Rx Break Error</t>
  </si>
  <si>
    <t>Uart 2 Rx Parity Error</t>
  </si>
  <si>
    <t>Uart 2 Rx Overrun Error</t>
  </si>
  <si>
    <t>Modbus RTU Overrun</t>
  </si>
  <si>
    <t>Modbus Ascii Overrun</t>
  </si>
  <si>
    <t>Modbus Ascii Timeout</t>
  </si>
  <si>
    <t>RS485 Serial Communications Status</t>
  </si>
  <si>
    <t>RS485 Serial Smartbus Communications Status</t>
  </si>
  <si>
    <t>Fifo Timeout</t>
  </si>
  <si>
    <t>Tx Reply Timeout</t>
  </si>
  <si>
    <t>Breaker Manager Error</t>
  </si>
  <si>
    <t>Breaker Manager Packets</t>
  </si>
  <si>
    <t>Total number of messages</t>
  </si>
  <si>
    <t>Modbus LRC Errors</t>
  </si>
  <si>
    <t>Modbus CRC Errors</t>
  </si>
  <si>
    <t>Uart 1 Rx Break Error</t>
  </si>
  <si>
    <t>Uart 1 Rx Parity Error</t>
  </si>
  <si>
    <t>Uart 1 Rx Overrun Error</t>
  </si>
  <si>
    <t>Uart 0 Rx Break Error</t>
  </si>
  <si>
    <t>Uart 0 Rx Parity Error</t>
  </si>
  <si>
    <t>Uart 0 Rx Overrun Error</t>
  </si>
  <si>
    <t>Uart 2 Rx Frame Error</t>
  </si>
  <si>
    <t>Uart 1 Rx Frame Error</t>
  </si>
  <si>
    <t>No. of Messages with illegal count</t>
  </si>
  <si>
    <t>No. of Messages with frame error</t>
  </si>
  <si>
    <t>random value</t>
  </si>
  <si>
    <t>Beta Version</t>
  </si>
  <si>
    <t>0=not Beta firmware, 1= Beta firmware</t>
  </si>
  <si>
    <t>Power Restored Date-Time</t>
  </si>
  <si>
    <t>Power Loss Date-Time</t>
  </si>
  <si>
    <t>Firmware Build Time</t>
  </si>
  <si>
    <t>Manufacturing Configuration</t>
  </si>
  <si>
    <t>Original Model</t>
  </si>
  <si>
    <t>model shipped as</t>
  </si>
  <si>
    <t>0-not available, &gt;0-aquired</t>
  </si>
  <si>
    <t>0-available, &gt;0-not available</t>
  </si>
  <si>
    <t>see Command Interface Docs</t>
  </si>
  <si>
    <t>1 - 32767, units = 1s, default = 300</t>
  </si>
  <si>
    <t>1 - 32767, units = 10 ms, default = 10</t>
  </si>
  <si>
    <t>0 = none, 1 = odd, 2 = even, default = 0</t>
  </si>
  <si>
    <t>0 = none, 1 = odd, 2 = even default = 0</t>
  </si>
  <si>
    <t>Event Status</t>
  </si>
  <si>
    <t>bit 2: - minus</t>
  </si>
  <si>
    <t>bit 1: &gt;  forward</t>
  </si>
  <si>
    <t>bit 0: &lt;  backward</t>
  </si>
  <si>
    <t>bit 3: + enter</t>
  </si>
  <si>
    <t>NF500: 15156</t>
  </si>
  <si>
    <t xml:space="preserve">bit 11: </t>
  </si>
  <si>
    <t>bit 6:</t>
  </si>
  <si>
    <t>bit 5:</t>
  </si>
  <si>
    <t>bit 4: AD converter</t>
  </si>
  <si>
    <t>bit 10: Ethernet switch</t>
  </si>
  <si>
    <t>bit 12: DDRAM</t>
  </si>
  <si>
    <t>bit 12: APP module running</t>
  </si>
  <si>
    <t>bit 10: APP module valid</t>
  </si>
  <si>
    <t>Breaker Actual State, Bus Address A</t>
  </si>
  <si>
    <t>Breaker Actual State, Bus Address B</t>
  </si>
  <si>
    <t>Breaker Actual State, Bus Address C</t>
  </si>
  <si>
    <t>Breaker Actual State, Bus Address D</t>
  </si>
  <si>
    <t>Breaker Actual State, Bus Address E</t>
  </si>
  <si>
    <t>Breaker Actual State, Bus Address F</t>
  </si>
  <si>
    <t>Breaker Control State, Bus Address F</t>
  </si>
  <si>
    <t>Breaker Desired State, Bus Address A</t>
  </si>
  <si>
    <t>Breaker Desired State, Bus Address B</t>
  </si>
  <si>
    <t>Breaker Desired State, Bus Address C</t>
  </si>
  <si>
    <t>Breaker Desired State, Bus Address D</t>
  </si>
  <si>
    <t>Breaker Desired State, Bus Address E</t>
  </si>
  <si>
    <t>Breaker Desired State, Bus Address F</t>
  </si>
  <si>
    <t>Front Panel Disable Timeout (comms inactivity)</t>
  </si>
  <si>
    <t>Limited to 1 to 120 min</t>
  </si>
  <si>
    <t>1x References</t>
  </si>
  <si>
    <t>Breaker Non-Responding, Bus Address A</t>
  </si>
  <si>
    <t>Breaker Non-Responding, Bus Address B</t>
  </si>
  <si>
    <t>Breaker Non-Responding, Bus Address C</t>
  </si>
  <si>
    <t>Breaker Non-Responding, Bus Address D</t>
  </si>
  <si>
    <t>Breaker Non-Responding, Bus Address E</t>
  </si>
  <si>
    <t>Breaker Non-Responding, Bus Address F</t>
  </si>
  <si>
    <t>Breaker Blink Timer Value, Bus Address A</t>
  </si>
  <si>
    <t>Limited to 120 to 1800 seconds (300*)</t>
  </si>
  <si>
    <t>2 to 100 (5*)</t>
  </si>
  <si>
    <t>Scaling: 1 count = 0.1 sec.</t>
  </si>
  <si>
    <t>Scaling: 1 count = 1 sec.</t>
  </si>
  <si>
    <t>(See Table)</t>
  </si>
  <si>
    <t>8 reg.</t>
  </si>
  <si>
    <t>16 ASCII characters</t>
  </si>
  <si>
    <t>0 = OR Logic*</t>
  </si>
  <si>
    <t>Breaker Present</t>
  </si>
  <si>
    <t>Bus Present</t>
  </si>
  <si>
    <t>0 = no bus</t>
  </si>
  <si>
    <t>Bus Firmware Version</t>
  </si>
  <si>
    <t>Bus Name Tag</t>
  </si>
  <si>
    <t>0 = disable, 1 = enable*</t>
  </si>
  <si>
    <t>0 = desired state, 1 = direct control</t>
  </si>
  <si>
    <t>1 = priority OFF</t>
  </si>
  <si>
    <t>2 = priority ON</t>
  </si>
  <si>
    <t>Panel Non-responding</t>
  </si>
  <si>
    <t>Clock/Calendar Configuration</t>
  </si>
  <si>
    <t>Breaker Desired/Direct State, Bus Address A</t>
  </si>
  <si>
    <t>Breaker Desired/Direct State, Bus Address B</t>
  </si>
  <si>
    <t>Breaker Desired/Direct State, Bus Address C</t>
  </si>
  <si>
    <t>Breaker Desired/Direct State, Bus Address D</t>
  </si>
  <si>
    <t>Breaker Desired/Direct State, Bus Address E</t>
  </si>
  <si>
    <t>Breaker Desired/Direct State, Bus Address F</t>
  </si>
  <si>
    <t>Note: 32 "discrete input" bits are allocated, but only the 24 bits with the highest addresses for each period are used and valid.</t>
  </si>
  <si>
    <t>bit 3: real-time clock running</t>
  </si>
  <si>
    <t>bit 4: "internal" halt mode enabled</t>
  </si>
  <si>
    <t>0xxxx</t>
  </si>
  <si>
    <t>1xxxx</t>
  </si>
  <si>
    <t>Front Panel Disable</t>
  </si>
  <si>
    <t>Access Type</t>
  </si>
  <si>
    <t>RO</t>
  </si>
  <si>
    <t>Breaker Blink Timer Value, Bus Address B</t>
  </si>
  <si>
    <t>Breaker Blink Timer Value, Bus Address C</t>
  </si>
  <si>
    <t>Breaker Blink Timer Value, Bus Address D</t>
  </si>
  <si>
    <t>Breaker Blink Timer Value, Bus Address E</t>
  </si>
  <si>
    <t>Breaker Blink Timer Value, Bus Address F</t>
  </si>
  <si>
    <t>0 = unchanged, 1 = changed</t>
  </si>
  <si>
    <t>0 = not present, 1 = present</t>
  </si>
  <si>
    <t xml:space="preserve">MS byte = version </t>
  </si>
  <si>
    <t>LS byte = revision</t>
  </si>
  <si>
    <t>Breaker Blink Type, Bus 8, breakers 1-24</t>
  </si>
  <si>
    <t>Breaker Blink Type, Bus 9, breakers 1-24</t>
  </si>
  <si>
    <t>3 reg.</t>
  </si>
  <si>
    <t>r1: Month = 1 - 12</t>
  </si>
  <si>
    <t>r2 : Day = 1 - 31</t>
  </si>
  <si>
    <t>r4: Hour = 0 - 23</t>
  </si>
  <si>
    <t>r5: Minutes = 0 - 59</t>
  </si>
  <si>
    <t>r6: Seconds = 0 - 59</t>
  </si>
  <si>
    <t>6 reg.</t>
  </si>
  <si>
    <t>Signed 16-bit integer</t>
  </si>
  <si>
    <t>(Offset from GMT)</t>
  </si>
  <si>
    <t>System/Misc Configuration</t>
  </si>
  <si>
    <t>Clock/Calendar Parameters</t>
  </si>
  <si>
    <t>week of month</t>
  </si>
  <si>
    <t>Bus Non-Responding</t>
  </si>
  <si>
    <t>No. of Modbus good messages received from bus 7</t>
  </si>
  <si>
    <t>No. of Modbus bus timeouts  7</t>
  </si>
  <si>
    <t>3 = ON Delay</t>
  </si>
  <si>
    <t>External Source Default Active</t>
  </si>
  <si>
    <t>0 = In Service</t>
  </si>
  <si>
    <t>1 = Out of Service</t>
  </si>
  <si>
    <t>time, s, remaining</t>
  </si>
  <si>
    <t>breaker types</t>
  </si>
  <si>
    <t>Starting Address</t>
  </si>
  <si>
    <t>TCP Connection Timeout</t>
  </si>
  <si>
    <t>TCP Read Timeout</t>
  </si>
  <si>
    <t>TCP Write Timeout</t>
  </si>
  <si>
    <t>Day of Week</t>
  </si>
  <si>
    <t>120 - 1800, units = s, default = 300</t>
  </si>
  <si>
    <t>1 = 6 position R</t>
  </si>
  <si>
    <t>2 = 6 position L</t>
  </si>
  <si>
    <t>3 = 9 position R</t>
  </si>
  <si>
    <t>4 = 9 position L</t>
  </si>
  <si>
    <t>24 = 24 hr</t>
  </si>
  <si>
    <t>special days</t>
  </si>
  <si>
    <t>External Source xx IP Address Table</t>
  </si>
  <si>
    <t>default = 36 (N)</t>
  </si>
  <si>
    <t>Bus Status</t>
  </si>
  <si>
    <t>Input Status</t>
  </si>
  <si>
    <t>Input Configuration</t>
  </si>
  <si>
    <t>System Status</t>
  </si>
  <si>
    <t>ID</t>
  </si>
  <si>
    <t>r1 (MS Byte)  : Month = 1 - 12</t>
  </si>
  <si>
    <t>bit 15: enable download</t>
  </si>
  <si>
    <t>bit 14: enter download</t>
  </si>
  <si>
    <t>bit 13: DL module running</t>
  </si>
  <si>
    <t>Serial Number</t>
  </si>
  <si>
    <t>Hardware Series</t>
  </si>
  <si>
    <t>Date of Manufacture</t>
  </si>
  <si>
    <t>Key Press Status</t>
  </si>
  <si>
    <t>key press status</t>
  </si>
  <si>
    <t>0x Writes</t>
  </si>
  <si>
    <t>0x Reference Writes</t>
  </si>
  <si>
    <t>Clock/Calendar Status</t>
  </si>
  <si>
    <t>- 180 (West) to + 180 (East)</t>
  </si>
  <si>
    <t>Event Enable, Bus Present</t>
  </si>
  <si>
    <t>NF500
Writers
(Init Task writes all)</t>
  </si>
  <si>
    <t>Record Summary, even numbered records</t>
  </si>
  <si>
    <t>External Reference xx Register Selector</t>
  </si>
  <si>
    <t>(Corresponds to panel at IP address)</t>
  </si>
  <si>
    <t>ww.xx.yy.zz = IP addr.</t>
  </si>
  <si>
    <t>Option ID</t>
  </si>
  <si>
    <t>ICMP frames received</t>
  </si>
  <si>
    <t>Breaker Blink Type, Bus 0, breakers 1-24</t>
  </si>
  <si>
    <t>Breaker Blink Type, Bus 1, breakers 1-24</t>
  </si>
  <si>
    <t>Breaker Blink Type, Bus 2, breakers 1-24</t>
  </si>
  <si>
    <t>Breaker Blink Type, Bus 3, breakers 1-24</t>
  </si>
  <si>
    <t>Breaker Blink Type, Bus 4, breakers 1-24</t>
  </si>
  <si>
    <t>Breaker Blink Type, Bus 5, breakers 1-24</t>
  </si>
  <si>
    <t>Breaker Blink Type, Bus 6, breakers 1-24</t>
  </si>
  <si>
    <t>percentage bandwidth used (0.1%)</t>
  </si>
  <si>
    <t>Firmware Version (DLF compatible format)</t>
  </si>
  <si>
    <t>2 = Tuesday</t>
  </si>
  <si>
    <t>3 = Wednesday</t>
  </si>
  <si>
    <t>4 = Thursday</t>
  </si>
  <si>
    <t>5 = Friday</t>
  </si>
  <si>
    <t>6 = Saturday</t>
  </si>
  <si>
    <t>Enable Coil Writes</t>
  </si>
  <si>
    <t xml:space="preserve">Input Timer Type </t>
  </si>
  <si>
    <t>0 = no timer*</t>
  </si>
  <si>
    <t xml:space="preserve">1 = Timed ON </t>
  </si>
  <si>
    <t>1 bit</t>
  </si>
  <si>
    <t>0 = OFF</t>
  </si>
  <si>
    <t>1 = ON</t>
  </si>
  <si>
    <t>1 reg.</t>
  </si>
  <si>
    <t>Group Override Enable</t>
  </si>
  <si>
    <t>Group Override Type</t>
  </si>
  <si>
    <t>NNNNNNNN 22222111 11111110 00000000     AAAAAAAA 43210987 65432109 87654321</t>
  </si>
  <si>
    <t>00000000 00000000 00000000 00000000</t>
  </si>
  <si>
    <t xml:space="preserve">    </t>
  </si>
  <si>
    <t>3 = Repeat every month by date</t>
  </si>
  <si>
    <t>4 = Repeat every month by date with qualification</t>
  </si>
  <si>
    <t>5 = Repeat every month by day</t>
  </si>
  <si>
    <t>6 = Repeat every month by day with qualification</t>
  </si>
  <si>
    <t>7 = Repeat every year by date</t>
  </si>
  <si>
    <t>week, day of week, month
week: 1-5; 1=1st, 5=last
day of week: 0 - 6 (0 = Sunday) 
month:1-12
defaults: 2, 0, 3 (2nd Sunday March)</t>
  </si>
  <si>
    <t>week, day of week, month
week: 1-5; 1=1st, 5=last
day of week: 0 - 6 (0 = Sunday) 
month:1-12
defaults: 1, 0, 11 (1st Sunday November)</t>
  </si>
  <si>
    <t>Note: Illustration shows a group member list with only breaker 1, bus address 0 included.  Default value is all 0’s.</t>
  </si>
  <si>
    <t>1 = AND</t>
  </si>
  <si>
    <t>Bus Model Number</t>
  </si>
  <si>
    <t>NF500
Readers 
(Modbus Slave TX reads all)</t>
  </si>
  <si>
    <t>Modbus Gateway timeout</t>
  </si>
  <si>
    <t>Modbus Gateway Packet Interval</t>
  </si>
  <si>
    <t>a 4 variable (16 row) truth table is specified as follows:</t>
  </si>
  <si>
    <t>5 = Truth Table Logic</t>
  </si>
  <si>
    <t>Hour = 0 - 23</t>
  </si>
  <si>
    <t>0 - 6 (0 = Sunday)</t>
  </si>
  <si>
    <t>0 = Sunday</t>
  </si>
  <si>
    <t>1 = Monday</t>
  </si>
  <si>
    <t>Database Version</t>
  </si>
  <si>
    <t>Minutes = 0 - 59</t>
  </si>
  <si>
    <t>Calculated Sunrise Time, Hour</t>
  </si>
  <si>
    <t>Calculated Sunrise Time, Minutes</t>
  </si>
  <si>
    <t>Calculated Sunset Time, Hour</t>
  </si>
  <si>
    <t>Calculated Sunset Time, Minutes</t>
  </si>
  <si>
    <t>Calculated Sunrise/Sunset Time Hour (Today)</t>
  </si>
  <si>
    <t>Calculated Sunrise/Sunset Time Minutes (Today)</t>
  </si>
  <si>
    <t>Schedule Status</t>
  </si>
  <si>
    <t>MAC Address</t>
  </si>
  <si>
    <t>Stagger Delay</t>
  </si>
  <si>
    <t>Breaker Verification Delay</t>
  </si>
  <si>
    <t>1* - 8</t>
  </si>
  <si>
    <t>24 = Sunrise</t>
  </si>
  <si>
    <t>25 = Sunset</t>
  </si>
  <si>
    <t>Special Day x: Repeat Type</t>
  </si>
  <si>
    <t>1 = Repeat every week forever</t>
  </si>
  <si>
    <t>2 = Repeat every week with qualification</t>
  </si>
  <si>
    <t>5 = 12 position R (NF12SBR)</t>
  </si>
  <si>
    <t>6 = 12 position L (NF12SBL)</t>
  </si>
  <si>
    <t>7 = 15 position R (NF15SBR)</t>
  </si>
  <si>
    <t>9 = 18 position R (NF18SBR)</t>
  </si>
  <si>
    <t>10 = 18 position L (NF18SBL)</t>
  </si>
  <si>
    <t>11 = 21 position R (NF21SBR)</t>
  </si>
  <si>
    <t>12 = 21 position L (NF21SBL)</t>
  </si>
  <si>
    <t>13 = 24 position R (NF24SBR)</t>
  </si>
  <si>
    <t>14 = 24 position L (NF24SBL)</t>
  </si>
  <si>
    <t>bit 2: last reset cause: 1: soft, 0: hard</t>
  </si>
  <si>
    <t>the default value is determined by both records, state and manual flag, comprising a subscription:
state = 0; man flag = 0: OFF w/blink
state = 0, man flag = 1: OFF (no blink)
state = 1, man flag = 0: ON (w/blink )
state = 1, man flag = 0: ON (no blink)
state = 0xFFF, man flag = 0xFFF: Last state</t>
  </si>
  <si>
    <t>Zone Configuration</t>
  </si>
  <si>
    <t>Zone Action/Priority</t>
  </si>
  <si>
    <t>1* - 10</t>
  </si>
  <si>
    <t>32 reg.</t>
  </si>
  <si>
    <t>00000000 00000000 00000000 00000001</t>
  </si>
  <si>
    <t xml:space="preserve"> </t>
  </si>
  <si>
    <t>sunrise time</t>
  </si>
  <si>
    <t>sunset time</t>
  </si>
  <si>
    <t>Communications Parameters</t>
  </si>
  <si>
    <t>External Source Global Control Parameters</t>
  </si>
  <si>
    <t>0 = disable, 1 = enable</t>
  </si>
  <si>
    <t>0 = inactive, 1 = active</t>
  </si>
  <si>
    <t>Breaker Intended State, Bus Address D</t>
  </si>
  <si>
    <t>Breaker Intended State, Bus Address E</t>
  </si>
  <si>
    <t>Breaker Intended State, Bus Address F</t>
  </si>
  <si>
    <t>0 = OFF*, 1 = ON</t>
  </si>
  <si>
    <t>r3 (MS byte): Minutes = 0 - 59</t>
  </si>
  <si>
    <t>r1 (MS byte) = ww</t>
  </si>
  <si>
    <t>r2 (MS byte) = yy</t>
  </si>
  <si>
    <t>r2 (LS byte) = zz</t>
  </si>
  <si>
    <t>LS Byte = Minutes</t>
  </si>
  <si>
    <t>r1 (LS Byte) : Day = 1 - 31</t>
  </si>
  <si>
    <t>r2 (LS Byte): Hour = 0 - 23</t>
  </si>
  <si>
    <t>r3 (LS Byte): Seconds = 0 - 59</t>
  </si>
  <si>
    <t>Alarm Status, Input Object State, Inputs 1 - 256</t>
  </si>
  <si>
    <t>Alarm Status, Zone Object State, Zone 1 - 256</t>
  </si>
  <si>
    <t>Zone Object State, Zones 1 - 256</t>
  </si>
  <si>
    <t>Zone Manual Flag, Zones 1 - 256</t>
  </si>
  <si>
    <t>Input Object State, Inputs 1 - 256</t>
  </si>
  <si>
    <t>Input Object Manual Flag, Inputs 1 - 256</t>
  </si>
  <si>
    <t>Latched Input State Control Manual, Inputs 1 - 256</t>
  </si>
  <si>
    <t>Latched Input State Control, Auto, Inputs 1 - 256</t>
  </si>
  <si>
    <t>Input Inhibit, Inputs 1 - 256</t>
  </si>
  <si>
    <t>Input Timer Inhibit, Inputs 1 - 256</t>
  </si>
  <si>
    <t>Zone Override Type, Zones 1 - 256</t>
  </si>
  <si>
    <t>No. of LRC\CRC errors from bus 0</t>
  </si>
  <si>
    <t>No. of LRC\CRC errors from bus 1</t>
  </si>
  <si>
    <t>No. of LRC\CRC errors from bus  2</t>
  </si>
  <si>
    <t>No. of LRC\CRC errors from bus 3</t>
  </si>
  <si>
    <t>No. of LRC\CRC errors from bus 4</t>
  </si>
  <si>
    <t>No. of LRC\CRC errors from bus 6</t>
  </si>
  <si>
    <t>No. of LRC\CRC errors from bus 7</t>
  </si>
  <si>
    <t>No. of LRC\CRC errors from bus 8</t>
  </si>
  <si>
    <t>No. of LRC\CRC errors from bus 9</t>
  </si>
  <si>
    <t>No. of LRC\CRC errors from bus 10</t>
  </si>
  <si>
    <t>No. of LRC\CRC errors from bus 11</t>
  </si>
  <si>
    <t>No. of LRC\CRC errors from bus 12</t>
  </si>
  <si>
    <t>No. of LRC\CRC errors from bus 13</t>
  </si>
  <si>
    <t>No. of LRC\CRC errors from bus 14</t>
  </si>
  <si>
    <t>No. of LRC\CRC errors from bus 15</t>
  </si>
  <si>
    <t>No. of LRC\CRC errors from bus 5</t>
  </si>
  <si>
    <t>No. of Modbus messages sent to bus 0</t>
  </si>
  <si>
    <t>No. of Modbus messages sent to bus 1</t>
  </si>
  <si>
    <t>No. of Modbus messages sent to bus 2</t>
  </si>
  <si>
    <t>No. of Modbus messages sent to bus 3</t>
  </si>
  <si>
    <t>No. of Modbus messages sent to bus 4</t>
  </si>
  <si>
    <t>No. of Modbus messages sent to bus 5</t>
  </si>
  <si>
    <t>No. of Modbus messages sent to bus 6</t>
  </si>
  <si>
    <t>No. of Modbus messages sent to bus 7</t>
  </si>
  <si>
    <t>No. of Modbus messages sent to bus 8</t>
  </si>
  <si>
    <t>No. of Modbus messages sent to bus 9</t>
  </si>
  <si>
    <t>No. of Modbus messages sent to bus 10</t>
  </si>
  <si>
    <t>No. of Modbus messages sent to bus 11</t>
  </si>
  <si>
    <t>No. of Modbus messages sent to bus 12</t>
  </si>
  <si>
    <t>No. of Modbus messages sent to bus 13</t>
  </si>
  <si>
    <t>No. of Modbus messages sent to bus 14</t>
  </si>
  <si>
    <t>No. of Modbus messages sent to bus 15</t>
  </si>
  <si>
    <t>Breaker Present Status</t>
  </si>
  <si>
    <t>Breaker Non-Responding Status</t>
  </si>
  <si>
    <t>Breaker Non-Responding Any Status</t>
  </si>
  <si>
    <t>Input  Manual Control</t>
  </si>
  <si>
    <t>Input Auto Control</t>
  </si>
  <si>
    <t>Input Timer Inhibit Control</t>
  </si>
  <si>
    <t>Zone Override Enable</t>
  </si>
  <si>
    <t>Zone Override Type</t>
  </si>
  <si>
    <t>Zone Manual Control</t>
  </si>
  <si>
    <t>Zone Auto Control</t>
  </si>
  <si>
    <t>Input Object Status</t>
  </si>
  <si>
    <t>Input Manual Flag Status</t>
  </si>
  <si>
    <t>Zone Object Status</t>
  </si>
  <si>
    <t>Zone Manual Flag Status</t>
  </si>
  <si>
    <t>Zone Alarm Status</t>
  </si>
  <si>
    <t>Bus Non-Responding Status</t>
  </si>
  <si>
    <t>Zone Actual Status</t>
  </si>
  <si>
    <t>Zone Actual State, Zones 1 - 256</t>
  </si>
  <si>
    <t>Slave RS485 Port Baud Rate</t>
  </si>
  <si>
    <t>Slave RS485 Port Parity</t>
  </si>
  <si>
    <t>Slave RS232 Port Baud Rate</t>
  </si>
  <si>
    <t>Slave RS232 Port Parity</t>
  </si>
  <si>
    <t>Slave RS485 Port Communications Mode</t>
  </si>
  <si>
    <t>Slave RS232 Port Communications Mode</t>
  </si>
  <si>
    <t xml:space="preserve">Modbus Address </t>
  </si>
  <si>
    <t>Zone Manual Control, Zones 1 - 256</t>
  </si>
  <si>
    <t>Zone Auto Control, Zones 1 - 256</t>
  </si>
  <si>
    <t>Input Timer Value, Input 1 - 256</t>
  </si>
  <si>
    <t>Zone Override Timer Value, Zones 1-256</t>
  </si>
  <si>
    <t>Input Timer Duration, Inputs 1-256</t>
  </si>
  <si>
    <t>Input Timer Type, Inputs 1-256</t>
  </si>
  <si>
    <t>Zone Logic Type, Zones 1-256</t>
  </si>
  <si>
    <t>Total Registers per Reference Type</t>
  </si>
  <si>
    <t xml:space="preserve">Total Registers </t>
  </si>
  <si>
    <t>Total Coils per Reference Type</t>
  </si>
  <si>
    <t>Total Coils</t>
  </si>
  <si>
    <t>Total # Registers</t>
  </si>
  <si>
    <t>Active/Inactive</t>
  </si>
  <si>
    <t>Items</t>
  </si>
  <si>
    <t>Registers</t>
  </si>
  <si>
    <t>Bytes</t>
  </si>
  <si>
    <t>Input Timer Type</t>
  </si>
  <si>
    <t>Input Configuration File</t>
  </si>
  <si>
    <t>Input Active/Inactive</t>
  </si>
  <si>
    <t>Input Active Control , Inputs 1 - 256</t>
  </si>
  <si>
    <t>Schedule Active Control</t>
  </si>
  <si>
    <t>Zone Active Control , Zones 1 - 256</t>
  </si>
  <si>
    <t>Schedule Output Status, 1 - 64</t>
  </si>
  <si>
    <t>Breaker Blink Configuration</t>
  </si>
  <si>
    <t>Breaker Type</t>
  </si>
  <si>
    <t>Bus Model Status</t>
  </si>
  <si>
    <t>Bus Firmware Status</t>
  </si>
  <si>
    <t>Input Defined Control , Inputs 1 - 256</t>
  </si>
  <si>
    <t>Zone Defined Control , Zones 1 - 256</t>
  </si>
  <si>
    <t>Scheduler Object Parameters</t>
  </si>
  <si>
    <t>0: coil/input, 1: register</t>
  </si>
  <si>
    <t>always 1</t>
  </si>
  <si>
    <t>coil/input or register address</t>
  </si>
  <si>
    <t>heartbeat interval x 3</t>
  </si>
  <si>
    <t>always 0: not implemented in v3.00</t>
  </si>
  <si>
    <t>always 10</t>
  </si>
  <si>
    <t>60-7200 seconds; default: 300 s</t>
  </si>
  <si>
    <t>Subscriber File Record Fields</t>
  </si>
  <si>
    <t>2 bytes</t>
  </si>
  <si>
    <t>1 byte</t>
  </si>
  <si>
    <t>4 bytes</t>
  </si>
  <si>
    <t>1-247; corresponds to publisher Modbus address</t>
  </si>
  <si>
    <t>= external source number = (record number + 1)/ 2</t>
  </si>
  <si>
    <r>
      <t>xxx.xxx.xxx.xxx, where 1</t>
    </r>
    <r>
      <rPr>
        <sz val="8"/>
        <color indexed="8"/>
        <rFont val="Symbol"/>
        <family val="1"/>
        <charset val="2"/>
      </rPr>
      <t>£</t>
    </r>
    <r>
      <rPr>
        <sz val="8"/>
        <color indexed="8"/>
        <rFont val="Arial"/>
        <family val="2"/>
      </rPr>
      <t xml:space="preserve">  xxx</t>
    </r>
    <r>
      <rPr>
        <sz val="8"/>
        <color indexed="8"/>
        <rFont val="Symbol"/>
        <family val="1"/>
        <charset val="2"/>
      </rPr>
      <t xml:space="preserve">£ </t>
    </r>
    <r>
      <rPr>
        <sz val="8"/>
        <color indexed="8"/>
        <rFont val="Arial"/>
        <family val="2"/>
      </rPr>
      <t>255</t>
    </r>
  </si>
  <si>
    <t>No. of exception responses from bus 15</t>
  </si>
  <si>
    <t xml:space="preserve"> Code:</t>
  </si>
  <si>
    <t>No. of Modbus good messages received from bus 3</t>
  </si>
  <si>
    <t>No. of Modbus bus timeouts  3</t>
  </si>
  <si>
    <t>No. of exception responses from bus 3</t>
  </si>
  <si>
    <t>No. of Modbus good messages received from bus 4</t>
  </si>
  <si>
    <t>No. of Modbus bus timeouts  4</t>
  </si>
  <si>
    <t>No. of exception responses from bus 4</t>
  </si>
  <si>
    <t>No. of Modbus good messages received from bus 5</t>
  </si>
  <si>
    <t>No. of Modbus bus timeouts  5</t>
  </si>
  <si>
    <t>No. of exception responses from bus 5</t>
  </si>
  <si>
    <t>No. of Modbus good messages received from bus 6</t>
  </si>
  <si>
    <t>Test Register</t>
  </si>
  <si>
    <t>Alarm Type</t>
  </si>
  <si>
    <t>Alarm Level</t>
  </si>
  <si>
    <t>Alarm Pickup Level</t>
  </si>
  <si>
    <t>Alarm Dropout Level</t>
  </si>
  <si>
    <t>0 - 23  = Hour</t>
  </si>
  <si>
    <t>Latitude</t>
  </si>
  <si>
    <t>Compressed Local Date/Time</t>
  </si>
  <si>
    <t>Expanded Local Date/Time</t>
  </si>
  <si>
    <t>Longitude</t>
  </si>
  <si>
    <t>Time Zone Reference</t>
  </si>
  <si>
    <t>Halt Mode Enable</t>
  </si>
  <si>
    <t xml:space="preserve">Blink Pulse Duration </t>
  </si>
  <si>
    <t xml:space="preserve">Blink-to-OFF Delay </t>
  </si>
  <si>
    <t>Manufacturing Information</t>
  </si>
  <si>
    <t># Items</t>
  </si>
  <si>
    <t>Registers per Item</t>
  </si>
  <si>
    <t>2 bit pair</t>
  </si>
  <si>
    <t>First bit = State</t>
  </si>
  <si>
    <t>Second Bit = Manual Flag</t>
  </si>
  <si>
    <t>External Source Value</t>
  </si>
  <si>
    <t>Breaker Strike Count, Bus 0, breakers 1-24</t>
  </si>
  <si>
    <t>Breaker Strike Count, Bus 1, breakers 1-24</t>
  </si>
  <si>
    <t>Breaker Strike Count, Bus 2, breakers 1-24</t>
  </si>
  <si>
    <t>Breaker Strike Count, Bus 3, breakers 1-24</t>
  </si>
  <si>
    <t>Breaker Strike Count, Bus 4, breakers 1-24</t>
  </si>
  <si>
    <t>Breaker Strike Count, Bus 5, breakers 1-24</t>
  </si>
  <si>
    <t>Breaker Strike Count, Bus 6, breakers 1-24</t>
  </si>
  <si>
    <t>Breaker Strike Count, Bus 7, breakers 1-24</t>
  </si>
  <si>
    <t>Breaker Strike Count, Bus 8, breakers 1-24</t>
  </si>
  <si>
    <t>Breaker Strike Count, Bus 9, breakers 1-24</t>
  </si>
  <si>
    <t>Breaker Strike Count, Bus 10, breakers 1-24</t>
  </si>
  <si>
    <t>Total  # Bytes</t>
  </si>
  <si>
    <t>MS byte  = Code:</t>
  </si>
  <si>
    <t>bit 8: production mode enabled</t>
  </si>
  <si>
    <t>bit 7: command interface enabled</t>
  </si>
  <si>
    <t>bit 6: configuration mode enabled</t>
  </si>
  <si>
    <t>bit 5: front panel disabled</t>
  </si>
  <si>
    <t>Local IP Address</t>
  </si>
  <si>
    <t>Local Subnet Mask</t>
  </si>
  <si>
    <t>Local Gateway Address</t>
  </si>
  <si>
    <t>Display Time Format (12/24)</t>
  </si>
  <si>
    <t>External Source Service State</t>
  </si>
  <si>
    <t>1xxxx "Discrete Input" (Bit)</t>
  </si>
  <si>
    <t>Range</t>
  </si>
  <si>
    <t>Breaker Type, Bus Address C</t>
  </si>
  <si>
    <t>Breaker Type, Bus Address D</t>
  </si>
  <si>
    <t>Breaker Type, Bus Address E</t>
  </si>
  <si>
    <t>Breaker Type, Bus Address F</t>
  </si>
  <si>
    <t>0 = OFF, 1 = ON</t>
  </si>
  <si>
    <t>Note</t>
  </si>
  <si>
    <t>System Control</t>
  </si>
  <si>
    <t>TBD</t>
  </si>
  <si>
    <t>Control Module Model</t>
  </si>
  <si>
    <t>Control Module Firmware Version</t>
  </si>
  <si>
    <t>dropout level</t>
  </si>
  <si>
    <t>pickup</t>
  </si>
  <si>
    <t>dropout</t>
  </si>
  <si>
    <t>one-shot</t>
  </si>
  <si>
    <t>unknown</t>
  </si>
  <si>
    <t>Special Condition Record Fields</t>
  </si>
  <si>
    <t>Event Log Record Fields</t>
  </si>
  <si>
    <t>Alarm Setup Record Fields</t>
  </si>
  <si>
    <t>Alarm Log Record Fields</t>
  </si>
  <si>
    <t>Daylight Saving Time Active</t>
  </si>
  <si>
    <t>No. of Modbus bus timeouts  6</t>
  </si>
  <si>
    <t>No. of exception responses from bus 6</t>
  </si>
  <si>
    <t>Breaker Present, Bus Address A</t>
  </si>
  <si>
    <t>Breaker Present, Bus Address B</t>
  </si>
  <si>
    <t>Breaker Present, Bus Address C</t>
  </si>
  <si>
    <t>Breaker Present, Bus Address D</t>
  </si>
  <si>
    <t>Breaker Present, Bus Address E</t>
  </si>
  <si>
    <t>Breaker Present, Bus Address F</t>
  </si>
  <si>
    <t>Breaker Type, Bus Address A</t>
  </si>
  <si>
    <t>Breaker Type, Bus Address B</t>
  </si>
  <si>
    <t>Hardware Peripheral Status</t>
  </si>
  <si>
    <t>hardware peripheral status</t>
  </si>
  <si>
    <t>bit 7:</t>
  </si>
  <si>
    <t>bit 14: NVSRAM</t>
  </si>
  <si>
    <t>bit 13: RTC</t>
  </si>
  <si>
    <t>0-15</t>
  </si>
  <si>
    <t>defined by mfg</t>
  </si>
  <si>
    <t>bit 11: DL module valid</t>
  </si>
  <si>
    <t>bit 9: N/A</t>
  </si>
  <si>
    <t>:</t>
  </si>
  <si>
    <t>bit 0: N/A</t>
  </si>
  <si>
    <t>bit-map</t>
  </si>
  <si>
    <t>Download Module Firmware Version</t>
  </si>
  <si>
    <t>Firmware Version</t>
  </si>
  <si>
    <t>day of week</t>
  </si>
  <si>
    <t>format</t>
  </si>
  <si>
    <t>Display Time 12/24 Format</t>
  </si>
  <si>
    <t>start day</t>
  </si>
  <si>
    <t>start month</t>
  </si>
  <si>
    <t>start year</t>
  </si>
  <si>
    <t>end day</t>
  </si>
  <si>
    <t>end month</t>
  </si>
  <si>
    <t>end year</t>
  </si>
  <si>
    <t>through month</t>
  </si>
  <si>
    <t>0 = No Change on update failure*</t>
  </si>
  <si>
    <t>MSTP Address</t>
  </si>
  <si>
    <t>BACnet UDP Port</t>
  </si>
  <si>
    <t>BBMD IP Address</t>
  </si>
  <si>
    <t>BACnet Modes</t>
  </si>
  <si>
    <t>APDU Timeout</t>
  </si>
  <si>
    <t>APDU Retries</t>
  </si>
  <si>
    <t>BBMD Time-to-live</t>
  </si>
  <si>
    <t>0-127, default: 0</t>
  </si>
  <si>
    <t>0-65535, default: 47808 (0xBAC0)</t>
  </si>
  <si>
    <t>default: 000.000.000.000</t>
  </si>
  <si>
    <t>1-5, default: 3</t>
  </si>
  <si>
    <t>ICMP frames transmitted</t>
  </si>
  <si>
    <t>IP frames discarded</t>
  </si>
  <si>
    <t>Breaker Control State, Bus Address A</t>
  </si>
  <si>
    <t>Breaker Control State, Bus Address B</t>
  </si>
  <si>
    <t>Breaker Control State, Bus Address C</t>
  </si>
  <si>
    <t>Breaker Control State, Bus Address D</t>
  </si>
  <si>
    <t>US "New" (2007-on) Rule, Start</t>
  </si>
  <si>
    <t>US "New" (2007-on) Rule, End</t>
  </si>
  <si>
    <t>bit 1: C-Bus device</t>
  </si>
  <si>
    <t>Modbus Function Code</t>
  </si>
  <si>
    <t>01</t>
  </si>
  <si>
    <t>Processor Usage</t>
  </si>
  <si>
    <t>0 - 1800 (10*)</t>
  </si>
  <si>
    <t>Scaling =  1 second / count</t>
  </si>
  <si>
    <t>External Source Default Time-Out Value</t>
  </si>
  <si>
    <t>blink types</t>
  </si>
  <si>
    <t>Modbus function codes 20 (read); write: 21(write, in configuration mode)</t>
  </si>
  <si>
    <t>timer types</t>
  </si>
  <si>
    <t>Subscribe-to Starting Address</t>
  </si>
  <si>
    <t>Publish-to Starting Address</t>
  </si>
  <si>
    <t>Heartbeat Interval</t>
  </si>
  <si>
    <t>Publisher Timeout</t>
  </si>
  <si>
    <t>Minimum Interval</t>
  </si>
  <si>
    <t>Periodic Publish Interval</t>
  </si>
  <si>
    <t>Publisher File Number</t>
  </si>
  <si>
    <t>Default Value</t>
  </si>
  <si>
    <t>Item</t>
  </si>
  <si>
    <t>Location</t>
  </si>
  <si>
    <t>2 = OFF Delay</t>
  </si>
  <si>
    <t>Type</t>
  </si>
  <si>
    <t>R/W</t>
  </si>
  <si>
    <t>R</t>
  </si>
  <si>
    <t>0 - 65535</t>
  </si>
  <si>
    <t>Unsigned 16-bit integer</t>
  </si>
  <si>
    <t>Daylight Saving Time Enable</t>
  </si>
  <si>
    <t>A B C D f</t>
  </si>
  <si>
    <t>0 0 0 0 a</t>
  </si>
  <si>
    <t>0 0 0 1 b</t>
  </si>
  <si>
    <t>where the 16 bit value is specfied as:</t>
  </si>
  <si>
    <t>ponmlkjihgfedcba</t>
  </si>
  <si>
    <t>1 1 1 1 p</t>
  </si>
  <si>
    <t>DLF Compatibility</t>
  </si>
  <si>
    <t>Breaker Blink Type, Bus 7, breakers 1-24</t>
  </si>
  <si>
    <t>0: present/functional</t>
  </si>
  <si>
    <t>1: not present/not functional</t>
  </si>
  <si>
    <t>Control Bus Communications Status</t>
  </si>
  <si>
    <t>Command Interface Password</t>
  </si>
  <si>
    <t>2 = last event</t>
  </si>
  <si>
    <t>3 = XOR</t>
  </si>
  <si>
    <t>4 = Custom Logic</t>
  </si>
  <si>
    <t>Schedule Manual</t>
  </si>
  <si>
    <t>0  (Always Auto)</t>
  </si>
  <si>
    <t>Input Object Parameters</t>
  </si>
  <si>
    <t>Bus Parameters</t>
  </si>
  <si>
    <t>value</t>
  </si>
  <si>
    <t>Calculated Day of Week</t>
  </si>
  <si>
    <t>Calculated Week of Month</t>
  </si>
  <si>
    <t>0 = Auto</t>
  </si>
  <si>
    <t>1 = Manual</t>
  </si>
  <si>
    <t>0 = auto, 1 = manual</t>
  </si>
  <si>
    <t>0 = Schedule OFF</t>
  </si>
  <si>
    <t>1 = Schedule ON</t>
  </si>
  <si>
    <t>Time Period Status</t>
  </si>
  <si>
    <t>24 bits</t>
  </si>
  <si>
    <t>day of month</t>
  </si>
  <si>
    <t>Compressed UTC Date/Time</t>
  </si>
  <si>
    <t>Expanded UTC Date/Time</t>
  </si>
  <si>
    <t>Front Panel Password, level 1</t>
  </si>
  <si>
    <t>Front Panel Password, level 2</t>
  </si>
  <si>
    <t>Front Panel Password, level 3</t>
  </si>
  <si>
    <t>password</t>
  </si>
  <si>
    <t>0 – 9999, with 0000 = Disabled</t>
  </si>
  <si>
    <t>Front Panel Password</t>
  </si>
  <si>
    <t>Publisher IP Address</t>
  </si>
  <si>
    <t>Publisher Unit ID</t>
  </si>
  <si>
    <t>Subscription Number</t>
  </si>
  <si>
    <t>Length</t>
  </si>
  <si>
    <t>This register is available if required to differentiate devices having the same device ID. As of the initial release of the NF1000, this register does not contain meaningful information.</t>
  </si>
  <si>
    <t>Scaling = 1 Degree / Count</t>
  </si>
  <si>
    <t>- 90 to + 90</t>
  </si>
  <si>
    <t>Latitude (North-South)</t>
  </si>
  <si>
    <t>Longitude (East-West)</t>
  </si>
  <si>
    <t xml:space="preserve">Where MSB/LSB = </t>
  </si>
  <si>
    <t>coil/input #</t>
  </si>
  <si>
    <t>Range = 00001 to 19999</t>
  </si>
  <si>
    <t>Breaker Intended State, Bus Address A</t>
  </si>
  <si>
    <t>Breaker Intended State, Bus Address B</t>
  </si>
  <si>
    <t>Breaker Intended State, Bus Address C</t>
  </si>
  <si>
    <t>No. of exception responses from bus 7</t>
  </si>
  <si>
    <t>No. of Modbus good messages received from bus 8</t>
  </si>
  <si>
    <t>No. of Modbus bus timeouts  8</t>
  </si>
  <si>
    <t>No. of exception responses from bus 8</t>
  </si>
  <si>
    <t>No. of Modbus good messages received from bus 9</t>
  </si>
  <si>
    <t>No. of Modbus bus timeouts  9</t>
  </si>
  <si>
    <t>No. of exception responses from bus 9</t>
  </si>
  <si>
    <t>No. of Modbus bus timeouts  10</t>
  </si>
  <si>
    <t>No. of Modbus good messages received from bus 10</t>
  </si>
  <si>
    <t>No. of exception responses from bus 10</t>
  </si>
  <si>
    <t>No. of Modbus good messages received from bus 11</t>
  </si>
  <si>
    <t>No. of Modbus bus timeouts  11</t>
  </si>
  <si>
    <t>No. of exception responses from bus 11</t>
  </si>
  <si>
    <t>No. of Modbus good messages received from bus 12</t>
  </si>
  <si>
    <t>No. of Modbus bus timeouts  12</t>
  </si>
  <si>
    <t>No. of exception responses from bus 12</t>
  </si>
  <si>
    <t>No. of Modbus good messages received from bus 13</t>
  </si>
  <si>
    <t>No. of Modbus bus timeouts  13</t>
  </si>
  <si>
    <t>No. of exception responses from bus 13</t>
  </si>
  <si>
    <t>No. of Modbus good messages received from bus 14</t>
  </si>
  <si>
    <t>No. of Modbus bus timeouts  14</t>
  </si>
  <si>
    <t xml:space="preserve">No. of exception responses from bus 14 </t>
  </si>
  <si>
    <t>No. of Modbus good messages received from bus 15</t>
  </si>
  <si>
    <t>No. of Modbus bus timeouts  15</t>
  </si>
  <si>
    <t>Size</t>
  </si>
  <si>
    <t>r1 (LS Byte) = xx</t>
  </si>
  <si>
    <t>Zone Non-Responding</t>
  </si>
  <si>
    <t>Zone Status</t>
  </si>
  <si>
    <t>Month = 1 - 12</t>
  </si>
  <si>
    <t>8 = 15 position L (NF15SBL)</t>
  </si>
  <si>
    <t>range</t>
  </si>
  <si>
    <t>baud rates</t>
  </si>
  <si>
    <t>Semaphore Request</t>
  </si>
  <si>
    <t>Active Access Semaphore</t>
  </si>
  <si>
    <t>Prior Command</t>
  </si>
  <si>
    <t>Prior Command Result Code</t>
  </si>
  <si>
    <t>Command</t>
  </si>
  <si>
    <t>Command Interface Shortcut</t>
  </si>
  <si>
    <t>0x2222: enable Command Interface; other: disable</t>
  </si>
  <si>
    <t>device ID</t>
  </si>
  <si>
    <t>option ID</t>
  </si>
  <si>
    <t>Device ID</t>
  </si>
  <si>
    <t>Reserved</t>
  </si>
  <si>
    <t>Register / File Description</t>
  </si>
  <si>
    <t>Calculated Day of the Week</t>
  </si>
  <si>
    <t>Calculated Week of the Month</t>
  </si>
  <si>
    <t>Total Bytes, All Registers</t>
  </si>
  <si>
    <t>1* - 10, units = 0.1s</t>
  </si>
  <si>
    <t>1*- 8, units = s</t>
  </si>
  <si>
    <t>default = -86</t>
  </si>
  <si>
    <t>Active Command</t>
  </si>
  <si>
    <t>Command Parameters 1 - 9</t>
  </si>
  <si>
    <t>Command Data Buffer Area</t>
  </si>
  <si>
    <t>12 = 12 hr (AM/PM)*</t>
  </si>
  <si>
    <t>Manufacturing information</t>
  </si>
  <si>
    <t>8 = Repeat every year by date with qualification</t>
  </si>
  <si>
    <t xml:space="preserve">9 = Repeat every year by day </t>
  </si>
  <si>
    <t>10 = Repeat every year by day with qualification</t>
  </si>
  <si>
    <t xml:space="preserve">11 = Repeat every nn days </t>
  </si>
  <si>
    <t>Boot Firmware Version</t>
  </si>
  <si>
    <t>Self-Test Bitmap</t>
  </si>
  <si>
    <t>0 = Period Inactive</t>
  </si>
  <si>
    <t>(1 bit for each period, 1 - 24)</t>
  </si>
  <si>
    <t>1 = Period Active</t>
  </si>
  <si>
    <t>RD/WR</t>
  </si>
  <si>
    <t>0 = normal*, 1 = halt</t>
  </si>
  <si>
    <t>0 = normal*, 1 = disable keys</t>
  </si>
  <si>
    <t>0 = don't blink, 1 = blink</t>
  </si>
  <si>
    <t>RD/CW</t>
  </si>
  <si>
    <t>RD/PW</t>
  </si>
  <si>
    <t>Record 1-16</t>
  </si>
  <si>
    <t>Record Definition</t>
  </si>
  <si>
    <t>File Definition</t>
  </si>
  <si>
    <t>Record Summary</t>
  </si>
  <si>
    <t>Total</t>
  </si>
  <si>
    <t>Event Identifier</t>
  </si>
  <si>
    <t>Entry Type</t>
  </si>
  <si>
    <t>Event Time/Date</t>
  </si>
  <si>
    <t>Record 1-256</t>
  </si>
  <si>
    <t>Correlation Sequence Number</t>
  </si>
  <si>
    <t>0-255</t>
  </si>
  <si>
    <t>Breaker Non-Responding, Any</t>
  </si>
  <si>
    <t>Command Interface</t>
  </si>
  <si>
    <t>61 = status change to OFF</t>
  </si>
  <si>
    <t>one shot</t>
  </si>
  <si>
    <t>coil / register corresponding to:</t>
  </si>
  <si>
    <t xml:space="preserve">Group State </t>
  </si>
  <si>
    <t xml:space="preserve">Latched Input State </t>
  </si>
  <si>
    <t>Input Object State</t>
  </si>
  <si>
    <t>Non-Responding Breaker State</t>
  </si>
  <si>
    <t>Communications Time-Out Active</t>
  </si>
  <si>
    <t xml:space="preserve">Learn Mode </t>
  </si>
  <si>
    <t xml:space="preserve">Halt Mode </t>
  </si>
  <si>
    <t xml:space="preserve">Timer Inhibit </t>
  </si>
  <si>
    <t>Schedule Output Status</t>
  </si>
  <si>
    <t>Group Override Time-Out Enable</t>
  </si>
  <si>
    <t>External Source</t>
  </si>
  <si>
    <t>10 = status &gt; pickup value</t>
  </si>
  <si>
    <t>20 = status &lt; pickup value</t>
  </si>
  <si>
    <t>alarm level</t>
  </si>
  <si>
    <t>0 - 5</t>
  </si>
  <si>
    <t>Alarm Enable/Disable</t>
  </si>
  <si>
    <t>Alarm Priority</t>
  </si>
  <si>
    <t>Alarm Name</t>
  </si>
  <si>
    <t>pickup level</t>
  </si>
  <si>
    <t>No. of Modbus messages sent (to all busses)</t>
  </si>
  <si>
    <t>No. of Modbus good messages received from bus 0</t>
  </si>
  <si>
    <t>No. of Modbus bus timeouts 0</t>
  </si>
  <si>
    <t>No. of exception responses from bus 0</t>
  </si>
  <si>
    <t>No. of Modbus good messages received from bus 1</t>
  </si>
  <si>
    <t>No. of Modbus bus timeouts 1</t>
  </si>
  <si>
    <t>No. of exception responses from bus 1</t>
  </si>
  <si>
    <t>No. of Modbus good messages received from bus 2</t>
  </si>
  <si>
    <t>No. of Modbus bus timeouts 2</t>
  </si>
  <si>
    <t>No. of exception responses from bus 2</t>
  </si>
  <si>
    <t>Breaker Strike Count, Bus 11, breakers 1-24</t>
  </si>
  <si>
    <t>Breaker Strike Count, Bus 12, breakers 1-24</t>
  </si>
  <si>
    <t>Breaker Strike Count, Bus 13, breakers 1-24</t>
  </si>
  <si>
    <t>Breaker Strike Count, Bus 14, breakers 1-24</t>
  </si>
  <si>
    <t>Breaker Strike Count, Bus 15, breakers 1-24</t>
  </si>
  <si>
    <t>Breaker Blink Type, Bus 10, breakers 1-24</t>
  </si>
  <si>
    <t>Breaker Blink Type, Bus 11, breakers 1-24</t>
  </si>
  <si>
    <t>Breaker Blink Type, Bus 12, breakers 1-24</t>
  </si>
  <si>
    <t>Breaker Blink Type, Bus 13, breakers 1-24</t>
  </si>
  <si>
    <t>Breaker Blink Type, Bus 14, breakers 1-24</t>
  </si>
  <si>
    <t>Breaker Blink Type, Bus 15, breakers 1-24</t>
  </si>
  <si>
    <t>time/date</t>
  </si>
  <si>
    <t>Register/Coil # of Event</t>
  </si>
  <si>
    <t>60 = status change to ON</t>
  </si>
  <si>
    <t>Sweep switch pulse width</t>
  </si>
  <si>
    <t>Sweep switch repeat interval</t>
  </si>
  <si>
    <t>1-10: units = seconds; default = 5</t>
  </si>
  <si>
    <t>1-240: units = minutes; default = 120</t>
  </si>
  <si>
    <t>Calculated DST End Day</t>
  </si>
  <si>
    <t>Calculated DST End Month</t>
  </si>
  <si>
    <t>Calculated DST Begin Month</t>
  </si>
  <si>
    <t>Calculated DST Begin Day</t>
  </si>
  <si>
    <t>(1 for each Ext. Source)</t>
  </si>
  <si>
    <t>1 = Automatic ON on update failure</t>
  </si>
  <si>
    <t>2 = Automatic OFF on update failure</t>
  </si>
  <si>
    <t>3 = Manual OFF on update failure</t>
  </si>
  <si>
    <t>External Source Default Value</t>
  </si>
  <si>
    <t>0 - 65532</t>
  </si>
  <si>
    <t>(1 for each External Source)</t>
  </si>
  <si>
    <t>External Source Number of Retries</t>
  </si>
  <si>
    <t>External Source Number of Errors</t>
  </si>
  <si>
    <t>External Source Number of Time-Outs</t>
  </si>
  <si>
    <t>External Source Default Time-Out Duration</t>
  </si>
  <si>
    <t>Unsigned 16 bit integer</t>
  </si>
  <si>
    <t>To Be Determined by MFG.</t>
  </si>
  <si>
    <t>3xxxx</t>
  </si>
  <si>
    <t>4xxxx</t>
  </si>
  <si>
    <t>Units/Range</t>
  </si>
  <si>
    <t>2 reg.</t>
  </si>
  <si>
    <t>Range = 0 - 59</t>
  </si>
  <si>
    <t>0 = responding, 1 = not responding</t>
  </si>
  <si>
    <t xml:space="preserve"> 0 = not present, 1 = present</t>
  </si>
  <si>
    <t>MSByte: version, LSByte: revision</t>
  </si>
  <si>
    <t>0 = Normal*, 1 = In alarm</t>
  </si>
  <si>
    <t>Event Enable, Configuration Mode</t>
  </si>
  <si>
    <t>Event Enable, Learn Mode</t>
  </si>
  <si>
    <t>Breaker Control State, Bus Address E</t>
  </si>
  <si>
    <t>Bitmapped:</t>
  </si>
  <si>
    <t>repeat type</t>
  </si>
  <si>
    <t>6xxxxx "General References"</t>
  </si>
  <si>
    <t>01,02</t>
  </si>
  <si>
    <t>03,04</t>
  </si>
  <si>
    <t>Ending Address</t>
  </si>
  <si>
    <t>0-65535</t>
  </si>
  <si>
    <t>3xxxx "Input Registers" (2 Byte)</t>
  </si>
  <si>
    <t>4xxxx "Holding Registers" (2 Byte)</t>
  </si>
  <si>
    <t>Day = 1 - 31</t>
  </si>
  <si>
    <t>Calculated DST Month</t>
  </si>
  <si>
    <t>Calculated DST Day</t>
  </si>
  <si>
    <t>month</t>
  </si>
  <si>
    <t>day</t>
  </si>
  <si>
    <t>1 = Default Active</t>
  </si>
  <si>
    <t>12 = Repeat every nn days with end date</t>
  </si>
  <si>
    <t>Special Day x: Start Day</t>
  </si>
  <si>
    <t>Special Day x: Start Month</t>
  </si>
  <si>
    <t>1 - 12 (1 = January)</t>
  </si>
  <si>
    <t>Special Day x: Start Year</t>
  </si>
  <si>
    <t>Special Day x: End Day</t>
  </si>
  <si>
    <t>Special Day x: End Month</t>
  </si>
  <si>
    <t>Special Day x: End Year</t>
  </si>
  <si>
    <t>Special Day x: Day of Week</t>
  </si>
  <si>
    <t>Special Day x: Week of Month</t>
  </si>
  <si>
    <t>Special Day x: Month of Year</t>
  </si>
  <si>
    <t>Special Day x: Day of Month</t>
  </si>
  <si>
    <t>Special Day x: Thru_Month</t>
  </si>
  <si>
    <t>Special Day x: Thru_Day</t>
  </si>
  <si>
    <t>Special Day x: Repeat Interval</t>
  </si>
  <si>
    <t>1-31</t>
  </si>
  <si>
    <t>1-99</t>
  </si>
  <si>
    <t>No. of Modbus frame errors received (from all busses)</t>
  </si>
  <si>
    <t>Special Day</t>
  </si>
  <si>
    <t>Modbus Gateway Character Timeout</t>
  </si>
  <si>
    <t>File 16:  Clock Configuration</t>
  </si>
  <si>
    <t xml:space="preserve">Clock Configuration </t>
  </si>
  <si>
    <t>month, week, day of week
week: 1-5; 1=1st, 5=last
day of week: 0 - 6 (0 = Sunday) 
month:1-12
defaults: 2, 0, 3 (2nd Sunday March)</t>
  </si>
  <si>
    <t>month, week, day of week
week: 1-5; 1=1st, 5=last
day of week: 0 - 6 (0 = Sunday) 
month:1-12
defaults: 1, 0, 11 (1st Sunday November)</t>
  </si>
  <si>
    <t>File 0 : File Size Header</t>
  </si>
  <si>
    <t>File Number</t>
  </si>
  <si>
    <t>Number of Records</t>
  </si>
  <si>
    <t>Record Size</t>
  </si>
  <si>
    <t>File Size Header</t>
  </si>
  <si>
    <t>File Number 1</t>
  </si>
  <si>
    <t>File Number 2</t>
  </si>
  <si>
    <t>File Number 3</t>
  </si>
  <si>
    <r>
      <t xml:space="preserve">          </t>
    </r>
    <r>
      <rPr>
        <b/>
        <sz val="8"/>
        <color indexed="10"/>
        <rFont val="Arial"/>
        <family val="2"/>
      </rPr>
      <t xml:space="preserve"> :</t>
    </r>
  </si>
  <si>
    <t>Data Structure File 1</t>
  </si>
  <si>
    <t>Data Structure File 2</t>
  </si>
  <si>
    <t>Data Structure File 3</t>
  </si>
  <si>
    <r>
      <t xml:space="preserve"> </t>
    </r>
    <r>
      <rPr>
        <b/>
        <sz val="8"/>
        <color indexed="10"/>
        <rFont val="Arial"/>
        <family val="2"/>
      </rPr>
      <t>:</t>
    </r>
  </si>
  <si>
    <t>Number of Records - File 1</t>
  </si>
  <si>
    <t>Record Size - File 1</t>
  </si>
  <si>
    <t>Number of Records - File 2</t>
  </si>
  <si>
    <t>Record Size - File 2</t>
  </si>
  <si>
    <t>Number of Records - File 3</t>
  </si>
  <si>
    <t>Record Size - File 3</t>
  </si>
  <si>
    <t>Modbus File 0 Record Size</t>
  </si>
  <si>
    <t>0 indicates size not known</t>
  </si>
  <si>
    <t>Modbus Gateway Timeout</t>
  </si>
  <si>
    <t>Uart 0 Rx Frame Error</t>
  </si>
  <si>
    <t>bit 9: Flash Memory - 0xC0000000</t>
  </si>
  <si>
    <t>bit 8: Flash Memory -0xC1000000</t>
  </si>
  <si>
    <t>Front Panel Time Out</t>
  </si>
  <si>
    <t>Controller Name Tag</t>
  </si>
  <si>
    <t>FTP Password</t>
  </si>
  <si>
    <t xml:space="preserve">System Configuration </t>
  </si>
  <si>
    <t>Breaker Blink Timer Status</t>
  </si>
  <si>
    <t>Breaker On-Time Configuration &amp; Status</t>
  </si>
  <si>
    <t xml:space="preserve">Breaker On-Time Alarm Configuration </t>
  </si>
  <si>
    <t>Breaker Strike Count Configuration  &amp; Status</t>
  </si>
  <si>
    <t>Terminal Configuration</t>
  </si>
  <si>
    <t>Terminal Type, Terminals 1-16</t>
  </si>
  <si>
    <t>Terminal Switch Type, Terminals 1-16</t>
  </si>
  <si>
    <t>Terminal Sensor Type, Terminals 1-16</t>
  </si>
  <si>
    <t>Terminal Status Output Source, Terminals 1-16</t>
  </si>
  <si>
    <t>Terminal Status Output Source Number, Terminals 1-16</t>
  </si>
  <si>
    <t>Input Terminal Source,  Inputs 1-256</t>
  </si>
  <si>
    <t>Input Auto/Manual,  Inputs 1-256</t>
  </si>
  <si>
    <t>Input Defined Configuration</t>
  </si>
  <si>
    <t>Input Active Configuration</t>
  </si>
  <si>
    <t>Zone Defined Configuration</t>
  </si>
  <si>
    <t>Zone Active Configuration</t>
  </si>
  <si>
    <t>File 1 : Terminal Configuration</t>
  </si>
  <si>
    <t>Terminal Configuration File</t>
  </si>
  <si>
    <t>Terminal Defined/Undefined</t>
  </si>
  <si>
    <t>Terminal Active/Inactive</t>
  </si>
  <si>
    <t>Input Terminal Source</t>
  </si>
  <si>
    <t>Input Auto/Manual</t>
  </si>
  <si>
    <t>Input Timer Duration</t>
  </si>
  <si>
    <t>Terminal Type</t>
  </si>
  <si>
    <t>Terminal Switch Type</t>
  </si>
  <si>
    <t>Terminal Sensor Type</t>
  </si>
  <si>
    <t>Terminal Status Output Source</t>
  </si>
  <si>
    <t>Terminal Status Output Source Number</t>
  </si>
  <si>
    <t>File 2 : Input Configuration</t>
  </si>
  <si>
    <t>terminal type</t>
  </si>
  <si>
    <t>Terminal Object Parameters</t>
  </si>
  <si>
    <t>Terminal Type Value</t>
  </si>
  <si>
    <t>Terminal Switch Type Value</t>
  </si>
  <si>
    <t>0 - switch</t>
  </si>
  <si>
    <t>0 - maintain N/O</t>
  </si>
  <si>
    <t>1 - maintained N/C</t>
  </si>
  <si>
    <t>2 - maintained toggle</t>
  </si>
  <si>
    <t>3 - momentary toggle</t>
  </si>
  <si>
    <t>4 - momentary on</t>
  </si>
  <si>
    <t>5 - momentary off</t>
  </si>
  <si>
    <t>6 - dual momentary</t>
  </si>
  <si>
    <t>Terminal Sensor Type Value</t>
  </si>
  <si>
    <t>0 - terminal</t>
  </si>
  <si>
    <t xml:space="preserve">1 - input </t>
  </si>
  <si>
    <t>2 - schedule</t>
  </si>
  <si>
    <t>3 - zone</t>
  </si>
  <si>
    <t>4 - breaker</t>
  </si>
  <si>
    <t>5 - remote source</t>
  </si>
  <si>
    <t>Status Output Source Type Value</t>
  </si>
  <si>
    <t>terminal switch type</t>
  </si>
  <si>
    <t>terminal sensor type</t>
  </si>
  <si>
    <t>status output source type</t>
  </si>
  <si>
    <t>status output source number</t>
  </si>
  <si>
    <t>Input Name Tag</t>
  </si>
  <si>
    <t>Terminal Name Tag</t>
  </si>
  <si>
    <t>8 nametags per record</t>
  </si>
  <si>
    <t>16 ASCII characters per name tag</t>
  </si>
  <si>
    <t>Record 1- 2</t>
  </si>
  <si>
    <t>Record 1- 32</t>
  </si>
  <si>
    <t>Terminal Active Configuration</t>
  </si>
  <si>
    <t>-48 to 48</t>
  </si>
  <si>
    <t>GMT + 12:00</t>
  </si>
  <si>
    <t>GMT + 11:00</t>
  </si>
  <si>
    <t>GMT + 10:00</t>
  </si>
  <si>
    <t>GMT + 9:30</t>
  </si>
  <si>
    <t>GMT + 9:00</t>
  </si>
  <si>
    <t>GMT + 8:00</t>
  </si>
  <si>
    <t>GMT + 7:00</t>
  </si>
  <si>
    <t>GMT + 6:00</t>
  </si>
  <si>
    <t>GMT + 5:30</t>
  </si>
  <si>
    <t>GMT + 5:00</t>
  </si>
  <si>
    <t>GMT + 4:30</t>
  </si>
  <si>
    <t>GMT + 4:00</t>
  </si>
  <si>
    <t>GMT + 3:30</t>
  </si>
  <si>
    <t>GMT + 3:00</t>
  </si>
  <si>
    <t>GMT + 2:00</t>
  </si>
  <si>
    <t>GMT + 1:00</t>
  </si>
  <si>
    <t>GMT</t>
  </si>
  <si>
    <t>GMT - 2:00</t>
  </si>
  <si>
    <t>GMT - 3:00</t>
  </si>
  <si>
    <t>GMT - 3:30 (Newfoundland)</t>
  </si>
  <si>
    <t>GMT - 4:00 (Atlantic)</t>
  </si>
  <si>
    <t>GMT - 5:00 (Eastern)</t>
  </si>
  <si>
    <t>GMT - 6:00 (Central)</t>
  </si>
  <si>
    <t>GMT - 7:00 (Mountain)</t>
  </si>
  <si>
    <t>GMT - 8:00 (Pacific)</t>
  </si>
  <si>
    <t>GMT - 9:00 (Alaska)</t>
  </si>
  <si>
    <t>GMT - 10:00 (Hawaii)</t>
  </si>
  <si>
    <t>GMT - 11:00</t>
  </si>
  <si>
    <t>GMT - 12:00</t>
  </si>
  <si>
    <t xml:space="preserve"> GMT - 1:00</t>
  </si>
  <si>
    <t>0=disable, 1*=enabled</t>
  </si>
  <si>
    <t>Terminal Status</t>
  </si>
  <si>
    <t>Terminal State, Terminals 1-16</t>
  </si>
  <si>
    <t>Terminal Switch State Terminals 1-16</t>
  </si>
  <si>
    <t>Terminal Output Status, Terminals 1-16</t>
  </si>
  <si>
    <t>Terminal Level Activity, Terminals 1-16</t>
  </si>
  <si>
    <t>Terminal Binary Activity, Terminals 1-16</t>
  </si>
  <si>
    <t>Terminal A/D Range Error, Terminals 1-16</t>
  </si>
  <si>
    <t>0 = no Error, 1 = Error</t>
  </si>
  <si>
    <t>Terminal Switch Status</t>
  </si>
  <si>
    <t>Terminal Binary Status</t>
  </si>
  <si>
    <t>Terminal Output Status</t>
  </si>
  <si>
    <t>Terminal Level Active Status</t>
  </si>
  <si>
    <t>Terminal A/D Error Status</t>
  </si>
  <si>
    <t>Input Level Manual Value, Input 1 - 256</t>
  </si>
  <si>
    <t>Input Level Auto Value, Input 1 - 256</t>
  </si>
  <si>
    <t xml:space="preserve"> 0 - 255 counts</t>
  </si>
  <si>
    <t>Input Analog Level Value, Input 1 - 256</t>
  </si>
  <si>
    <t>Terminal Active Control , Terminal 1 - 16</t>
  </si>
  <si>
    <t>Record 1 - 32</t>
  </si>
  <si>
    <t>Record 1 - 2</t>
  </si>
  <si>
    <t>Zone Name Tag</t>
  </si>
  <si>
    <t>File 4: Zone Configuration</t>
  </si>
  <si>
    <t>File 5: Schedules</t>
  </si>
  <si>
    <t>File 6: Period</t>
  </si>
  <si>
    <t>File 7: Special Days</t>
  </si>
  <si>
    <t>Record 1 - 8</t>
  </si>
  <si>
    <t>Special Day Name Tag</t>
  </si>
  <si>
    <t>Record 1 - 12</t>
  </si>
  <si>
    <t>Data Structure  File 32</t>
  </si>
  <si>
    <t>0 indicates no records</t>
  </si>
  <si>
    <t>RD/CmdIfWR</t>
  </si>
  <si>
    <t>File 108: Bus Name Tags</t>
  </si>
  <si>
    <t>File 107: Special Day Name Tags</t>
  </si>
  <si>
    <t>File 106: Period Name Tags</t>
  </si>
  <si>
    <t>File 105: Schedule Name Tags</t>
  </si>
  <si>
    <t>File 104: Zone Name Tags</t>
  </si>
  <si>
    <t>File 102: Input Name Tags</t>
  </si>
  <si>
    <t xml:space="preserve"> Hardware/External Reset Counter</t>
  </si>
  <si>
    <t>CRC Status</t>
  </si>
  <si>
    <t>0-2^32 - 32 bit CRC of File</t>
  </si>
  <si>
    <t>Input Cbus Source</t>
  </si>
  <si>
    <t>Input DMX source</t>
  </si>
  <si>
    <t>Input Cbus Source Value, Input 1 - 256</t>
  </si>
  <si>
    <t>Input DMX Source Value, Input 1 - 256</t>
  </si>
  <si>
    <t>Free Ethernet stack buffers</t>
  </si>
  <si>
    <t>Rx Queue Pending Timeout</t>
  </si>
  <si>
    <t>Modbus Pass-through Error</t>
  </si>
  <si>
    <t>Pass-through Ethernet Errors</t>
  </si>
  <si>
    <t>Pass-through Packets</t>
  </si>
  <si>
    <t>Input Threshold High, Inputs 1-256</t>
  </si>
  <si>
    <t>Input Threshold Low Inputs 1-256</t>
  </si>
  <si>
    <t>Zone Override Timer Set point, Zones 1-256</t>
  </si>
  <si>
    <t>"PowerLogic" Device ID (Req'd for Compatibility)</t>
  </si>
  <si>
    <t>"PowerLogic" Option ID (Req'd for Compatibility)</t>
  </si>
  <si>
    <t>Input Threshold High</t>
  </si>
  <si>
    <t>Input Threshold Low</t>
  </si>
  <si>
    <t>*0</t>
  </si>
  <si>
    <t>**terminal</t>
  </si>
  <si>
    <t>0 - 255       * - terminals 1-7</t>
  </si>
  <si>
    <t xml:space="preserve">                  ** - terminal 8-16</t>
  </si>
  <si>
    <t>0 - 0-5 VDC</t>
  </si>
  <si>
    <t>1 - 0-10 VDC</t>
  </si>
  <si>
    <t>2 - 4-20 mA</t>
  </si>
  <si>
    <t>temperature C : -10 to 85 C</t>
  </si>
  <si>
    <t>temperature F : 14 to 185 F</t>
  </si>
  <si>
    <t>1-600 seconds: defalt 120 seconds</t>
  </si>
  <si>
    <t>1-600: units = seconds; default = 120</t>
  </si>
  <si>
    <t>default = Transparent Ready TR_013</t>
  </si>
  <si>
    <t>IP Address Defaults - TR_013</t>
  </si>
  <si>
    <t xml:space="preserve">        IP Adress</t>
  </si>
  <si>
    <t xml:space="preserve">        Subnet Address</t>
  </si>
  <si>
    <t xml:space="preserve">        Gateway Address</t>
  </si>
  <si>
    <t>1st reg hi word, 2nd reg lo word</t>
  </si>
  <si>
    <t xml:space="preserve"> Default = 0.0.0.0 - no routing</t>
  </si>
  <si>
    <t>0* - 64800, units = seconds</t>
  </si>
  <si>
    <t>1 = 1st week</t>
  </si>
  <si>
    <t>2 = 2nd week</t>
  </si>
  <si>
    <t>Description</t>
  </si>
  <si>
    <t>Command Successful</t>
  </si>
  <si>
    <t>Illegal Transition</t>
  </si>
  <si>
    <t>Illegal Record Size</t>
  </si>
  <si>
    <t>Illegal File Command</t>
  </si>
  <si>
    <t>Insufficient Memory</t>
  </si>
  <si>
    <t>Illegal File Number</t>
  </si>
  <si>
    <t>Undefined Command</t>
  </si>
  <si>
    <t>Command Has Undefined or Illegal Parameters</t>
  </si>
  <si>
    <t>Illegal Record Request</t>
  </si>
  <si>
    <t>Illegal Record Count</t>
  </si>
  <si>
    <t>Protected Mode Not Enabled</t>
  </si>
  <si>
    <t>Timeout, Command Not Executed</t>
  </si>
  <si>
    <t>Invalid Password, Command Not Executed</t>
  </si>
  <si>
    <t>Configuration Mode Open Error</t>
  </si>
  <si>
    <t>Mode Not Enabled</t>
  </si>
  <si>
    <t>Input Object Configuration Error</t>
  </si>
  <si>
    <t>Zone Object Configuration Error</t>
  </si>
  <si>
    <t>System Object Configuration Error</t>
  </si>
  <si>
    <t>Clock Object Configuration Error</t>
  </si>
  <si>
    <t>Terminal Object Configuration Error</t>
  </si>
  <si>
    <t>Schedule Object Configuration Error</t>
  </si>
  <si>
    <t>Result Code Description</t>
  </si>
  <si>
    <t>Result Codes</t>
  </si>
  <si>
    <t>Terminal Sensor Offset</t>
  </si>
  <si>
    <t>Terminal Sensor Scalar</t>
  </si>
  <si>
    <t>Terminal Status Output Bus</t>
  </si>
  <si>
    <t>terminal sensor offset</t>
  </si>
  <si>
    <t>status ouput source bus</t>
  </si>
  <si>
    <t>Status Output Source Bus</t>
  </si>
  <si>
    <t>0*-255</t>
  </si>
  <si>
    <t>Input Sync Source Number</t>
  </si>
  <si>
    <t>Input Inhibit Sync Source Number</t>
  </si>
  <si>
    <t>Input  Timer Sync Source Number</t>
  </si>
  <si>
    <t>Sync Source Type</t>
  </si>
  <si>
    <t>Sync Source Number</t>
  </si>
  <si>
    <t>Sync Source Bus</t>
  </si>
  <si>
    <t>Sync Filter</t>
  </si>
  <si>
    <t>Inhibit Sync Source Type</t>
  </si>
  <si>
    <t>Inhibit Sync Source Number</t>
  </si>
  <si>
    <t>Inhibit Sync Source Bus</t>
  </si>
  <si>
    <t>Sync Invert</t>
  </si>
  <si>
    <t>Inhibit Sync Filter</t>
  </si>
  <si>
    <t>Inhibit Sync Invert</t>
  </si>
  <si>
    <t>Timer Sync Source Type</t>
  </si>
  <si>
    <t>Timer Sync Source Bus</t>
  </si>
  <si>
    <t>Timer Sync Source Number</t>
  </si>
  <si>
    <t>Timer  Sync Filter</t>
  </si>
  <si>
    <t>Timer  Sync Invert</t>
  </si>
  <si>
    <t>1 - input</t>
  </si>
  <si>
    <t>4 - breakers</t>
  </si>
  <si>
    <t>255 - not used</t>
  </si>
  <si>
    <t>not used</t>
  </si>
  <si>
    <t>x</t>
  </si>
  <si>
    <t>bus</t>
  </si>
  <si>
    <t>0 - no sync</t>
  </si>
  <si>
    <t>1 - all (on/off) events</t>
  </si>
  <si>
    <t>2 - on events only</t>
  </si>
  <si>
    <t>3 - off events only</t>
  </si>
  <si>
    <t>Zone Comms Loss Action</t>
  </si>
  <si>
    <t>Zone Override Timer Setpoint</t>
  </si>
  <si>
    <t>Zone Member List Bus</t>
  </si>
  <si>
    <t>Logic Type</t>
  </si>
  <si>
    <t>Truth Table</t>
  </si>
  <si>
    <t>Last Event</t>
  </si>
  <si>
    <t>Comms Loss Action</t>
  </si>
  <si>
    <t>Active Priority</t>
  </si>
  <si>
    <t>Source Pointer Set</t>
  </si>
  <si>
    <t>Member List Bus</t>
  </si>
  <si>
    <t>Comms Restore Action</t>
  </si>
  <si>
    <t>Zone Comms Restore Action</t>
  </si>
  <si>
    <t>Zone Object Parameters</t>
  </si>
  <si>
    <t>Zone Custom Logic Truth Table</t>
  </si>
  <si>
    <t>bit 3 - 0: source 3</t>
  </si>
  <si>
    <t>bit 7 - 4: source 2</t>
  </si>
  <si>
    <t>bit 11 - 8: source 1</t>
  </si>
  <si>
    <t>0xEEEE</t>
  </si>
  <si>
    <t>0xFFFF</t>
  </si>
  <si>
    <t>0 = none</t>
  </si>
  <si>
    <t>3 = on</t>
  </si>
  <si>
    <t>4 = off</t>
  </si>
  <si>
    <t>1 = run /release</t>
  </si>
  <si>
    <t>2 = last state</t>
  </si>
  <si>
    <t>0*-64800</t>
  </si>
  <si>
    <t>0 = normal</t>
  </si>
  <si>
    <t>Zone Source Pointer</t>
  </si>
  <si>
    <t>Type:</t>
  </si>
  <si>
    <t>Number:</t>
  </si>
  <si>
    <t>Bus:</t>
  </si>
  <si>
    <t>bus: 0-15</t>
  </si>
  <si>
    <t>Operator:</t>
  </si>
  <si>
    <t>0 - AND</t>
  </si>
  <si>
    <t>1 - OR</t>
  </si>
  <si>
    <t>2 - XOR</t>
  </si>
  <si>
    <t>3 - NAND</t>
  </si>
  <si>
    <t>4 - NOR</t>
  </si>
  <si>
    <t>5 - XNOR</t>
  </si>
  <si>
    <t>Polarity:</t>
  </si>
  <si>
    <t>4 Source Pointers - each use 5 registers</t>
  </si>
  <si>
    <t>Each zone, 1 – 255, is comprised of 64 bytes, each 32 bit element being a bit map of breakers:</t>
  </si>
  <si>
    <t>DLF Download Version</t>
  </si>
  <si>
    <t>DLF App Version</t>
  </si>
  <si>
    <t>0x001FFFFF</t>
  </si>
  <si>
    <t>Terminal Status Output Bus Number, Terminals 1-16</t>
  </si>
  <si>
    <t>Terminal Sensor Offset, Terminals 1-16</t>
  </si>
  <si>
    <t>Terminal Sensor Scalar, Terminals 1-16</t>
  </si>
  <si>
    <t>Input Sync Source Type, Input 1 - 256</t>
  </si>
  <si>
    <t>Input Sync Source Bus, Input 1 - 256</t>
  </si>
  <si>
    <t>Input Sync Filter, Input 1 - 256</t>
  </si>
  <si>
    <t>Input Sync Invert, Input 1 - 256</t>
  </si>
  <si>
    <t>Input Inhibit Sync Source Type, Input 1 - 256</t>
  </si>
  <si>
    <t>Input Inhibit Sync Source Number, Input 1 - 256</t>
  </si>
  <si>
    <t>Input Inhibit Sync Source Bus, Input 1 - 256</t>
  </si>
  <si>
    <t>Input Inhibit Sync Filter, Input 1 - 256</t>
  </si>
  <si>
    <t>Input Inhibit Sync Invert, Input 1 - 256</t>
  </si>
  <si>
    <t>Zone Action on Comms Timeout, Zones 1-256</t>
  </si>
  <si>
    <t>Zone Action on CommsRestore, Zones 1-256</t>
  </si>
  <si>
    <t>Blink to Off</t>
  </si>
  <si>
    <t>Breaker Verification</t>
  </si>
  <si>
    <t>Input Sync Source Number, Input 1 - 256r</t>
  </si>
  <si>
    <t>.5 reg.</t>
  </si>
  <si>
    <t>A/D Sensor Calibration Offset Correction - IEEE 754 Hex Floating Point Representation</t>
  </si>
  <si>
    <t>0xFF7FFFFF</t>
  </si>
  <si>
    <t>0x7F7FFFFF</t>
  </si>
  <si>
    <t>-3.402E+38</t>
  </si>
  <si>
    <t>0</t>
  </si>
  <si>
    <t>Decimal Reference</t>
  </si>
  <si>
    <t>Smartbus RS485 Port Baud Rate</t>
  </si>
  <si>
    <t>Smartbus RS485 Port Parity</t>
  </si>
  <si>
    <t>Smartbus RS485 Port Communications Mode</t>
  </si>
  <si>
    <t>Smartbus Configuration</t>
  </si>
  <si>
    <t>baud rates - 19200</t>
  </si>
  <si>
    <t>Zone Event Status</t>
  </si>
  <si>
    <t>Zone Event State, Zones 1 - 256</t>
  </si>
  <si>
    <t xml:space="preserve"> 0 - 64800 seconds</t>
  </si>
  <si>
    <t>Zone Truth Table, Zones 1-256</t>
  </si>
  <si>
    <t>Special Day Status</t>
  </si>
  <si>
    <t>bits 0-14: register addressbit 15: state</t>
  </si>
  <si>
    <t>Record 1-96</t>
  </si>
  <si>
    <t>repeat interval</t>
  </si>
  <si>
    <t>holiday</t>
  </si>
  <si>
    <t>Special Day x: Holiday</t>
  </si>
  <si>
    <t>0-13</t>
  </si>
  <si>
    <t>0 = holiday</t>
  </si>
  <si>
    <t>Special Day x: Priority</t>
  </si>
  <si>
    <t>Special Day x: Duration</t>
  </si>
  <si>
    <t>0 - lowest priority</t>
  </si>
  <si>
    <t>0:non global, 1:global</t>
  </si>
  <si>
    <t>Terminal Object - File 1</t>
  </si>
  <si>
    <t>Input Object -  File 2</t>
  </si>
  <si>
    <t>Zone Object - File 4</t>
  </si>
  <si>
    <t>Schedule Object -  File 5</t>
  </si>
  <si>
    <t>Periods Object - File 6</t>
  </si>
  <si>
    <t>Special Day Object - File 7</t>
  </si>
  <si>
    <t>Bus Object - File 8</t>
  </si>
  <si>
    <t>Comms Object - File 15</t>
  </si>
  <si>
    <t>System Object - File 14</t>
  </si>
  <si>
    <t>Clock Object - File 16</t>
  </si>
  <si>
    <t>Terminal Nametag - File 101</t>
  </si>
  <si>
    <t>Input Nametag -  File 102</t>
  </si>
  <si>
    <t>Zone Nametag - File 104</t>
  </si>
  <si>
    <t>Schedule Nametag  - File 105</t>
  </si>
  <si>
    <t>Period Nametag -  File 106</t>
  </si>
  <si>
    <t>Special Day Nametag -  File 107</t>
  </si>
  <si>
    <t>Bus Nametag - File 108</t>
  </si>
  <si>
    <t>Input Object Event Sync,  Inputs 1 - 256</t>
  </si>
  <si>
    <t>Input Object Event,  Inputs 1 - 256</t>
  </si>
  <si>
    <t>Zone Boolean State, Zones 1 - 256</t>
  </si>
  <si>
    <t>Zone Logic, Zones 1 - 256</t>
  </si>
  <si>
    <t>Zone Event Sync State, Zones 1 - 256</t>
  </si>
  <si>
    <t>Source State by Zone, Zone 1-256</t>
  </si>
  <si>
    <t>Source Event by Zone, Zone 1-256</t>
  </si>
  <si>
    <t>Source Manual Flag by Zone, Zone 1-256</t>
  </si>
  <si>
    <t>Source State by Zone Shifted, Zone 1-256</t>
  </si>
  <si>
    <t>Source Event by Zone Shifted, Zone 1-256</t>
  </si>
  <si>
    <t>Source Manual Flag by Zone Shifted, Zone 1-256</t>
  </si>
  <si>
    <t xml:space="preserve">0 = OFF, 1 = ON, </t>
  </si>
  <si>
    <t>Zone Source Pointer State, Zones 1 - 256, 4 sources/ zone</t>
  </si>
  <si>
    <t>Zone Source Pointer Event, Zones 1 - 256, 4 sources/ zone</t>
  </si>
  <si>
    <t>Zone Source Pointer Manual Flag, Zones 1 - 256,4 sources/ zone</t>
  </si>
  <si>
    <t>Terminal Binary Input Activity, Terminals 1-16</t>
  </si>
  <si>
    <t>Terminal Binary Zone Activity, Terminals 1-16</t>
  </si>
  <si>
    <t>Terminal Binary Sync Activity, Terminals 1-16</t>
  </si>
  <si>
    <t>Terminal Toggle Event, Terminals 1-16</t>
  </si>
  <si>
    <t>File 101: Terminal Name Tags</t>
  </si>
  <si>
    <t>Panel Name Tag</t>
  </si>
  <si>
    <t>Panel Position Name Tag</t>
  </si>
  <si>
    <t>Panel Position  Name Tag</t>
  </si>
  <si>
    <t>File 3 : Panel Configuration</t>
  </si>
  <si>
    <t>Bus Panel</t>
  </si>
  <si>
    <t>Bus Side - Left/Right</t>
  </si>
  <si>
    <t>Panel Configuration</t>
  </si>
  <si>
    <t>File 103: Panel Name Tags</t>
  </si>
  <si>
    <t>File 119: Panel Position Name Tags</t>
  </si>
  <si>
    <t>panel</t>
  </si>
  <si>
    <t>1 = left, 2 =right</t>
  </si>
  <si>
    <t>0 - 15</t>
  </si>
  <si>
    <t>Breaker Blink Type</t>
  </si>
  <si>
    <t>1 = single</t>
  </si>
  <si>
    <t>2 = double</t>
  </si>
  <si>
    <t>3 = triple</t>
  </si>
  <si>
    <t>4 = delay only</t>
  </si>
  <si>
    <t>5 = sentry</t>
  </si>
  <si>
    <t>6 = sentry w/repeat</t>
  </si>
  <si>
    <t>0 = Not Present</t>
  </si>
  <si>
    <t>1 = 1 pole</t>
  </si>
  <si>
    <t>2 = 2 pole</t>
  </si>
  <si>
    <t>3 = 3 pole</t>
  </si>
  <si>
    <t>Status Output Source Number</t>
  </si>
  <si>
    <t>Panel Nametag</t>
  </si>
  <si>
    <t>PanelPositionNametag - File 119</t>
  </si>
  <si>
    <t>Breaker Nametag - File 118</t>
  </si>
  <si>
    <t>Record 1 - 128</t>
  </si>
  <si>
    <t>Period Parameters</t>
  </si>
  <si>
    <t>Start Time, Hours</t>
  </si>
  <si>
    <t>Start Time, Minutes</t>
  </si>
  <si>
    <t>-240 to 240 minutes</t>
  </si>
  <si>
    <t>End Time, Hours</t>
  </si>
  <si>
    <t>End Time, Minutes</t>
  </si>
  <si>
    <t>Start_Offset, Minutes-from Sunrise or Sunset</t>
  </si>
  <si>
    <t>End Offset, Minutes-from Sunrise or Sunset</t>
  </si>
  <si>
    <t>bitmap: bit 0 - Sunday</t>
  </si>
  <si>
    <t>bit 1 - Monday</t>
  </si>
  <si>
    <t>bit 2 - Tuesday</t>
  </si>
  <si>
    <t>bit 3 - Wednesday</t>
  </si>
  <si>
    <t>bit 5 - Friday</t>
  </si>
  <si>
    <t>bit 6 - Saturday</t>
  </si>
  <si>
    <t>Special Days</t>
  </si>
  <si>
    <t>bitmap: bit 0 - Special; Day 1</t>
  </si>
  <si>
    <t xml:space="preserve">                           :</t>
  </si>
  <si>
    <t>2^95</t>
  </si>
  <si>
    <t>64 reg.</t>
  </si>
  <si>
    <t xml:space="preserve">             bit 95 - Special Day 96</t>
  </si>
  <si>
    <t>2^1024</t>
  </si>
  <si>
    <t>Schedule Parameters</t>
  </si>
  <si>
    <t>Record 1-128</t>
  </si>
  <si>
    <t>Schedule Period Status</t>
  </si>
  <si>
    <t>RD</t>
  </si>
  <si>
    <t>bitmap: bit 0        - Period 1</t>
  </si>
  <si>
    <t xml:space="preserve">             bit 1023 - Period 1024</t>
  </si>
  <si>
    <t>Output Status</t>
  </si>
  <si>
    <t>bitmap: bit 0    - Schedule 1</t>
  </si>
  <si>
    <t xml:space="preserve">             bit 63 - Period 64</t>
  </si>
  <si>
    <t>2^64</t>
  </si>
  <si>
    <t>Period Status per Schedule</t>
  </si>
  <si>
    <t>period status per schedule</t>
  </si>
  <si>
    <t>*max number of file</t>
  </si>
  <si>
    <t>File Number 40</t>
  </si>
  <si>
    <t>Number of Records - File 40</t>
  </si>
  <si>
    <t>Record Size - File 40</t>
  </si>
  <si>
    <t>File 207: Schedules Status</t>
  </si>
  <si>
    <t>0 - 128</t>
  </si>
  <si>
    <t>Special Day Priority Status</t>
  </si>
  <si>
    <t>Special Day Status, 1 - 96</t>
  </si>
  <si>
    <t>Special Day Status Priority 1, 1 - 96</t>
  </si>
  <si>
    <t>Special Day Status Priority 2, 1 - 96</t>
  </si>
  <si>
    <t>Special Day Status Priority 3, 1 - 96</t>
  </si>
  <si>
    <t>BACnet  MSTP Address</t>
  </si>
  <si>
    <t>BACnet BBMD UDP Port</t>
  </si>
  <si>
    <t>BACnet BBMD IP Address</t>
  </si>
  <si>
    <t>BACnet Device ID</t>
  </si>
  <si>
    <t>BACnet APDU Timeout</t>
  </si>
  <si>
    <t>BACnet BBMD Time-to-live</t>
  </si>
  <si>
    <t>BACnet APDU Retries</t>
  </si>
  <si>
    <t>Terminal 12- bit Percentage Status, Terminals 1-16</t>
  </si>
  <si>
    <t>Terminal 8- bit Percentage Status, Terminals 1-16</t>
  </si>
  <si>
    <t>Terminal 12-bit Scaled Status, Terminals 1-16</t>
  </si>
  <si>
    <t>Terminal 8-bit Scaled Status, Terminals 1-16</t>
  </si>
  <si>
    <t>0-100%, 12 bit A/D</t>
  </si>
  <si>
    <t>0-100%, 8 bit A/D</t>
  </si>
  <si>
    <t>Terminal 8-bit Valuel Status, Terminals 1-16</t>
  </si>
  <si>
    <t>Terminal 12 bit Value Status, Terminals 1-16</t>
  </si>
  <si>
    <t>Terminal  Number of ADC Averages, Terminals 1-16</t>
  </si>
  <si>
    <t>0-255, 8 bit A/D</t>
  </si>
  <si>
    <t>0-4095, 12 bit A/D</t>
  </si>
  <si>
    <t>Scaled floating pt value, 12 bit A/D</t>
  </si>
  <si>
    <t>Scaled floating pt value, 8 bit A/D</t>
  </si>
  <si>
    <t>Terminal  Number of ADC Averages</t>
  </si>
  <si>
    <t>0:not used, 1-16</t>
  </si>
  <si>
    <t>0 = undefined, 1 = defined*</t>
  </si>
  <si>
    <t>0 = inactive, 1 = active*</t>
  </si>
  <si>
    <t>0=undefined, 1=defined, default:1-16 defined, 17-256 undefined</t>
  </si>
  <si>
    <t>0=inactive, 1=active, default:1-16 active, 17-256 inactive</t>
  </si>
  <si>
    <t>0 = auto*, 1 = manual</t>
  </si>
  <si>
    <t>0 = InActive*, 1 =  Active</t>
  </si>
  <si>
    <t>0 = no Error*, 1 = Error</t>
  </si>
  <si>
    <t>0=inactive*, 1=active</t>
  </si>
  <si>
    <t>0-auto*, 1-manual</t>
  </si>
  <si>
    <t>0 = undefined*, 1 = defined</t>
  </si>
  <si>
    <t>0 = inactive*, 1 = active</t>
  </si>
  <si>
    <t>0 = undefined* 1 = defined</t>
  </si>
  <si>
    <t>0 = inactive* 1 = active</t>
  </si>
  <si>
    <t>0=undefined, 1=defined, default:1-16 =1, 17-256 = 0</t>
  </si>
  <si>
    <t>0=inactive, 1=active, default:1-16 =1, 17-256 = 0</t>
  </si>
  <si>
    <t>0=inactive, 1=active, default:1-16 = 1, 17-256 = 0</t>
  </si>
  <si>
    <t>Breaker Actual State Status</t>
  </si>
  <si>
    <t>Breaker Control State Status</t>
  </si>
  <si>
    <t>Breaker Intended State Status</t>
  </si>
  <si>
    <t>Breaker Desired/Direct State Status</t>
  </si>
  <si>
    <t>Breaker Desired  State Status</t>
  </si>
  <si>
    <t>0-4,194,302, default: last 6 digits of serial number</t>
  </si>
  <si>
    <t xml:space="preserve">0=undefined, 1=defined, default:1-16 = 1 </t>
  </si>
  <si>
    <t>0=inactive, 1=active, default:1-16 = 1</t>
  </si>
  <si>
    <t>0=undefined, 1=defined, default:1-16 = 1, 17-256 = 0</t>
  </si>
  <si>
    <t>0*-512</t>
  </si>
  <si>
    <t>terminal sensor scalar</t>
  </si>
  <si>
    <t>A/D Sensor Calibration Span Correction - IEEE 754  Hex Floating Point Representation</t>
  </si>
  <si>
    <t>1-255: default 10</t>
  </si>
  <si>
    <r>
      <t>*0 - 2</t>
    </r>
    <r>
      <rPr>
        <vertAlign val="superscript"/>
        <sz val="8"/>
        <rFont val="Arial"/>
        <family val="2"/>
      </rPr>
      <t>32</t>
    </r>
    <r>
      <rPr>
        <sz val="8"/>
        <rFont val="Arial"/>
        <family val="2"/>
      </rPr>
      <t>,</t>
    </r>
    <r>
      <rPr>
        <vertAlign val="superscript"/>
        <sz val="8"/>
        <rFont val="Arial"/>
        <family val="2"/>
      </rPr>
      <t xml:space="preserve"> </t>
    </r>
    <r>
      <rPr>
        <sz val="8"/>
        <rFont val="Arial"/>
        <family val="2"/>
      </rPr>
      <t xml:space="preserve">units = minutes, </t>
    </r>
  </si>
  <si>
    <t>0x0</t>
  </si>
  <si>
    <t>1 - sensor: terminals 1-4</t>
  </si>
  <si>
    <t>2 - output: terminals 9-16</t>
  </si>
  <si>
    <t>1 reg. - terminals 1-4 only</t>
  </si>
  <si>
    <t>2 reg.- terminals 1-4 only</t>
  </si>
  <si>
    <t>Invalid Registers will return a value of 0x8000</t>
  </si>
  <si>
    <t>Period Defined Control</t>
  </si>
  <si>
    <t>Period Active Control</t>
  </si>
  <si>
    <t>Period Defined Control ,Schedule 1 - 1024</t>
  </si>
  <si>
    <t>Period Active Control ,Schedule 1 - 1024</t>
  </si>
  <si>
    <t>Zone Combo Logic Polarity</t>
  </si>
  <si>
    <t>1=Zone On, 0=Zone Off</t>
  </si>
  <si>
    <t>0-65535 - hardware watchdog reset - pushbutton &amp; resets</t>
  </si>
  <si>
    <t>Configuration Registers</t>
  </si>
  <si>
    <t>Status Registers</t>
  </si>
  <si>
    <t>BACnet Configuration</t>
  </si>
  <si>
    <t>Panel Non-Responding Status</t>
  </si>
  <si>
    <t>DLF Modified Application Revision</t>
  </si>
  <si>
    <t>DLF Modified Download Revision</t>
  </si>
  <si>
    <t>Firmware Revision (DLF compatible format)</t>
  </si>
  <si>
    <t>DLF App Revision</t>
  </si>
  <si>
    <t>DLF Download Revision</t>
  </si>
  <si>
    <t>Firmware Version read from G4 - valid range 0-63</t>
  </si>
  <si>
    <t xml:space="preserve">(Firmware Revision read from G4) * 10 - valid range 0-99 </t>
  </si>
  <si>
    <t>DLF compatibility - 101=App running, 100=Download Mode</t>
  </si>
  <si>
    <t xml:space="preserve">MSByte: version, LSByte: revision- example </t>
  </si>
  <si>
    <r>
      <t xml:space="preserve">1 reg. - </t>
    </r>
    <r>
      <rPr>
        <sz val="8"/>
        <color indexed="10"/>
        <rFont val="Arial"/>
        <family val="2"/>
      </rPr>
      <t>DLF use only</t>
    </r>
  </si>
  <si>
    <t>Production Communications Interface</t>
  </si>
  <si>
    <t>Command Register</t>
  </si>
  <si>
    <t xml:space="preserve">Ethernet Gateway Lo Word </t>
  </si>
  <si>
    <t xml:space="preserve">Ethernet Gateway Hi Word </t>
  </si>
  <si>
    <t xml:space="preserve">Ethernet Subnet Lo Word </t>
  </si>
  <si>
    <t xml:space="preserve">Ethernet Subnet  Hi Word </t>
  </si>
  <si>
    <t xml:space="preserve">Ethernet IP Lo Word </t>
  </si>
  <si>
    <t xml:space="preserve">Ethernet IP Hi Word </t>
  </si>
  <si>
    <t>RS232, RS485 Baud Rate</t>
  </si>
  <si>
    <t>RS232, RS485 Parity</t>
  </si>
  <si>
    <t>0=none, 1=odd, 2=even</t>
  </si>
  <si>
    <t>1-247</t>
  </si>
  <si>
    <t>Valid IP = 0x1 - 0xFFFFFFFE</t>
  </si>
  <si>
    <t>Valid Gateway = 0x1 - 0xFFFFFFFE</t>
  </si>
  <si>
    <t>Valid Subnet =  0x1 - 0xFFFFFFFE</t>
  </si>
  <si>
    <r>
      <t>1=4800, 2=9600,</t>
    </r>
    <r>
      <rPr>
        <sz val="10"/>
        <color indexed="8"/>
        <rFont val="Arial"/>
        <family val="2"/>
      </rPr>
      <t xml:space="preserve"> </t>
    </r>
    <r>
      <rPr>
        <sz val="8"/>
        <color indexed="8"/>
        <rFont val="Arial"/>
        <family val="2"/>
      </rPr>
      <t>3=19200, 4=38400, 5=56700, 6=76800, 7=115200</t>
    </r>
  </si>
  <si>
    <t>Password Register</t>
  </si>
  <si>
    <t>Command: 0x79E1</t>
  </si>
  <si>
    <t>Password: 0x8B2D</t>
  </si>
  <si>
    <t>File 8: Bus/Breaker Configuration</t>
  </si>
  <si>
    <t>0 = bus0,bus1</t>
  </si>
  <si>
    <t>1 = bus2,bus3</t>
  </si>
  <si>
    <t>2 = bus4,bus5</t>
  </si>
  <si>
    <t>3 = bus6,bus7</t>
  </si>
  <si>
    <t>4 = bus8,bus9</t>
  </si>
  <si>
    <t>5 = bus10,bus11</t>
  </si>
  <si>
    <t>6 = bus12,bus13</t>
  </si>
  <si>
    <t>7 = bus14,bus15</t>
  </si>
  <si>
    <t>Default:</t>
  </si>
  <si>
    <t>Zone Event Breaker, Zones 1 - 256</t>
  </si>
  <si>
    <t>Cbus Sync Mode</t>
  </si>
  <si>
    <t>1-65535, default=15000</t>
  </si>
  <si>
    <t>0-255, default =255</t>
  </si>
  <si>
    <t>Ethernet Modbus Connection Status</t>
  </si>
  <si>
    <t>Modbus Connection Bitmap</t>
  </si>
  <si>
    <t>0=not connected, 1=connected:                                                         bit 0-connection 1,bit 1-connection 2,....bit 15-connection 16</t>
  </si>
  <si>
    <t>Connection Time-Out Counter</t>
  </si>
  <si>
    <t>0 - 65535 seconds, increments when connection lost</t>
  </si>
  <si>
    <t>Input Cbus Application</t>
  </si>
  <si>
    <t>Event Source Type</t>
  </si>
  <si>
    <t>Event Source Number</t>
  </si>
  <si>
    <t>Event Source Bus</t>
  </si>
  <si>
    <t>Application Number</t>
  </si>
  <si>
    <t>On Level Source Type</t>
  </si>
  <si>
    <t>On Level Source Number</t>
  </si>
  <si>
    <t>On Level</t>
  </si>
  <si>
    <t>Off Level Source Type</t>
  </si>
  <si>
    <t>OffLevel Source Number</t>
  </si>
  <si>
    <t>Off Level Source Breaker</t>
  </si>
  <si>
    <t>Off Level</t>
  </si>
  <si>
    <t>Cbus Output Name Tag</t>
  </si>
  <si>
    <t>0=not used, 1-16 assigned terminals 1-16*, 17-256 = 0*</t>
  </si>
  <si>
    <t>0-auto, 1-manual*</t>
  </si>
  <si>
    <t xml:space="preserve"> 0 - 255 counts, 255*=not used</t>
  </si>
  <si>
    <t xml:space="preserve"> 0 - 512 counts, 0*=not used</t>
  </si>
  <si>
    <t>1=Zone On, 0*=Zone Off</t>
  </si>
  <si>
    <t>Action Priority</t>
  </si>
  <si>
    <t>0* = disable, 1 = modbus, 2=BACnet, 3=DMX</t>
  </si>
  <si>
    <t>9876: Enable; any other value: Disable*</t>
  </si>
  <si>
    <t>1-600: units = seconds; default = 120*</t>
  </si>
  <si>
    <t>1-10: units = seconds; default = 5*</t>
  </si>
  <si>
    <t>1-240: units = minutes; default = 120*</t>
  </si>
  <si>
    <t>1-600 seconds, default:120 seconds*</t>
  </si>
  <si>
    <t>16 ASCII characters, default=Serial Number*</t>
  </si>
  <si>
    <t>0 = none, 1 = odd, 2 = even, default = 0*</t>
  </si>
  <si>
    <t>0 = none, 1 = odd, 2 = even default = 0*</t>
  </si>
  <si>
    <t>1 - 32767, units = 1s, default = 300*</t>
  </si>
  <si>
    <t>1 - 32767, units = 10 ms, default = 10*</t>
  </si>
  <si>
    <t>1-247, default = 248*</t>
  </si>
  <si>
    <t>0-127, default: 0*</t>
  </si>
  <si>
    <t>0-65535, default: 47808 (0xBAC0)*</t>
  </si>
  <si>
    <t>default: 000.000.000.000*</t>
  </si>
  <si>
    <t>0-4,194,302, default: last 6 digits of serial number*</t>
  </si>
  <si>
    <t>bits 15-4: reserved, default 0*
bit 3: breaker objects; 0: disable, 1: enable
bit 2, control; 0: disable, 1: enable
bit 1, mode; 0: BIP, 1: MSTP
bit 0, enable; 0: disable BACnet, 1: enable BACnet</t>
  </si>
  <si>
    <t>bits 15-4: reserved, default 0;
bit 3: breaker objects; 0: disable*, 1: enable
bit 2, control; 0: disable*, 1: enable
bit 1, mode; 0: BIP, 1: MSTP
bit 0, enable; 0: disable BACnet, 1: enable BACnet</t>
  </si>
  <si>
    <t>Special Day Defined Control</t>
  </si>
  <si>
    <t>Special Day Active Control</t>
  </si>
  <si>
    <t>Special Day Defined Control ,Schedule 1 - 96</t>
  </si>
  <si>
    <t>Special Day Active Control ,Schedule 1 - 96</t>
  </si>
  <si>
    <t>Special Days Object Configuration Error</t>
  </si>
  <si>
    <t>N/A</t>
  </si>
  <si>
    <t>Panel Object Configuration Error</t>
  </si>
  <si>
    <t>Periods Object Configuration Error</t>
  </si>
  <si>
    <t>Bus/Breaker Configuration Error</t>
  </si>
  <si>
    <t>Cbus Output Object Configuration Error</t>
  </si>
  <si>
    <t>Communications Object Configuration Error</t>
  </si>
  <si>
    <t>Disable Coil Writes</t>
  </si>
  <si>
    <t>0x9876: Disable Coil Writes; any other value: Enables Coil Writes. Default:0x0</t>
  </si>
  <si>
    <t>1x Terminal Status</t>
  </si>
  <si>
    <t>Cbus Local Network Device Addresses Status</t>
  </si>
  <si>
    <t>Cbus Device Addresses, 1-256</t>
  </si>
  <si>
    <t>0 - 255, 0xFF=not used</t>
  </si>
  <si>
    <t>Cbus Device Type  Address 1</t>
  </si>
  <si>
    <t>Cbus Device Type  Address 2</t>
  </si>
  <si>
    <t>Cbus Device Type  Address 3</t>
  </si>
  <si>
    <t>Cbus Device Type  Address 4</t>
  </si>
  <si>
    <t>Cbus Device Type  Address 5</t>
  </si>
  <si>
    <t xml:space="preserve">                       :</t>
  </si>
  <si>
    <t>Cbus Device Type  Address 254</t>
  </si>
  <si>
    <t>Cbus Device Type  Address 0</t>
  </si>
  <si>
    <t>Cbus Device Type  Address 255</t>
  </si>
  <si>
    <t>not valid address</t>
  </si>
  <si>
    <t>File 206  Cbus Device Type Status</t>
  </si>
  <si>
    <t>Bus1/Breaker1. ELType</t>
  </si>
  <si>
    <t>Bus1/Breaker1. BlinkType</t>
  </si>
  <si>
    <t>Bus1/Breaker2. ELType</t>
  </si>
  <si>
    <t>Bus1/Breaker2. BlinkType</t>
  </si>
  <si>
    <t>Bus1/Breaker24. ELType</t>
  </si>
  <si>
    <t>Bus1/Breaker24. BlinkType</t>
  </si>
  <si>
    <t>Breaker 1-24, EL Type, Blink Type, On-Time Setpoint</t>
  </si>
  <si>
    <t>0 - 99 (Starting_Year + 2000)</t>
  </si>
  <si>
    <t>0 - 99 (Ending_Year + 2000)</t>
  </si>
  <si>
    <t>3 = 3rd week</t>
  </si>
  <si>
    <t>4 = 4th week</t>
  </si>
  <si>
    <t>5= 5th week</t>
  </si>
  <si>
    <t>2 - highest priority</t>
  </si>
  <si>
    <r>
      <t>Periods -</t>
    </r>
    <r>
      <rPr>
        <sz val="8"/>
        <color indexed="10"/>
        <rFont val="Arial"/>
        <family val="2"/>
      </rPr>
      <t xml:space="preserve"> 8 periods per record(96 registers)</t>
    </r>
  </si>
  <si>
    <t>Repeat Type *1</t>
  </si>
  <si>
    <t>Start Day*1</t>
  </si>
  <si>
    <t>Start Month*1</t>
  </si>
  <si>
    <t>Start Year*1</t>
  </si>
  <si>
    <t>End Day*1</t>
  </si>
  <si>
    <t>End Month*1</t>
  </si>
  <si>
    <t>End Year*1</t>
  </si>
  <si>
    <t>Day of Week*1</t>
  </si>
  <si>
    <t>Global / Non-Global Day*1</t>
  </si>
  <si>
    <t>Week of Month*1</t>
  </si>
  <si>
    <t>Month of Year*1</t>
  </si>
  <si>
    <t>Day of Month*1</t>
  </si>
  <si>
    <t>Through Month*1</t>
  </si>
  <si>
    <t>Though Day*1</t>
  </si>
  <si>
    <t>Priority*1</t>
  </si>
  <si>
    <t>Repeat Interval*1</t>
  </si>
  <si>
    <t>Holiday*1</t>
  </si>
  <si>
    <t>Input Sync Filter *1</t>
  </si>
  <si>
    <t>Input  Timer  Sync Invert *1</t>
  </si>
  <si>
    <t>Input  Timer  Sync Filter *1</t>
  </si>
  <si>
    <t>Input Inhibit Sync Invert *1</t>
  </si>
  <si>
    <t>Input Inhibit Sync Filter *1</t>
  </si>
  <si>
    <t>Input Sync Invert *1</t>
  </si>
  <si>
    <t>Input Inhibit Sync Source Type *1</t>
  </si>
  <si>
    <t>Input Inhibit Sync Source Bus *1</t>
  </si>
  <si>
    <t>Input Timer Sync Source Type *1</t>
  </si>
  <si>
    <t>Input  Timer Sync Source Bus *1</t>
  </si>
  <si>
    <t>Input Sync Source Type *1</t>
  </si>
  <si>
    <t>Input Sync Source Bus *1</t>
  </si>
  <si>
    <t>Slave RS232 Port Parity *1</t>
  </si>
  <si>
    <t>Slave RS232 Port Communications Mode *1</t>
  </si>
  <si>
    <t>Slave RS485 Port Parity *1</t>
  </si>
  <si>
    <t>Slave RS485 Port Communications Mode *1</t>
  </si>
  <si>
    <t>note *1 - msb is not validated, set to 0 by firmware</t>
  </si>
  <si>
    <t xml:space="preserve">Cbus Device Type </t>
  </si>
  <si>
    <t>0 - New Year's Day</t>
  </si>
  <si>
    <t>1 - Martin Luther King Jr. Day</t>
  </si>
  <si>
    <t>2 - Good Friday</t>
  </si>
  <si>
    <t>3 - Memorial Day</t>
  </si>
  <si>
    <t>4 - Fourth of July</t>
  </si>
  <si>
    <t>5 - Labor Day</t>
  </si>
  <si>
    <t>6 - Columbus Day</t>
  </si>
  <si>
    <t>7 - Election Day</t>
  </si>
  <si>
    <t>8 - Veterans' Day</t>
  </si>
  <si>
    <t>9 - Thanksgiving</t>
  </si>
  <si>
    <t>10 - Black Friday</t>
  </si>
  <si>
    <t>11 - Christmas Eve</t>
  </si>
  <si>
    <t>12 - Christmas Day</t>
  </si>
  <si>
    <t>13 - New Year's Eve</t>
  </si>
  <si>
    <t>Source Type</t>
  </si>
  <si>
    <t>Source Number</t>
  </si>
  <si>
    <t>Source: Breaker Bus Number 0- 15</t>
  </si>
  <si>
    <t>On Level Source</t>
  </si>
  <si>
    <t>On Level Source Bus</t>
  </si>
  <si>
    <t>Source Breaker Bus Number 0- 15</t>
  </si>
  <si>
    <t>On Ramp Rate</t>
  </si>
  <si>
    <t>Off Ramp Rate</t>
  </si>
  <si>
    <t>Period</t>
  </si>
  <si>
    <t>Cbus Outputs Parameters</t>
  </si>
  <si>
    <t>6 - periodic</t>
  </si>
  <si>
    <t xml:space="preserve">203: Enable Application: </t>
  </si>
  <si>
    <t xml:space="preserve">202: Trigger Application: </t>
  </si>
  <si>
    <t xml:space="preserve">48 - 95: Lighting Applications </t>
  </si>
  <si>
    <t>0-255: trigger group</t>
  </si>
  <si>
    <t>0-255: enable network variable</t>
  </si>
  <si>
    <t>7 - this object</t>
  </si>
  <si>
    <t>0 - seconds</t>
  </si>
  <si>
    <t>4 - seconds</t>
  </si>
  <si>
    <t>8 - seconds</t>
  </si>
  <si>
    <t>12 - seconds</t>
  </si>
  <si>
    <t>20 - seconds</t>
  </si>
  <si>
    <t>30 - seconds</t>
  </si>
  <si>
    <t>40 - seconds</t>
  </si>
  <si>
    <t>60 - seconds</t>
  </si>
  <si>
    <t>90 - seconds</t>
  </si>
  <si>
    <t>120 - seconds</t>
  </si>
  <si>
    <t>180 - seconds</t>
  </si>
  <si>
    <t>300 - seconds</t>
  </si>
  <si>
    <t>420 - seconds</t>
  </si>
  <si>
    <t>600 - seconds</t>
  </si>
  <si>
    <t>900 - seconds</t>
  </si>
  <si>
    <t>1020 - seconds</t>
  </si>
  <si>
    <t>Off Level Source Number</t>
  </si>
  <si>
    <t>Cbus Output Defined Configuration</t>
  </si>
  <si>
    <t>Cbus Output Active Configuration</t>
  </si>
  <si>
    <t>Cbus Output Defined Control , Output 1 - 256</t>
  </si>
  <si>
    <t>Cbus Output Active Control , Output 1 - 256</t>
  </si>
  <si>
    <t>terminal: 0-15</t>
  </si>
  <si>
    <t>input: 0-255</t>
  </si>
  <si>
    <t>schedule: 0-63</t>
  </si>
  <si>
    <t>zone: 0-255</t>
  </si>
  <si>
    <t>breaker: 0-20</t>
  </si>
  <si>
    <t>bit 15: source 0 ON filter: 1: respond  to ON events</t>
  </si>
  <si>
    <t>bit 14: source 0 OFF filter: 1: respond to OFF events</t>
  </si>
  <si>
    <t xml:space="preserve">bit 13: source 0 ON transition, set zone state: 0: OFF, 1:ON </t>
  </si>
  <si>
    <t xml:space="preserve">bit 12: source 0 OFF transition, set zone state: 0: OFF, 1:ON </t>
  </si>
  <si>
    <t>bit 3:</t>
  </si>
  <si>
    <t>bit 2:</t>
  </si>
  <si>
    <t>bit 1:</t>
  </si>
  <si>
    <t>bit 0:</t>
  </si>
  <si>
    <t>bit 3: 4th week</t>
  </si>
  <si>
    <t>bit 2: 3rd week</t>
  </si>
  <si>
    <t>bit 1: 2nd week</t>
  </si>
  <si>
    <t>bit 0:1st week</t>
  </si>
  <si>
    <t xml:space="preserve">bit 4: 5th week </t>
  </si>
  <si>
    <t>bit 5: last week</t>
  </si>
  <si>
    <t>1-65535, units = seconds, default = 1s</t>
  </si>
  <si>
    <t>1-65535, units = seconds, default = 1s*</t>
  </si>
  <si>
    <t>1-65535, units = 10ms, default = 1 (10ms)*</t>
  </si>
  <si>
    <t>1-65535, units = 10ms, default = 1 (10ms)</t>
  </si>
  <si>
    <t>Modbus Connection SessionTimer</t>
  </si>
  <si>
    <t>0 - 2^32 seconds, connection session timer</t>
  </si>
  <si>
    <t xml:space="preserve">Communications  Loss Timer </t>
  </si>
  <si>
    <t>Communications  Loss  Enable</t>
  </si>
  <si>
    <t>disable = 0, Modbus=1, BACnet=2, DMX=3</t>
  </si>
  <si>
    <t>Communication Loss Timeout Enable *1</t>
  </si>
  <si>
    <t>Communication Loss Timer  Setpoint</t>
  </si>
  <si>
    <t>Communications  Loss Timer Setpoint</t>
  </si>
  <si>
    <t>100-65535, default: 300, units: s</t>
  </si>
  <si>
    <t>Input Timer Inhibit Status</t>
  </si>
  <si>
    <t>Input Inhibit State, Inputs 1 - 256</t>
  </si>
  <si>
    <t>Input Timer Inhibit State, Inputs 1 - 256</t>
  </si>
  <si>
    <t>Input - Terminal Inhibit Status</t>
  </si>
  <si>
    <t>Input - Terminal Inhibit Control</t>
  </si>
  <si>
    <t>Event Log Start &amp; End Record</t>
  </si>
  <si>
    <t>Event Log Newest Record</t>
  </si>
  <si>
    <t>Event Log Oldest Record</t>
  </si>
  <si>
    <r>
      <rPr>
        <sz val="8"/>
        <color indexed="10"/>
        <rFont val="Arial"/>
        <family val="2"/>
      </rPr>
      <t>*</t>
    </r>
    <r>
      <rPr>
        <sz val="8"/>
        <rFont val="Arial"/>
        <family val="2"/>
      </rPr>
      <t>40</t>
    </r>
  </si>
  <si>
    <t>Hardware Bus/Breaker Status Error Counter</t>
  </si>
  <si>
    <t>0 - 65535 - Increment when hardware changes</t>
  </si>
  <si>
    <t>Panel Object - File 3</t>
  </si>
  <si>
    <t>Event Enable, Firmware Download</t>
  </si>
  <si>
    <t>Event Enable, Special Day Object</t>
  </si>
  <si>
    <t xml:space="preserve">Event Enable, Input Object </t>
  </si>
  <si>
    <t xml:space="preserve">Event Enable, Zone Object </t>
  </si>
  <si>
    <t>Event Enable, Schedule Object</t>
  </si>
  <si>
    <t>Event Enable, Reset</t>
  </si>
  <si>
    <t>always enabled</t>
  </si>
  <si>
    <t>64 ASCII characters , null termination required - last character = 0, word 33 always zero, default=admin"</t>
  </si>
  <si>
    <t xml:space="preserve">Bus/Breaker Hardware Status </t>
  </si>
  <si>
    <t>Cbus Output Nametags - File 110</t>
  </si>
  <si>
    <t>bit 6:bit 4: last week</t>
  </si>
  <si>
    <t>bti 6 bit 5: last week</t>
  </si>
  <si>
    <t>Record Overview</t>
  </si>
  <si>
    <t>Header for each record:</t>
  </si>
  <si>
    <t>Year</t>
  </si>
  <si>
    <t>Month</t>
  </si>
  <si>
    <t>Day</t>
  </si>
  <si>
    <t>Hour</t>
  </si>
  <si>
    <t>Minutes</t>
  </si>
  <si>
    <t>Seconds</t>
  </si>
  <si>
    <t>Record ID</t>
  </si>
  <si>
    <t>Event Type</t>
  </si>
  <si>
    <t>Event Size</t>
  </si>
  <si>
    <t>0-99: current year - 2000</t>
  </si>
  <si>
    <t>0-23</t>
  </si>
  <si>
    <t>0-59</t>
  </si>
  <si>
    <t>0-2^32-1 - bitmap</t>
  </si>
  <si>
    <t>number of bytes for given event type</t>
  </si>
  <si>
    <t>1-12</t>
  </si>
  <si>
    <t>Event Log Standard Size</t>
  </si>
  <si>
    <t>Header Record Summary</t>
  </si>
  <si>
    <t>Record 1-1024</t>
  </si>
  <si>
    <t xml:space="preserve">Each event record is the same size. The data format varies with each event type. </t>
  </si>
  <si>
    <t>1=input, 2=zone, 3=zone override, 4=configuration, 5=firmware download 6=special days, 7=schedules, 8=breakers, 9=learn mode, 10=reset, 11=bus status change, 12 breaker status change</t>
  </si>
  <si>
    <t>Event Enable, Breaker Present</t>
  </si>
  <si>
    <t>Input Timer Inhibit Sync Source Type, Input 1 - 256</t>
  </si>
  <si>
    <t>Input  Timer Inhibit Sync Source Number, Input 1 - 256</t>
  </si>
  <si>
    <t>Input  Timer Inhibit Sync Source Bus, Input 1 - 256</t>
  </si>
  <si>
    <t>Input  Timer Inhibit  Sync Filter, Input 1 - 256</t>
  </si>
  <si>
    <t>Input  Timer Inhibit  Sync Invert, Input 1 - 256</t>
  </si>
  <si>
    <t>1 reg</t>
  </si>
  <si>
    <t xml:space="preserve">0 - normal = src state </t>
  </si>
  <si>
    <t>1 - invert = inverted src state</t>
  </si>
  <si>
    <t xml:space="preserve">0-255: lighting group </t>
  </si>
  <si>
    <t>Group Address</t>
  </si>
  <si>
    <t xml:space="preserve">Group Number </t>
  </si>
  <si>
    <t>Upgrade Key (Write Only)</t>
  </si>
  <si>
    <t>WO</t>
  </si>
  <si>
    <t>Model Upgrade Key</t>
  </si>
  <si>
    <t>Subscriber IP Address</t>
  </si>
  <si>
    <t>Subscriber Unit ID</t>
  </si>
  <si>
    <t>Subscribe-to Address</t>
  </si>
  <si>
    <t>Shared Command Interface Command Number</t>
  </si>
  <si>
    <t xml:space="preserve">Subscription Configuration </t>
  </si>
  <si>
    <t xml:space="preserve">Publisher Configuration </t>
  </si>
  <si>
    <t>Remote Source Control</t>
  </si>
  <si>
    <t>Remote Source State, 1 - 64</t>
  </si>
  <si>
    <t>Remote Source Auto/Manual, 1-64</t>
  </si>
  <si>
    <t>SNTP Port 0</t>
  </si>
  <si>
    <t>SNTP Port 1</t>
  </si>
  <si>
    <t>SNTP Time Update Interval</t>
  </si>
  <si>
    <t>SNTP (time) Server (primary)  IP</t>
  </si>
  <si>
    <t>SNTP (time) Server (secondary)  IP</t>
  </si>
  <si>
    <t>1-65535, default = 123*</t>
  </si>
  <si>
    <t>1-24, units = hours</t>
  </si>
  <si>
    <t>NTP Time Sync Configuration</t>
  </si>
  <si>
    <t>NF3500</t>
  </si>
  <si>
    <t>Sntp_port_1</t>
  </si>
  <si>
    <t>Sntp_time_server0</t>
  </si>
  <si>
    <t>Sntp_clock_upd_interval</t>
  </si>
  <si>
    <t>Sntp_time_server1</t>
  </si>
  <si>
    <t>Sntp_port_0</t>
  </si>
  <si>
    <t>Learn Mode Enable</t>
  </si>
  <si>
    <t>SNTP Enable</t>
  </si>
  <si>
    <t>0 = normal*, 1 =enable learn</t>
  </si>
  <si>
    <t>0 = disable*, 1 = enable</t>
  </si>
  <si>
    <t>SNTP Last Successful Update, date/time</t>
  </si>
  <si>
    <t>SNTP Last Successful Update, server</t>
  </si>
  <si>
    <t>SNTP Update Status</t>
  </si>
  <si>
    <t>Server 1 = 1, Server 2 = 2</t>
  </si>
  <si>
    <t>Publisher Timeout Count</t>
  </si>
  <si>
    <t>SMTP (mail) Serrver IP</t>
  </si>
  <si>
    <t>Email 'To' Address</t>
  </si>
  <si>
    <t>Email 'From' Address</t>
  </si>
  <si>
    <t>Mail-to designator</t>
  </si>
  <si>
    <t>SMTP Port</t>
  </si>
  <si>
    <t>SMTP User Name</t>
  </si>
  <si>
    <t>ASCII</t>
  </si>
  <si>
    <t xml:space="preserve">0*: To, 1: Cc, 2: Bcc </t>
  </si>
  <si>
    <t>File 115: Email Addresses</t>
  </si>
  <si>
    <t>Record 2-6</t>
  </si>
  <si>
    <t>Record 1- 6</t>
  </si>
  <si>
    <t>Email Addresses</t>
  </si>
  <si>
    <t>64 ASCII characters per address</t>
  </si>
  <si>
    <t>64 ASCII characters per name address</t>
  </si>
  <si>
    <t>1-65535, default = 25</t>
  </si>
  <si>
    <t>Subscriber Name Tag</t>
  </si>
  <si>
    <t>Record 1-8</t>
  </si>
  <si>
    <t>File 12:  CBUS Output</t>
  </si>
  <si>
    <t>Terminal Defined Control , Terminal 1 - 16</t>
  </si>
  <si>
    <t>0xxxx "Discrete Input" (Bit)</t>
  </si>
  <si>
    <t>Subscriber State</t>
  </si>
  <si>
    <t>Publisher State</t>
  </si>
  <si>
    <t xml:space="preserve">File 13:  </t>
  </si>
  <si>
    <t>File 110: Subscriber Name Tags</t>
  </si>
  <si>
    <t>File 112: Cbus Output Name Tags</t>
  </si>
  <si>
    <t>Cbus Output Object - File 12</t>
  </si>
  <si>
    <t>Email Address - File 115</t>
  </si>
  <si>
    <t>Subscriber Nametag  - File 110</t>
  </si>
  <si>
    <t>Subscriber Object - File 10</t>
  </si>
  <si>
    <t>Publisher Object - File 9</t>
  </si>
  <si>
    <t>Event Enable, Remote Source Objects</t>
  </si>
  <si>
    <t>Remote Source Status</t>
  </si>
  <si>
    <t>Remote Source  Status</t>
  </si>
  <si>
    <t>Remote Source Auto Status</t>
  </si>
  <si>
    <t xml:space="preserve">File 10: Publisher </t>
  </si>
  <si>
    <t>File 9: Subscriber</t>
  </si>
  <si>
    <t>Publish-to-Address</t>
  </si>
  <si>
    <t>Subscription New/Changed</t>
  </si>
  <si>
    <t>0* = undefined 1 = defined</t>
  </si>
  <si>
    <t>0* = inactive 1 = active</t>
  </si>
  <si>
    <t>Modbis Address 1*-247</t>
  </si>
  <si>
    <t>record number-read only</t>
  </si>
  <si>
    <t>0*-coil, 1-register</t>
  </si>
  <si>
    <t>0*-65535, 0=unsubscribe</t>
  </si>
  <si>
    <t>0*-65535</t>
  </si>
  <si>
    <t>60*- 7200 seconds</t>
  </si>
  <si>
    <t>heartbeat * 5 - read only</t>
  </si>
  <si>
    <t>10 - read only</t>
  </si>
  <si>
    <t>0*-off/manual, 1-on/auto, 2-last event</t>
  </si>
  <si>
    <t>n/a</t>
  </si>
  <si>
    <t>* G3 compatiblity bug not readable</t>
  </si>
  <si>
    <t>Shared Interface Command</t>
  </si>
  <si>
    <t>0-no change, 1-change</t>
  </si>
  <si>
    <t>Schedule Auto/Manual Status</t>
  </si>
  <si>
    <t>Schedule Auto/Manual Output Status, 1 - 64</t>
  </si>
  <si>
    <t>Subscriber Heartbeat</t>
  </si>
  <si>
    <t>Subscriber Timers</t>
  </si>
  <si>
    <t>Publisher Timers</t>
  </si>
  <si>
    <t>Default Action Value Binary</t>
  </si>
  <si>
    <t>Default Action Value Analog Level</t>
  </si>
  <si>
    <t>Record 1-192</t>
  </si>
  <si>
    <t>0-65535 seconds</t>
  </si>
  <si>
    <t>0x1234 - binary, 0x1235 - analog</t>
  </si>
  <si>
    <t>Subscriber Default Active</t>
  </si>
  <si>
    <t>Subscriber Default Active Status</t>
  </si>
  <si>
    <t>read only - binary subscription 1-64, analog subscription 65-128</t>
  </si>
  <si>
    <t>Subscription Number*</t>
  </si>
  <si>
    <t>*Record 1-128 - Binary, Record 129-192 Analog</t>
  </si>
  <si>
    <t>0*-255, 0x8000-last event</t>
  </si>
  <si>
    <t>bit 4 - Thursday</t>
  </si>
  <si>
    <t>100-255, default: 200, units: s</t>
  </si>
  <si>
    <t>Input Alarm Enable</t>
  </si>
  <si>
    <t>Input Alarm State</t>
  </si>
  <si>
    <t>alarm on state ?, 0*, 1</t>
  </si>
  <si>
    <t>Zone Alarm Enable</t>
  </si>
  <si>
    <t>Zone Alarm State</t>
  </si>
  <si>
    <t>Schedule Alarm Enable</t>
  </si>
  <si>
    <t>Schedule Alarm State</t>
  </si>
  <si>
    <t>0*=disable, 1=enable</t>
  </si>
  <si>
    <t>Subscriber Alarm Enable</t>
  </si>
  <si>
    <t>Subscriber Alarm State</t>
  </si>
  <si>
    <t xml:space="preserve">Alarm Enable, Input Object </t>
  </si>
  <si>
    <t xml:space="preserve">Alarm Enable, Zone Object </t>
  </si>
  <si>
    <t>Alarm Enable, Configuration Mode</t>
  </si>
  <si>
    <t>Alarm Enable, Firmware Download</t>
  </si>
  <si>
    <t>Alarm Enable, Special Day Object</t>
  </si>
  <si>
    <t>Alarm Enable, Schedule Object</t>
  </si>
  <si>
    <t>Alarm Enable, Learn Mode</t>
  </si>
  <si>
    <t>Alarm Enable, Reset</t>
  </si>
  <si>
    <t>Alarm Enable, Bus Present</t>
  </si>
  <si>
    <t>Alarm Enable, Breaker Present</t>
  </si>
  <si>
    <t>Alarm Enable, Remote Source Objects</t>
  </si>
  <si>
    <t>Email Enable</t>
  </si>
  <si>
    <t>Special Day Alarm Enable</t>
  </si>
  <si>
    <t>Special Day Alarm State</t>
  </si>
  <si>
    <t>Record 1-512</t>
  </si>
  <si>
    <t>Bus1/Breaker24.Alarm Set Point</t>
  </si>
  <si>
    <t>Publisher PeriodicTimers</t>
  </si>
  <si>
    <t>Event Enable, Communications  Loss</t>
  </si>
  <si>
    <t>Event Enable,Subscription Default Active</t>
  </si>
  <si>
    <t>Alarm Enable, Communications  Loss</t>
  </si>
  <si>
    <t>Alarm Enable,Subscription Default Active</t>
  </si>
  <si>
    <r>
      <t xml:space="preserve">0 = disable, 1 = enable* - </t>
    </r>
    <r>
      <rPr>
        <sz val="8"/>
        <color indexed="10"/>
        <rFont val="Arial"/>
        <family val="2"/>
      </rPr>
      <t>see coils 5601-5515</t>
    </r>
  </si>
  <si>
    <r>
      <t>0 = disable*, 1 = enable</t>
    </r>
    <r>
      <rPr>
        <sz val="8"/>
        <color indexed="10"/>
        <rFont val="Arial"/>
        <family val="2"/>
      </rPr>
      <t xml:space="preserve"> - see coils 5651-5565</t>
    </r>
  </si>
  <si>
    <t>Event Enable, Not Used</t>
  </si>
  <si>
    <t>Test Mode</t>
  </si>
  <si>
    <t>Global Event Enable</t>
  </si>
  <si>
    <t>Global Alarm Enable</t>
  </si>
  <si>
    <t>Alarm Enable, Not Used</t>
  </si>
  <si>
    <t>Email Error Status</t>
  </si>
  <si>
    <t>email errors</t>
  </si>
  <si>
    <t>Email Errors</t>
  </si>
  <si>
    <t>No Error</t>
  </si>
  <si>
    <t>Mail Port Connection Mailed</t>
  </si>
  <si>
    <t>Authentication Server Mailed</t>
  </si>
  <si>
    <t>Invalid Server</t>
  </si>
  <si>
    <t>Invalid From Address</t>
  </si>
  <si>
    <t>Invalid To Address</t>
  </si>
  <si>
    <t>Invalid Message Data</t>
  </si>
  <si>
    <t>Invalid IP</t>
  </si>
  <si>
    <t>Invalid From Address Server</t>
  </si>
  <si>
    <t>1 - normal</t>
  </si>
  <si>
    <t>0 - inverted</t>
  </si>
  <si>
    <t>remote source 0-63</t>
  </si>
  <si>
    <t>255- not used</t>
  </si>
  <si>
    <t>255-not used</t>
  </si>
  <si>
    <t>don' care</t>
  </si>
  <si>
    <t>Event Enable,Direct Breaker Control Object</t>
  </si>
  <si>
    <t>Alarm Enable, Direct Breaker Control Object</t>
  </si>
  <si>
    <t>Subscriber Object Configuration Error</t>
  </si>
  <si>
    <t>Manufacturing Information - Current Model</t>
  </si>
  <si>
    <t>Manufacturing Information - Date of Model Upgrade</t>
  </si>
  <si>
    <t>1 - 365 days fro repeat types</t>
  </si>
  <si>
    <t>1 - 7 days for holidays except New Years Eve</t>
  </si>
  <si>
    <t>1 - for New Years Eve</t>
  </si>
  <si>
    <t>alarm on state - not used</t>
  </si>
  <si>
    <t>defined by mfg - ASCII chars</t>
  </si>
  <si>
    <t>Event Enable, ZoneOverride Object</t>
  </si>
  <si>
    <t>Alarm Enable,  ZoneOverride Object</t>
  </si>
  <si>
    <t xml:space="preserve">64 Binary Subscriptions, two files per subscription, files 1-128.   64 Analog subscriptions, files 129-192. </t>
  </si>
  <si>
    <t>48 - 95, default=56</t>
  </si>
  <si>
    <t>0=disable, 1*=US</t>
  </si>
  <si>
    <t>App: 48-95, 0xCA, 0xCB, default 56</t>
  </si>
  <si>
    <t>4-8, units = characters times, default = 4</t>
  </si>
  <si>
    <t>4-8, units = characters times, default = 4*</t>
  </si>
  <si>
    <t>-120 to 120 minutes</t>
  </si>
  <si>
    <t xml:space="preserve"> 0* -255 counts</t>
  </si>
  <si>
    <t xml:space="preserve"> 0* - 255 counts</t>
  </si>
  <si>
    <t>0 = do nothing, 1 = get MMI status from Cbus,                                  3 = Input status sent to CBus, default = 0</t>
  </si>
  <si>
    <t>Record 1-2*</t>
  </si>
  <si>
    <t>*record 2 only writes last 96 bytes - LCS use only</t>
  </si>
  <si>
    <t>Manufacturing Information - RSC Mode Enable</t>
  </si>
  <si>
    <t>enable=0xAA</t>
  </si>
  <si>
    <t>0 = Auto 1 = Manaul</t>
  </si>
  <si>
    <t>100-255, default: 200, units: 10 msec</t>
  </si>
  <si>
    <t>Bus1/Breaker1 On-time Alarm Enable</t>
  </si>
  <si>
    <t>Bus1/Breaker1 On-time Alarm State</t>
  </si>
  <si>
    <t>Bus1/Breaker2 On-time Alarm Enable</t>
  </si>
  <si>
    <t>Bus1/Breaker2 On-time Alarm State</t>
  </si>
  <si>
    <t>Bus1/Breaker24 On-time Alarm State</t>
  </si>
  <si>
    <t>Bus1/Breaker24On-time Alarm Enable</t>
  </si>
  <si>
    <t>3 - 0-20 mA - not implemented</t>
  </si>
  <si>
    <t>0 = release*, 1 = enable</t>
  </si>
  <si>
    <t xml:space="preserve"> Default = 0.0.0.0</t>
  </si>
  <si>
    <t xml:space="preserve"> Default = 255.255.255.0 - Class C Ip</t>
  </si>
  <si>
    <t>255.255.255.254</t>
  </si>
  <si>
    <t>0.0.0.0</t>
  </si>
  <si>
    <t>0.0.0.1</t>
  </si>
  <si>
    <t>Bus1/Breaker2 Alarm Set Point</t>
  </si>
  <si>
    <t>Bus1/Breaker1 Alarm Set Point</t>
  </si>
  <si>
    <t>12,13</t>
  </si>
  <si>
    <t>14,15</t>
  </si>
  <si>
    <t>6,7</t>
  </si>
  <si>
    <t>10,11</t>
  </si>
  <si>
    <t>98,99</t>
  </si>
  <si>
    <t>1 -255, default = 1</t>
  </si>
  <si>
    <t xml:space="preserve"> 1 - 255 counts, 1*</t>
  </si>
  <si>
    <t xml:space="preserve"> 0 - 252 counts, 0*</t>
  </si>
  <si>
    <t>0*-252</t>
  </si>
  <si>
    <t>Terminal Defined Configuration</t>
  </si>
  <si>
    <t>Remote Source Defined Configuration</t>
  </si>
  <si>
    <t>Remote Source Auto/Manual</t>
  </si>
  <si>
    <t>Remote Source State, 1 - 128</t>
  </si>
  <si>
    <t>Remote Source Auto/Manual, 1-128</t>
  </si>
  <si>
    <t>0 =undefined, 1 = defined</t>
  </si>
  <si>
    <t>Remote Source Active Configuration</t>
  </si>
  <si>
    <t>Invalid To Address Server</t>
  </si>
  <si>
    <t>Zone Override Enable, Zones 1-256</t>
  </si>
  <si>
    <t>Default value till event/alarm triggers email</t>
  </si>
  <si>
    <t>No Attempt, No Error</t>
  </si>
  <si>
    <t>Event Data - See EDD's for data format - All events 44 bytes in length, but vary with information, see EDDs</t>
  </si>
  <si>
    <t>r3: Year = 2000-2099</t>
  </si>
  <si>
    <t>r2 (MS Byte): Year = 0 - 99</t>
  </si>
  <si>
    <t>bit 15: LCD module</t>
  </si>
  <si>
    <t>Every 32 bits is a bitmap. MSbit is 1 LSBit is 32 and repeat.</t>
  </si>
  <si>
    <t>(period 32) 00000000000000000000000000000001 (period 1)</t>
  </si>
  <si>
    <t>….</t>
  </si>
  <si>
    <t>(period 64) 00000000000000000000000000000001 (period 33)</t>
  </si>
  <si>
    <t>Breaker Blink Timer Value, Bus Address G</t>
  </si>
  <si>
    <t>Breaker Blink Timer Value, Bus Address H</t>
  </si>
  <si>
    <t>Breaker Blink Timer Value, Bus Address I</t>
  </si>
  <si>
    <t>Breaker Blink Timer Value, Bus Address J</t>
  </si>
  <si>
    <t>Breaker Blink Timer Value, Bus Address K</t>
  </si>
  <si>
    <t>Breaker Blink Timer Value, Bus Address L</t>
  </si>
  <si>
    <t>Breaker Blink Timer Value, Bus Address M</t>
  </si>
  <si>
    <t>Breaker Blink Timer Value, Bus Address N</t>
  </si>
  <si>
    <t>Breaker Blink Timer Value, Bus Address O</t>
  </si>
  <si>
    <t>Breaker Blink Timer Value, Bus Address P</t>
  </si>
  <si>
    <t>Direct Breaker Control State Manual, Bus Address A</t>
  </si>
  <si>
    <t>Direct Breaker Control State Auto, Bus Address A</t>
  </si>
  <si>
    <t>Bus Present, Bus Address A-15</t>
  </si>
  <si>
    <t>Bus Present, Bus Address A - 15</t>
  </si>
  <si>
    <t>Bus Non-Responding, Bus Address A -15</t>
  </si>
  <si>
    <t>Breaker Present , Bus Address A</t>
  </si>
  <si>
    <t>Breaker Non-responding , Bus Address A</t>
  </si>
  <si>
    <t>Breaker Blink Flag , Bus Address A</t>
  </si>
  <si>
    <t>Breaker No Delay Flag , Bus Address A</t>
  </si>
  <si>
    <t>Breaker Event Sync , Bus Address A</t>
  </si>
  <si>
    <t>Breaker Event Zone , Bus Address A</t>
  </si>
  <si>
    <t>Breaker Event CBus , Bus Address A</t>
  </si>
  <si>
    <t>Breaker On-time Alarm , Bus Address A</t>
  </si>
  <si>
    <t>Breaker Double Blink Flag, Bus Address A</t>
  </si>
  <si>
    <t>Breaker Change  Desired State, Bus Address A</t>
  </si>
  <si>
    <t>Breaker Change  Mapped, Bus Address A</t>
  </si>
  <si>
    <t>Breaker Change Control State, Bus Address A</t>
  </si>
  <si>
    <t>Breaker Triple Blink Flag, Bus Address A</t>
  </si>
  <si>
    <t>Total Breaker On-Time, Bus Address A</t>
  </si>
  <si>
    <t>Alarm Set point, Total Breaker On-Time, Bus Address A</t>
  </si>
  <si>
    <t>Direct Breaker Control State Manual, Bus Address B</t>
  </si>
  <si>
    <t>Direct Breaker Control State Auto, Bus Address B</t>
  </si>
  <si>
    <t>Breaker Present , Bus Address B</t>
  </si>
  <si>
    <t>Breaker Non-responding , Bus Address B</t>
  </si>
  <si>
    <t>Breaker Blink Flag , Bus Address B</t>
  </si>
  <si>
    <t>Breaker No Delay Flag , Bus Address B</t>
  </si>
  <si>
    <t>Breaker Event Sync  , Bus Address B</t>
  </si>
  <si>
    <t>Breaker Event Zone   , Bus Address B</t>
  </si>
  <si>
    <t>Breaker Event CBus , Bus Address B</t>
  </si>
  <si>
    <t>Breaker On-time Alarm , Bus Address B</t>
  </si>
  <si>
    <t>Breaker Double Blink Flag, Bus Address B</t>
  </si>
  <si>
    <t>Breaker Change  Desired State, Bus Address B</t>
  </si>
  <si>
    <t>Breaker Change  Mapped, Bus Address B</t>
  </si>
  <si>
    <t>Breaker Change Control State, Bus Address B</t>
  </si>
  <si>
    <t>Breaker Triple Blink Flag, Bus Address B</t>
  </si>
  <si>
    <t>Total Breaker On-Time, Bus Address B</t>
  </si>
  <si>
    <t>Alarm Set point, Total Breaker On-Time, Bus Address B</t>
  </si>
  <si>
    <t>ModBus Address B*-247</t>
  </si>
  <si>
    <t>Direct Breaker Control State Manual, Bus Address C</t>
  </si>
  <si>
    <t>Direct Breaker Control State Auto, Bus Address C</t>
  </si>
  <si>
    <t>Breaker Present , Bus Address C</t>
  </si>
  <si>
    <t>Breaker Non-responding , Bus Address C</t>
  </si>
  <si>
    <t>Breaker Blink Flag , Bus Address C</t>
  </si>
  <si>
    <t>Breaker No Delay Flag , Bus Address C</t>
  </si>
  <si>
    <t>Breaker Event Sync  , Bus Address C</t>
  </si>
  <si>
    <t>Breaker Event Zone   , Bus Address C</t>
  </si>
  <si>
    <t>Breaker Event CBus , Bus Address C</t>
  </si>
  <si>
    <t>Breaker On-time Alarm , Bus Address C</t>
  </si>
  <si>
    <t>Breaker Double Blink Flag, Bus Address C</t>
  </si>
  <si>
    <t>Breaker Change   Desired State, Bus Address C</t>
  </si>
  <si>
    <t>Breaker Change  Mapped, Bus Address C</t>
  </si>
  <si>
    <t>Breaker Change Control State, Bus Address C</t>
  </si>
  <si>
    <t>Breaker Triple Blink Flag, Bus Address C</t>
  </si>
  <si>
    <t>Total Breaker On-Time, Bus Address C</t>
  </si>
  <si>
    <t>Alarm Set point, Total Breaker On-Time, Bus Address C</t>
  </si>
  <si>
    <t>Direct Breaker Control State Manual, Bus Address D</t>
  </si>
  <si>
    <t>Direct Breaker Control State Auto, Bus Address D</t>
  </si>
  <si>
    <t>Breaker Present , Bus Address D</t>
  </si>
  <si>
    <t>Breaker Non-responding , Bus Address D</t>
  </si>
  <si>
    <t>Breaker Blink Flag , Bus Address D</t>
  </si>
  <si>
    <t>Breaker No Delay Flag , Bus Address D</t>
  </si>
  <si>
    <t>Breaker Event Sync  , Bus Address D</t>
  </si>
  <si>
    <t>Breaker Event Zone   , Bus Address D</t>
  </si>
  <si>
    <t>Breaker Event CBus , Bus Address D</t>
  </si>
  <si>
    <t>Breaker On-time Alarm , Bus Address D</t>
  </si>
  <si>
    <t>Breaker Double Blink Flag, Bus Address D</t>
  </si>
  <si>
    <t>Breaker Change   Desired State, Bus Address D</t>
  </si>
  <si>
    <t>Breaker Change  Mapped,  Bus Address D</t>
  </si>
  <si>
    <t>Breaker Change Control State, Bus Address D</t>
  </si>
  <si>
    <t>Breaker Triple Blink Flag, Bus Address D</t>
  </si>
  <si>
    <t>Total Breaker On-Time, Bus Address D</t>
  </si>
  <si>
    <t>Alarm Set point, Total Breaker On-Time, Bus Address D</t>
  </si>
  <si>
    <t>Direct Breaker Control State Manual, Bus Address E</t>
  </si>
  <si>
    <t>Direct Breaker Control State Auto, Bus Address E</t>
  </si>
  <si>
    <t>Breaker Present , Bus Address E</t>
  </si>
  <si>
    <t>Breaker Non-responding , Bus Address E</t>
  </si>
  <si>
    <t>Breaker Blink Flag , Bus Address E</t>
  </si>
  <si>
    <t>Breaker No Delay Flag , Bus Address E</t>
  </si>
  <si>
    <t>Breaker Event Sync  , Bus Address E</t>
  </si>
  <si>
    <t>Breaker Event Zone   , Bus Address E</t>
  </si>
  <si>
    <t>Breaker Event CBus , Bus Address E</t>
  </si>
  <si>
    <t>Breaker On-time Alarm , Bus Address E</t>
  </si>
  <si>
    <t>Breaker Double Blink Flag, Bus Address E</t>
  </si>
  <si>
    <t>Breaker Change   Desired State, Bus Address E</t>
  </si>
  <si>
    <t>Breaker Change  Mapped, Bus Address E</t>
  </si>
  <si>
    <t>Breaker Change Control State, Bus Address E</t>
  </si>
  <si>
    <t>Breaker Triple Blink Flag, Bus Address E</t>
  </si>
  <si>
    <t>Total Breaker On-Time, Bus Address E</t>
  </si>
  <si>
    <t>Alarm Set point, Total Breaker On-Time, Bus Address E</t>
  </si>
  <si>
    <t>Direct Breaker Control State Manual, Bus Address F</t>
  </si>
  <si>
    <t>Direct Breaker Control State Auto, Bus Address F</t>
  </si>
  <si>
    <t>Breaker Present , Bus Address F</t>
  </si>
  <si>
    <t>Breaker Non-responding , Bus Address F</t>
  </si>
  <si>
    <t>Breaker Blink Flag , Bus Address F</t>
  </si>
  <si>
    <t>Breaker No Delay Flag , Bus Address F</t>
  </si>
  <si>
    <t>Breaker Event Sync , Bus Address F</t>
  </si>
  <si>
    <t>Breaker Event Zone  , Bus Address F</t>
  </si>
  <si>
    <t>Breaker Event CBus , Bus Address F</t>
  </si>
  <si>
    <t>Breaker On-time Alarm , Bus Address F</t>
  </si>
  <si>
    <t>Breaker Double Blink Flag, Bus Address F</t>
  </si>
  <si>
    <t>Breaker Change   Desired State, Bus Address F</t>
  </si>
  <si>
    <t>Breaker Change  Mapped, Bus Address F</t>
  </si>
  <si>
    <t>Breaker Change Control State, Bus Address F</t>
  </si>
  <si>
    <t>Breaker Triple Blink Flag, Bus Address F</t>
  </si>
  <si>
    <t>Total Breaker On-Time, Bus Address F</t>
  </si>
  <si>
    <t>Alarm Set point, Total Breaker On-Time, Bus Address F</t>
  </si>
  <si>
    <t>Direct Breaker Control State Manual, Bus Address G</t>
  </si>
  <si>
    <t>Direct Breaker Control State Auto, Bus Address G</t>
  </si>
  <si>
    <t>Breaker Actual State, Bus Address G</t>
  </si>
  <si>
    <t>Breaker Control State, Bus Address G</t>
  </si>
  <si>
    <t>Breaker Intended State, Bus Address G</t>
  </si>
  <si>
    <t>Breaker Desired/Direct State, Bus Address G</t>
  </si>
  <si>
    <t>Breaker Desired State, Bus Address G</t>
  </si>
  <si>
    <t>Breaker Present, Bus Address G</t>
  </si>
  <si>
    <t>Breaker Non-Responding, Bus Address G</t>
  </si>
  <si>
    <t>Breaker Type, Bus Address G</t>
  </si>
  <si>
    <t>Breaker Present , Bus Address G</t>
  </si>
  <si>
    <t>Breaker Non-responding , Bus Address G</t>
  </si>
  <si>
    <t>Breaker Blink Flag , Bus Address G</t>
  </si>
  <si>
    <t>Breaker No Delay Flag , Bus Address G</t>
  </si>
  <si>
    <t>Breaker Event Sync , Bus Address G</t>
  </si>
  <si>
    <t>Breaker Event Zone  , Bus Address G</t>
  </si>
  <si>
    <t>Breaker Event CBus , Bus Address G</t>
  </si>
  <si>
    <t>Breaker On-time Alarm , Bus Address G</t>
  </si>
  <si>
    <t>Breaker Double Blink Flag, Bus Address G</t>
  </si>
  <si>
    <t>Breaker Change   Desired State, Bus Address G</t>
  </si>
  <si>
    <t>Breaker Change  Mapped, Bus Address G</t>
  </si>
  <si>
    <t>Breaker Change Control State, Bus Address G</t>
  </si>
  <si>
    <t>Breaker Triple Blink Flag, Bus Address G</t>
  </si>
  <si>
    <t>Total Breaker On-Time, Bus Address G</t>
  </si>
  <si>
    <t>Alarm Set point, Total Breaker On-Time, Bus Address G</t>
  </si>
  <si>
    <t>Direct Breaker Control State Manual, Bus Address H</t>
  </si>
  <si>
    <t>Direct Breaker Control State Auto, Bus Address H</t>
  </si>
  <si>
    <t>Breaker Actual State, Bus Address H</t>
  </si>
  <si>
    <t>Breaker Control State, Bus Address H</t>
  </si>
  <si>
    <t>Breaker Intended State, Bus Address H</t>
  </si>
  <si>
    <t>Breaker Desired/Direct State, Bus Address H</t>
  </si>
  <si>
    <t>Breaker Desired State, Bus Address H</t>
  </si>
  <si>
    <t>Breaker Present, Bus Address H</t>
  </si>
  <si>
    <t>Breaker Non-Responding, Bus Address H</t>
  </si>
  <si>
    <t>Breaker Type, Bus Address H</t>
  </si>
  <si>
    <t>Breaker Present , Bus Address H</t>
  </si>
  <si>
    <t>Breaker Non-responding , Bus Address H</t>
  </si>
  <si>
    <t>Breaker Blink Flag , Bus Address H</t>
  </si>
  <si>
    <t>Breaker No Delay Flag , Bus Address H</t>
  </si>
  <si>
    <t>Breaker Event Sync  , Bus Address H</t>
  </si>
  <si>
    <t>Breaker Event Zone   , Bus Address H</t>
  </si>
  <si>
    <t>Breaker Event CBus , Bus Address H</t>
  </si>
  <si>
    <t>Breaker On-time Alarm , Bus Address H</t>
  </si>
  <si>
    <t>Breaker Double Blink Flag,, Bus Address H</t>
  </si>
  <si>
    <t>Breaker Change   Desired State, Bus Address H</t>
  </si>
  <si>
    <t>Breaker Change  Mapped, Bus Address H</t>
  </si>
  <si>
    <t>Breaker Change Control State, Bus Address H</t>
  </si>
  <si>
    <t>Breaker Triple Blink Flag,, Bus Address H</t>
  </si>
  <si>
    <t>Total Breaker On-Time, Bus Address H</t>
  </si>
  <si>
    <t>Alarm Set point, Total Breaker On-Time, Bus Address H</t>
  </si>
  <si>
    <t>Direct Breaker Control State Manual, Bus Address I</t>
  </si>
  <si>
    <t>Direct Breaker Control State Auto, Bus Address I</t>
  </si>
  <si>
    <t>Breaker Actual State, Bus Address I</t>
  </si>
  <si>
    <t>Breaker Control State, Bus Address I</t>
  </si>
  <si>
    <t>Breaker Intended State, Bus Address I</t>
  </si>
  <si>
    <t>Breaker Desired/Direct State, Bus Address I</t>
  </si>
  <si>
    <t>Breaker Desired State, Bus Address I</t>
  </si>
  <si>
    <t>Breaker Present, Bus Address I</t>
  </si>
  <si>
    <t>Breaker Non-Responding, Bus Address I</t>
  </si>
  <si>
    <t>Breaker Type, Bus Address I</t>
  </si>
  <si>
    <t>Breaker Present , Bus Address I</t>
  </si>
  <si>
    <t>Breaker Non-responding , Bus Address I</t>
  </si>
  <si>
    <t>Breaker Blink Flag , Bus Address I</t>
  </si>
  <si>
    <t>Breaker No Delay Flag , Bus Address I</t>
  </si>
  <si>
    <t>Breaker Event Sync  , Bus Address I</t>
  </si>
  <si>
    <t>Breaker Event Zone  , Bus Address I</t>
  </si>
  <si>
    <t>Breaker Event CBus , Bus Address I</t>
  </si>
  <si>
    <t>Breaker On-time Alarm , Bus Address I</t>
  </si>
  <si>
    <t>Breaker Double Blink Flag,, Bus Address I</t>
  </si>
  <si>
    <t>Breaker Change  Desired State, Bus Address I</t>
  </si>
  <si>
    <t>Breaker Change  Mapped, Bus Address I</t>
  </si>
  <si>
    <t>Breaker Change Control State, Bus Address I</t>
  </si>
  <si>
    <t>Breaker Triple Blink Flag,, Bus Address I</t>
  </si>
  <si>
    <t>Total Breaker On-Time, Bus Address I</t>
  </si>
  <si>
    <t>Alarm Set point, Total Breaker On-Time, Bus Address I</t>
  </si>
  <si>
    <t>Direct Breaker Control State Manual, Bus Address J</t>
  </si>
  <si>
    <t>Direct Breaker Control State Auto, Bus Address J</t>
  </si>
  <si>
    <t>Breaker Actual State, Bus Address J</t>
  </si>
  <si>
    <t>Breaker Control State, Bus Address J</t>
  </si>
  <si>
    <t>Breaker Intended State, Bus Address J</t>
  </si>
  <si>
    <t>Breaker Desired/Direct State, Bus Address J</t>
  </si>
  <si>
    <t>Breaker Desired State, Bus Address J</t>
  </si>
  <si>
    <t>Breaker Present, Bus Address J</t>
  </si>
  <si>
    <t>Breaker Non-Responding, Bus Address J</t>
  </si>
  <si>
    <t>Breaker Type, Bus Address J</t>
  </si>
  <si>
    <t>Breaker Present , Bus Address J</t>
  </si>
  <si>
    <t>Breaker Non-responding , Bus Address J</t>
  </si>
  <si>
    <t>Breaker Blink Flag , Bus Address J</t>
  </si>
  <si>
    <t>Breaker No Delay Flag , Bus Address J</t>
  </si>
  <si>
    <t>Breaker Event Sync , Bus Address J</t>
  </si>
  <si>
    <t>Breaker Event Zone  , Bus Address J</t>
  </si>
  <si>
    <t>Breaker Event CBus , Bus Address J</t>
  </si>
  <si>
    <t>Breaker On-time Alarm , Bus Address J</t>
  </si>
  <si>
    <t>Breaker Double Blink Flag, Bus Address J</t>
  </si>
  <si>
    <t>Breaker  Change  Desired State, Bus Address J</t>
  </si>
  <si>
    <t>Breaker  Change  Mapped, Bus Address J</t>
  </si>
  <si>
    <t>Breaker Change Control State, Bus Address J</t>
  </si>
  <si>
    <t>Breaker Triple Blink Flag, Bus Address J</t>
  </si>
  <si>
    <t>Total Breaker On-Time, Bus Address J</t>
  </si>
  <si>
    <t>Alarm Set point, Total Breaker On-Time, Bus Address J</t>
  </si>
  <si>
    <t>Direct Breaker Control State Manual, Bus Address K</t>
  </si>
  <si>
    <t>Direct Breaker Control State Manual, Bus Address L</t>
  </si>
  <si>
    <t>Direct Breaker Control State Manual, Bus Address M</t>
  </si>
  <si>
    <t>Direct Breaker Control State Manual, Bus Address N</t>
  </si>
  <si>
    <t>Direct Breaker Control State Manual, Bus Address O</t>
  </si>
  <si>
    <t>Direct Breaker Control State Manual, Bus Address P</t>
  </si>
  <si>
    <t>Direct Breaker Control State Auto, Bus Address K</t>
  </si>
  <si>
    <t>Direct Breaker Control State Auto, Bus Address L</t>
  </si>
  <si>
    <t>Direct Breaker Control State Auto, Bus Address M</t>
  </si>
  <si>
    <t>Direct Breaker Control State Auto, Bus Address N</t>
  </si>
  <si>
    <t>Direct Breaker Control State Auto, Bus Address O</t>
  </si>
  <si>
    <t>Direct Breaker Control State Auto, Bus Address P</t>
  </si>
  <si>
    <t>Breaker Actual State, Bus Address K</t>
  </si>
  <si>
    <t>Breaker Actual State, Bus Address L</t>
  </si>
  <si>
    <t>Breaker Actual State, Bus Address M</t>
  </si>
  <si>
    <t>Breaker Actual State, Bus Address N</t>
  </si>
  <si>
    <t>Breaker Actual State, Bus Address O</t>
  </si>
  <si>
    <t>Breaker Actual State, Bus Address P</t>
  </si>
  <si>
    <t>Breaker Control State, Bus Address K</t>
  </si>
  <si>
    <t>Breaker Control State, Bus Address L</t>
  </si>
  <si>
    <t>Breaker Control State, Bus Address M</t>
  </si>
  <si>
    <t>Breaker Control State, Bus Address N</t>
  </si>
  <si>
    <t>Breaker Control State, Bus Address O</t>
  </si>
  <si>
    <t>Breaker Control State, Bus Address P</t>
  </si>
  <si>
    <t>Breaker Intended State, Bus Address K</t>
  </si>
  <si>
    <t>Breaker Intended State, Bus Address L</t>
  </si>
  <si>
    <t>Breaker Intended State, Bus Address M</t>
  </si>
  <si>
    <t>Breaker Intended State, Bus Address N</t>
  </si>
  <si>
    <t>Breaker Intended State, Bus Address O</t>
  </si>
  <si>
    <t>Breaker Intended State, Bus Address P</t>
  </si>
  <si>
    <t>Breaker Desired/Direct State, Bus Address K</t>
  </si>
  <si>
    <t>Breaker Desired/Direct State, Bus Address L</t>
  </si>
  <si>
    <t>Breaker Desired/Direct State, Bus Address M</t>
  </si>
  <si>
    <t>Breaker Desired/Direct State, Bus Address N</t>
  </si>
  <si>
    <t>Breaker Desired/Direct State, Bus Address O</t>
  </si>
  <si>
    <t>Breaker Desired/Direct State, Bus Address P</t>
  </si>
  <si>
    <t>Breaker Desired State, Bus Address K</t>
  </si>
  <si>
    <t>Breaker Desired State, Bus Address L</t>
  </si>
  <si>
    <t>Breaker Desired State, Bus Address M</t>
  </si>
  <si>
    <t>Breaker Desired State, Bus Address N</t>
  </si>
  <si>
    <t>Breaker Desired State, Bus Address O</t>
  </si>
  <si>
    <t>Breaker Desired State, Bus Address P</t>
  </si>
  <si>
    <t>Breaker Present, Bus Address K</t>
  </si>
  <si>
    <t>Breaker Present, Bus Address L</t>
  </si>
  <si>
    <t>Breaker Present, Bus Address M</t>
  </si>
  <si>
    <t>Breaker Present, Bus Address N</t>
  </si>
  <si>
    <t>Breaker Present, Bus Address O</t>
  </si>
  <si>
    <t>Breaker Present, Bus Address P</t>
  </si>
  <si>
    <t>Breaker Non-Responding, Bus Address K</t>
  </si>
  <si>
    <t>Breaker Non-Responding, Bus Address L</t>
  </si>
  <si>
    <t>Breaker Non-Responding, Bus Address M</t>
  </si>
  <si>
    <t>Breaker Non-Responding, Bus Address N</t>
  </si>
  <si>
    <t>Breaker Non-Responding, Bus Address O</t>
  </si>
  <si>
    <t>Breaker Non-Responding, Bus Address P</t>
  </si>
  <si>
    <t>Breaker Type, Bus Address K</t>
  </si>
  <si>
    <t>Breaker Type, Bus Address L</t>
  </si>
  <si>
    <t>Breaker Type, Bus Address M</t>
  </si>
  <si>
    <t>Breaker Type, Bus Address N</t>
  </si>
  <si>
    <t>Breaker Type, Bus Address O</t>
  </si>
  <si>
    <t>Breaker Type, Bus Address P</t>
  </si>
  <si>
    <t>Breaker Present , Bus Address K</t>
  </si>
  <si>
    <t>Breaker Non-responding , Bus Address K</t>
  </si>
  <si>
    <t>Breaker Blink Flag , Bus Address K</t>
  </si>
  <si>
    <t>Breaker No Delay Flag , Bus Address K</t>
  </si>
  <si>
    <t>Breaker Event Sync  , Bus Address K</t>
  </si>
  <si>
    <t>Breaker Event Zone  , Bus Address K</t>
  </si>
  <si>
    <t>Breaker Event CBus , Bus Address K</t>
  </si>
  <si>
    <t>Breaker On-time Alarm , Bus Address K</t>
  </si>
  <si>
    <t>Breaker Double Blink Flag, Bus Address K</t>
  </si>
  <si>
    <t>Breaker  Change  Desired State, Bus Address K</t>
  </si>
  <si>
    <t>Breaker  Change  Mapped, Bus Address K</t>
  </si>
  <si>
    <t>Breaker Change Control State, Bus Address K</t>
  </si>
  <si>
    <t>Breaker Triple Blink Flag, Bus Address K</t>
  </si>
  <si>
    <t>Total Breaker On-Time, Bus Address K</t>
  </si>
  <si>
    <t>Alarm Set point, Total Breaker On-Time, Bus Address K</t>
  </si>
  <si>
    <t>Breaker Present , Bus Address L</t>
  </si>
  <si>
    <t>Breaker Non-responding , Bus Address L</t>
  </si>
  <si>
    <t>Breaker Blink Flag , Bus Address L</t>
  </si>
  <si>
    <t>Breaker No Delay Flag , Bus Address L</t>
  </si>
  <si>
    <t>Breaker Event Sync , Bus Address L</t>
  </si>
  <si>
    <t>Breaker Event Zone , Bus Address L</t>
  </si>
  <si>
    <t>Breaker Event CBus , Bus Address L</t>
  </si>
  <si>
    <t>Breaker On-time Alarm , Bus Address L</t>
  </si>
  <si>
    <t>Breaker Double Blink Flag, Bus Address L</t>
  </si>
  <si>
    <t>Breaker  Change  Desired State, Bus Address L</t>
  </si>
  <si>
    <t>Breaker  Change  Mapped, Bus Address L</t>
  </si>
  <si>
    <t>Breaker Change Control State, Bus Address L</t>
  </si>
  <si>
    <t>Breaker Triple Blink Flag, Bus Address L</t>
  </si>
  <si>
    <t>Total Breaker On-Time, Bus Address L</t>
  </si>
  <si>
    <t>Alarm Set point, Total Breaker On-Time, Bus Address L</t>
  </si>
  <si>
    <t>Breaker Present , Bus Address M</t>
  </si>
  <si>
    <t>Breaker Non-responding , Bus Address M</t>
  </si>
  <si>
    <t>Breaker Blink Flag , Bus Address M</t>
  </si>
  <si>
    <t>Breaker No Delay Flag , Bus Address M</t>
  </si>
  <si>
    <t>Breaker Event Sync  , Bus Address M</t>
  </si>
  <si>
    <t>Breaker Event Zone , Bus Address M</t>
  </si>
  <si>
    <t>Breaker Event CBus , Bus Address M</t>
  </si>
  <si>
    <t>Breaker On-time Alarm,  Bus Address M</t>
  </si>
  <si>
    <t>Breaker Double Blink Flag, Bus Address M</t>
  </si>
  <si>
    <t>Breaker  Change  Desired State, Bus Address M</t>
  </si>
  <si>
    <t>Breaker  Change  Mapped, Bus Address M</t>
  </si>
  <si>
    <t>Breaker Change Control State, Bus Address M</t>
  </si>
  <si>
    <t>Breaker Triple Blink Flag, Bus Address M</t>
  </si>
  <si>
    <t>Total Breaker On-Time, Bus Address M</t>
  </si>
  <si>
    <t>Alarm Set point, Total Breaker On-Time, Bus Address M</t>
  </si>
  <si>
    <t>Breaker Present , Bus Address N</t>
  </si>
  <si>
    <t>Breaker Non-responding , Bus Address N</t>
  </si>
  <si>
    <t>Breaker Blink Flag , Bus Address N</t>
  </si>
  <si>
    <t>Breaker No Delay Flag , Bus Address N</t>
  </si>
  <si>
    <t>Breaker Event Sync  , Bus Address N</t>
  </si>
  <si>
    <t>Breaker Event Zone   , Bus Address N</t>
  </si>
  <si>
    <t>Breaker Event CBus , Bus Address N</t>
  </si>
  <si>
    <t>Breaker On-time Alarm,  Bus Address N</t>
  </si>
  <si>
    <t>Breaker Double Blink Flag, Bus Address N</t>
  </si>
  <si>
    <t>Breaker  Change  Desired State, Bus Address N</t>
  </si>
  <si>
    <t>Breaker  Change  Mapped, Bus Address N</t>
  </si>
  <si>
    <t>Breaker Change Control State, Bus Address N</t>
  </si>
  <si>
    <t>Breaker Triple Blink Flag, Bus Address N</t>
  </si>
  <si>
    <t>Total Breaker On-Time, Bus Address N</t>
  </si>
  <si>
    <t>Alarm Set point, Total Breaker On-Time, Bus Address N</t>
  </si>
  <si>
    <t>Breaker Present , Bus Address O</t>
  </si>
  <si>
    <t>Breaker Non-responding , Bus Address O</t>
  </si>
  <si>
    <t>Breaker Blink Flag , Bus Address O</t>
  </si>
  <si>
    <t>Breaker No Delay Flag , Bus Address O</t>
  </si>
  <si>
    <t>Breaker Event Sync , Bus Address O</t>
  </si>
  <si>
    <t>Breaker Event Zone  , Bus Address O</t>
  </si>
  <si>
    <t>Breaker Event CBus , Bus Address O</t>
  </si>
  <si>
    <t>Breaker On-time Alarm, Bus Address O</t>
  </si>
  <si>
    <t>Breaker Double Blink Flag, Bus Address O</t>
  </si>
  <si>
    <t>Breaker  Change  Desired State, Bus Address O</t>
  </si>
  <si>
    <t>Breaker  Change Mapped, Bus Address O</t>
  </si>
  <si>
    <t>Breaker Change Control State, Bus Address O</t>
  </si>
  <si>
    <t>Breaker Triple Blink Flag, Bus Address O</t>
  </si>
  <si>
    <t>Total Breaker On-Time, Bus Address O</t>
  </si>
  <si>
    <t>Alarm Set point, Total Breaker On-Time, Bus Address O</t>
  </si>
  <si>
    <t>Breaker Present , Bus Address P</t>
  </si>
  <si>
    <t>Breaker Non-responding , Bus Address P</t>
  </si>
  <si>
    <t>Breaker Blink Flag , Bus Address P</t>
  </si>
  <si>
    <t>Breaker No Delay Flag , Bus Address P</t>
  </si>
  <si>
    <t>Breaker Event Sync , Bus Address P</t>
  </si>
  <si>
    <t>Breaker Event Zone  , Bus Address P</t>
  </si>
  <si>
    <t>Breaker Event CBus , Bus Address P</t>
  </si>
  <si>
    <t>Breaker On-time Alarm, Bus Address P</t>
  </si>
  <si>
    <t>Breaker Double Blink Flag, Bus Address P</t>
  </si>
  <si>
    <t>Breaker Change   Desired State, Bus Address P</t>
  </si>
  <si>
    <t>Breaker Change  Mapped, Bus Address P</t>
  </si>
  <si>
    <t>Breaker Change Control State, Bus Address P</t>
  </si>
  <si>
    <t>Breaker Triple Blink Flag, Bus Address P</t>
  </si>
  <si>
    <t>Total Breaker On-Time, Bus Address P</t>
  </si>
  <si>
    <t>Alarm Set point, Total Breaker On-Time, Bus Address P</t>
  </si>
  <si>
    <t xml:space="preserve"> Panel Configuration</t>
  </si>
  <si>
    <t>1 records per Panel - Panel 1 = Recored 1, Panel 2 = Record 2 etc…</t>
  </si>
  <si>
    <t>Panel ID</t>
  </si>
  <si>
    <t>Custom</t>
  </si>
  <si>
    <t>Inverted</t>
  </si>
  <si>
    <t>Starting Breaker Number</t>
  </si>
  <si>
    <t>Squence</t>
  </si>
  <si>
    <t>Bus Length A</t>
  </si>
  <si>
    <t>Bus Length B</t>
  </si>
  <si>
    <t>Bus Length C</t>
  </si>
  <si>
    <t>BusLength D</t>
  </si>
  <si>
    <t>0-99</t>
  </si>
  <si>
    <t>0-1</t>
  </si>
  <si>
    <t>1-336</t>
  </si>
  <si>
    <t>12,18,21</t>
  </si>
  <si>
    <t>1-2</t>
  </si>
  <si>
    <t>File 118: Not used</t>
  </si>
  <si>
    <t>Record 1-144</t>
  </si>
  <si>
    <t>Record Summary 1-8</t>
  </si>
  <si>
    <t>BUS POSITION</t>
  </si>
  <si>
    <t>Ckt Number</t>
  </si>
  <si>
    <t>NF12SBLG3 (A)</t>
  </si>
  <si>
    <t>NF12SBRG3 (B)</t>
  </si>
  <si>
    <t>NF12SBRG3 (D)</t>
  </si>
  <si>
    <t>NF12SBLG3 (C)</t>
  </si>
  <si>
    <t>54 Circuit Master Panel</t>
  </si>
  <si>
    <t>Bus C</t>
  </si>
  <si>
    <t xml:space="preserve">Example: </t>
  </si>
  <si>
    <t>Circuit Number 38</t>
  </si>
  <si>
    <t>Direct Breaker Control Manual Coil Register 06073</t>
  </si>
  <si>
    <t>P</t>
  </si>
  <si>
    <t>C</t>
  </si>
  <si>
    <t>X= Slave Address selector</t>
  </si>
  <si>
    <t>P= Power Supply</t>
  </si>
  <si>
    <t>C= Controller</t>
  </si>
  <si>
    <t>Utilizing 4 - 12 circuit control buses</t>
  </si>
  <si>
    <t>Control Bus Address Designation</t>
  </si>
  <si>
    <t>PHYSICAL GAP</t>
  </si>
  <si>
    <t>N</t>
  </si>
  <si>
    <t>N=Non-controllable Breaker</t>
  </si>
  <si>
    <t>66 Circuit Master Panel - Top Fed</t>
  </si>
  <si>
    <t>66 Circuit Master Panel - Bottom Fed</t>
  </si>
  <si>
    <t>30 Circuit Master Panel</t>
  </si>
  <si>
    <t>Utilizing 2 - 12 circuit control buses</t>
  </si>
  <si>
    <t>X</t>
  </si>
  <si>
    <t>Circuit Number 50</t>
  </si>
  <si>
    <t>Control Bus Numbering – Column-Width Panelboards</t>
  </si>
  <si>
    <t>Utilizing 2 - 21 circuit control buses</t>
  </si>
  <si>
    <t>Utilizing 2 - 18 circuit control buses</t>
  </si>
  <si>
    <t>NF18SBLG3 (B)</t>
  </si>
  <si>
    <t>NF18SBRG3 (A)</t>
  </si>
  <si>
    <t>A column-width panel is designed with a single-sided rail only, with breakers arranged in a single vertical column. This requires a control bus to be mounted upside-down at the bottom of the panel.</t>
  </si>
  <si>
    <t>Control bus addresses are set locally at each control bus. A power supply, or a slave address selector must be present in each panel. The slave address selector has eight address settings, 0 to 7, which sets the address of the first control bus in the panel. Since more than one control bus may be added to a panel, there could be up to 4 addresses for each panel, for a total of 16 control bus addresses. Note that slave address selector address 0 may only be used if the controller and power supply are remotely mounted.</t>
  </si>
  <si>
    <t>NF18SBLG3 (D)</t>
  </si>
  <si>
    <t>NF18SBRG3 (C)</t>
  </si>
  <si>
    <t>42 Circuit Master Panel</t>
  </si>
  <si>
    <t>NF21SBLG3 (B)</t>
  </si>
  <si>
    <t>NF21SBRG3 (A)</t>
  </si>
  <si>
    <t>NF21SBLG3 (D)</t>
  </si>
  <si>
    <t>NF21SBRG3 (C)</t>
  </si>
  <si>
    <t>NF12SBLG3 (E)</t>
  </si>
  <si>
    <t>NF12SBRG3 (F)</t>
  </si>
  <si>
    <t>NF12SBLG3 (G)</t>
  </si>
  <si>
    <t>NF12SBRG3 (H)</t>
  </si>
  <si>
    <t>Bus H</t>
  </si>
  <si>
    <t>Individual Panels with Four Control Buses Numbering</t>
  </si>
  <si>
    <t xml:space="preserve">Control Bus Numbering </t>
  </si>
  <si>
    <t>30 Circuit Slave Panel #1</t>
  </si>
  <si>
    <t>54 Circuit Slave Panel #1</t>
  </si>
  <si>
    <t>66 Circuit Slave Panel #1 - Top Fed</t>
  </si>
  <si>
    <t>66 Circuit Slave Panel #1 - Bottom Fed</t>
  </si>
  <si>
    <t>Bus G</t>
  </si>
  <si>
    <t>Direct Breaker Control Manual Coil Register 06201</t>
  </si>
  <si>
    <t>Bus Position 9</t>
  </si>
  <si>
    <t>42 Circuit Slave Panel #1</t>
  </si>
  <si>
    <t>Utilizing 4 control buses</t>
  </si>
  <si>
    <t xml:space="preserve">84 Circuit Master Panel </t>
  </si>
  <si>
    <t>NF18SBLG3 (A)</t>
  </si>
  <si>
    <t>NF18SBRG3 (B)</t>
  </si>
  <si>
    <t>84 Circuit Slave Panel #1</t>
  </si>
  <si>
    <t>NF18SBLG3 (E)</t>
  </si>
  <si>
    <t>NF18SBRG3 (F)</t>
  </si>
  <si>
    <t>NF21SBRG3 (G)</t>
  </si>
  <si>
    <t>NF21SBLG3 (H)</t>
  </si>
  <si>
    <t>Bus Position 4</t>
  </si>
  <si>
    <t>Direct Breaker Control Manual Coil Register 06228</t>
  </si>
  <si>
    <t>Bus D</t>
  </si>
  <si>
    <t>Direct Breaker Control Manual Coil Register 06100</t>
  </si>
  <si>
    <t>Circuit Number 19</t>
  </si>
  <si>
    <t>Bus A</t>
  </si>
  <si>
    <t>Direct Breaker Control Manual Coil Register 06009</t>
  </si>
  <si>
    <t>Circuit Number 31</t>
  </si>
  <si>
    <t>For the master panel, the bus with the Slave Address Selector or Power Supply is always the “A” bus. The bus with the Wiring Harness or Controller is always the "B" bus. Since master panels are built with the power supply located at the bottom, they will have the “B” bus at the top and the “A” bus at the bottom. Since slave panels are built with the slave address selector located at the bottom, they will require the same upside-down configuration.  See example drawings below along with determining the modbus register.</t>
  </si>
  <si>
    <t>Control Bus Numbering – Four Control Bus Panelboards</t>
  </si>
  <si>
    <t xml:space="preserve">The 16 control bus addresses are identified by a one letter designation, such as A, B, C, D,.....,P.  The control bus designation is based on two factors: The Slave Address Selector setting, and how many control buses are in a panel.  Refer to the instruction bulletin for slave address selector mounting.    </t>
  </si>
  <si>
    <r>
      <t xml:space="preserve">The 54 cuircuit and 66 circuit panels with more than two buses requires some control buses to be mounted differently than in other standard panels.  For the master panel, the normally left-mounted control bus "C" and normally right mounted control bus "D" are rotated and mounted upside-down at the bottom of the panel.   The "A" and "B" bus will not change.  The Slave Address Selector or Power Supply will continue to always assumed to be the “A” bus and the bus with the Wiring Harness or Controller will continue to always assumed to be the “B” bus.  Note the 84 circuit panel with more than two buses does </t>
    </r>
    <r>
      <rPr>
        <b/>
        <sz val="12"/>
        <color rgb="FF000000"/>
        <rFont val="Times New Roman"/>
        <family val="1"/>
      </rPr>
      <t>not</t>
    </r>
    <r>
      <rPr>
        <sz val="12"/>
        <color rgb="FF000000"/>
        <rFont val="Times New Roman"/>
        <family val="1"/>
      </rPr>
      <t xml:space="preserve"> follow the upside-down mounted control bus pattern.  See the example drawings below along with determining the modbus register.</t>
    </r>
  </si>
  <si>
    <t>Two Control Bus Numbering - Master and Slave Panel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</si>
</sst>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0"/>
      <name val="Arial"/>
    </font>
    <font>
      <b/>
      <sz val="8"/>
      <name val="Arial"/>
      <family val="2"/>
    </font>
    <font>
      <sz val="8"/>
      <name val="Arial"/>
      <family val="2"/>
    </font>
    <font>
      <b/>
      <sz val="10"/>
      <name val="Arial"/>
      <family val="2"/>
    </font>
    <font>
      <sz val="10"/>
      <name val="Arial"/>
      <family val="2"/>
    </font>
    <font>
      <b/>
      <sz val="8"/>
      <color indexed="9"/>
      <name val="Arial"/>
      <family val="2"/>
    </font>
    <font>
      <sz val="8"/>
      <color indexed="9"/>
      <name val="Arial"/>
      <family val="2"/>
    </font>
    <font>
      <sz val="8"/>
      <color indexed="10"/>
      <name val="Arial"/>
      <family val="2"/>
    </font>
    <font>
      <u/>
      <sz val="8"/>
      <color indexed="18"/>
      <name val="Arial"/>
      <family val="2"/>
    </font>
    <font>
      <sz val="10"/>
      <name val="Times New Roman"/>
      <family val="1"/>
    </font>
    <font>
      <sz val="8"/>
      <color indexed="8"/>
      <name val="Arial"/>
      <family val="2"/>
    </font>
    <font>
      <sz val="8"/>
      <name val="Arial"/>
      <family val="2"/>
    </font>
    <font>
      <sz val="8"/>
      <name val="Times New Roman"/>
      <family val="1"/>
    </font>
    <font>
      <sz val="8"/>
      <name val="Courier New"/>
      <family val="3"/>
    </font>
    <font>
      <u/>
      <sz val="8"/>
      <name val="Arial"/>
      <family val="2"/>
    </font>
    <font>
      <i/>
      <sz val="10"/>
      <name val="Symbol"/>
      <family val="1"/>
      <charset val="2"/>
    </font>
    <font>
      <b/>
      <sz val="20"/>
      <color indexed="9"/>
      <name val="Arial"/>
      <family val="2"/>
    </font>
    <font>
      <sz val="8"/>
      <color indexed="8"/>
      <name val="Symbol"/>
      <family val="1"/>
      <charset val="2"/>
    </font>
    <font>
      <sz val="7"/>
      <name val="Arial"/>
      <family val="2"/>
    </font>
    <font>
      <b/>
      <sz val="8"/>
      <color indexed="10"/>
      <name val="Arial"/>
      <family val="2"/>
    </font>
    <font>
      <vertAlign val="superscript"/>
      <sz val="8"/>
      <name val="Arial"/>
      <family val="2"/>
    </font>
    <font>
      <sz val="8"/>
      <color indexed="8"/>
      <name val="Courier New"/>
      <family val="3"/>
    </font>
    <font>
      <sz val="6"/>
      <name val="Arial"/>
      <family val="2"/>
    </font>
    <font>
      <b/>
      <sz val="10"/>
      <color indexed="9"/>
      <name val="Arial"/>
      <family val="2"/>
    </font>
    <font>
      <sz val="8"/>
      <color indexed="9"/>
      <name val="Arial"/>
      <family val="2"/>
    </font>
    <font>
      <b/>
      <sz val="8"/>
      <color indexed="8"/>
      <name val="Arial"/>
      <family val="2"/>
    </font>
    <font>
      <b/>
      <sz val="14"/>
      <name val="Arial"/>
      <family val="2"/>
    </font>
    <font>
      <sz val="16"/>
      <name val="Arial"/>
      <family val="2"/>
    </font>
    <font>
      <sz val="10"/>
      <color indexed="8"/>
      <name val="Arial"/>
      <family val="2"/>
    </font>
    <font>
      <b/>
      <sz val="12"/>
      <color indexed="9"/>
      <name val="Arial"/>
      <family val="2"/>
    </font>
    <font>
      <sz val="8"/>
      <color rgb="FFFF0000"/>
      <name val="Arial"/>
      <family val="2"/>
    </font>
    <font>
      <u/>
      <sz val="8"/>
      <color rgb="FFFF0000"/>
      <name val="Arial"/>
      <family val="2"/>
    </font>
    <font>
      <b/>
      <sz val="8"/>
      <color rgb="FFFF0000"/>
      <name val="Arial"/>
      <family val="2"/>
    </font>
    <font>
      <sz val="8"/>
      <color rgb="FF000000"/>
      <name val="Arial"/>
      <family val="2"/>
    </font>
    <font>
      <b/>
      <sz val="8"/>
      <color rgb="FFFFFFFF"/>
      <name val="Arial"/>
      <family val="2"/>
    </font>
    <font>
      <sz val="8"/>
      <color theme="1"/>
      <name val="Arial"/>
      <family val="2"/>
    </font>
    <font>
      <sz val="8"/>
      <color theme="5" tint="-0.249977111117893"/>
      <name val="Arial"/>
      <family val="2"/>
    </font>
    <font>
      <u/>
      <sz val="8"/>
      <color theme="5" tint="-0.249977111117893"/>
      <name val="Arial"/>
      <family val="2"/>
    </font>
    <font>
      <u/>
      <sz val="8"/>
      <color theme="0"/>
      <name val="Arial"/>
      <family val="2"/>
    </font>
    <font>
      <sz val="8"/>
      <color theme="9" tint="-0.499984740745262"/>
      <name val="Arial"/>
      <family val="2"/>
    </font>
    <font>
      <b/>
      <sz val="8"/>
      <color theme="0"/>
      <name val="Arial"/>
      <family val="2"/>
    </font>
    <font>
      <sz val="12"/>
      <color rgb="FF000000"/>
      <name val="Times New Roman"/>
      <family val="1"/>
    </font>
    <font>
      <b/>
      <sz val="13"/>
      <color rgb="FF000000"/>
      <name val="Arial"/>
      <family val="2"/>
    </font>
    <font>
      <sz val="10"/>
      <color rgb="FF000000"/>
      <name val="Arial"/>
      <family val="2"/>
    </font>
    <font>
      <b/>
      <sz val="9"/>
      <name val="Arial"/>
      <family val="2"/>
    </font>
    <font>
      <b/>
      <sz val="12"/>
      <color rgb="FF000000"/>
      <name val="Times New Roman"/>
      <family val="1"/>
    </font>
    <font>
      <sz val="9"/>
      <name val="Arial"/>
      <family val="2"/>
    </font>
  </fonts>
  <fills count="24">
    <fill>
      <patternFill patternType="none"/>
    </fill>
    <fill>
      <patternFill patternType="gray125"/>
    </fill>
    <fill>
      <patternFill patternType="solid">
        <fgColor indexed="57"/>
        <bgColor indexed="64"/>
      </patternFill>
    </fill>
    <fill>
      <patternFill patternType="solid">
        <fgColor indexed="18"/>
        <bgColor indexed="64"/>
      </patternFill>
    </fill>
    <fill>
      <patternFill patternType="solid">
        <fgColor indexed="21"/>
        <bgColor indexed="64"/>
      </patternFill>
    </fill>
    <fill>
      <patternFill patternType="solid">
        <fgColor indexed="56"/>
        <bgColor indexed="64"/>
      </patternFill>
    </fill>
    <fill>
      <patternFill patternType="solid">
        <fgColor indexed="63"/>
        <bgColor indexed="64"/>
      </patternFill>
    </fill>
    <fill>
      <patternFill patternType="solid">
        <fgColor indexed="10"/>
        <bgColor indexed="64"/>
      </patternFill>
    </fill>
    <fill>
      <patternFill patternType="solid">
        <fgColor indexed="42"/>
        <bgColor indexed="64"/>
      </patternFill>
    </fill>
    <fill>
      <patternFill patternType="solid">
        <fgColor indexed="9"/>
        <bgColor indexed="64"/>
      </patternFill>
    </fill>
    <fill>
      <patternFill patternType="solid">
        <fgColor indexed="43"/>
        <bgColor indexed="64"/>
      </patternFill>
    </fill>
    <fill>
      <patternFill patternType="solid">
        <fgColor indexed="20"/>
        <bgColor indexed="64"/>
      </patternFill>
    </fill>
    <fill>
      <patternFill patternType="solid">
        <fgColor indexed="14"/>
        <bgColor indexed="64"/>
      </patternFill>
    </fill>
    <fill>
      <patternFill patternType="solid">
        <fgColor indexed="46"/>
        <bgColor indexed="64"/>
      </patternFill>
    </fill>
    <fill>
      <patternFill patternType="solid">
        <fgColor indexed="49"/>
        <bgColor indexed="64"/>
      </patternFill>
    </fill>
    <fill>
      <patternFill patternType="solid">
        <fgColor indexed="22"/>
        <bgColor indexed="64"/>
      </patternFill>
    </fill>
    <fill>
      <patternFill patternType="solid">
        <fgColor rgb="FF002060"/>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0000"/>
        <bgColor indexed="64"/>
      </patternFill>
    </fill>
    <fill>
      <patternFill patternType="solid">
        <fgColor rgb="FF92D05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alignment vertical="top"/>
      <protection locked="0"/>
    </xf>
  </cellStyleXfs>
  <cellXfs count="504">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Border="1"/>
    <xf numFmtId="0" fontId="1" fillId="0" borderId="0" xfId="0" applyFont="1" applyBorder="1" applyAlignment="1">
      <alignment horizontal="center"/>
    </xf>
    <xf numFmtId="0" fontId="2" fillId="0" borderId="0" xfId="0" applyFont="1" applyFill="1" applyBorder="1"/>
    <xf numFmtId="0" fontId="2" fillId="0" borderId="0" xfId="0" applyFont="1" applyFill="1" applyBorder="1" applyAlignment="1">
      <alignment horizontal="left" indent="1"/>
    </xf>
    <xf numFmtId="0" fontId="2" fillId="0" borderId="0" xfId="0" applyFont="1" applyFill="1" applyBorder="1" applyAlignment="1">
      <alignment horizontal="center"/>
    </xf>
    <xf numFmtId="0" fontId="2" fillId="0" borderId="0" xfId="0" applyFont="1" applyFill="1" applyBorder="1" applyAlignment="1">
      <alignment wrapText="1"/>
    </xf>
    <xf numFmtId="0" fontId="2" fillId="0" borderId="0" xfId="0" applyFont="1" applyFill="1" applyBorder="1" applyAlignment="1">
      <alignment horizontal="center" wrapText="1"/>
    </xf>
    <xf numFmtId="0" fontId="2" fillId="0" borderId="0" xfId="0" applyFont="1" applyBorder="1"/>
    <xf numFmtId="0" fontId="2" fillId="2" borderId="0" xfId="0" applyFont="1" applyFill="1" applyBorder="1" applyAlignment="1"/>
    <xf numFmtId="0" fontId="2" fillId="0" borderId="0" xfId="0" applyFont="1" applyBorder="1" applyAlignment="1">
      <alignment horizontal="center"/>
    </xf>
    <xf numFmtId="0" fontId="2" fillId="0" borderId="0" xfId="0" applyFont="1" applyBorder="1" applyAlignment="1">
      <alignment wrapText="1"/>
    </xf>
    <xf numFmtId="0" fontId="1" fillId="0" borderId="0" xfId="0" applyFont="1" applyBorder="1" applyAlignment="1">
      <alignment horizontal="right"/>
    </xf>
    <xf numFmtId="0" fontId="2" fillId="0" borderId="0" xfId="0" applyFont="1" applyFill="1" applyBorder="1" applyAlignment="1">
      <alignment horizontal="right"/>
    </xf>
    <xf numFmtId="0" fontId="2" fillId="0" borderId="0" xfId="0" applyFont="1" applyBorder="1" applyAlignment="1">
      <alignment horizontal="left" indent="1"/>
    </xf>
    <xf numFmtId="0" fontId="2" fillId="0" borderId="0" xfId="0" applyFont="1" applyBorder="1" applyAlignment="1">
      <alignment horizontal="center" wrapText="1"/>
    </xf>
    <xf numFmtId="0" fontId="2" fillId="0" borderId="0" xfId="0" applyFont="1" applyFill="1" applyBorder="1" applyAlignment="1"/>
    <xf numFmtId="0" fontId="2" fillId="0" borderId="0" xfId="0" applyFont="1" applyFill="1" applyBorder="1" applyAlignment="1">
      <alignment horizontal="left" indent="2"/>
    </xf>
    <xf numFmtId="0" fontId="6" fillId="3" borderId="0" xfId="0" applyFont="1" applyFill="1" applyBorder="1"/>
    <xf numFmtId="0" fontId="5" fillId="3" borderId="0" xfId="0" applyFont="1" applyFill="1" applyBorder="1" applyAlignment="1">
      <alignment horizontal="right"/>
    </xf>
    <xf numFmtId="0" fontId="6" fillId="3" borderId="0" xfId="0" applyFont="1" applyFill="1" applyBorder="1" applyAlignment="1">
      <alignment horizontal="center"/>
    </xf>
    <xf numFmtId="0" fontId="6" fillId="3" borderId="0" xfId="0" applyFont="1" applyFill="1" applyBorder="1" applyAlignment="1">
      <alignment wrapText="1"/>
    </xf>
    <xf numFmtId="0" fontId="5" fillId="2" borderId="0" xfId="0" applyFont="1" applyFill="1" applyBorder="1"/>
    <xf numFmtId="0" fontId="5" fillId="2" borderId="0" xfId="0" applyFont="1" applyFill="1" applyBorder="1" applyAlignment="1">
      <alignment wrapText="1"/>
    </xf>
    <xf numFmtId="0" fontId="5" fillId="2" borderId="0" xfId="0" applyFont="1" applyFill="1" applyBorder="1" applyAlignment="1">
      <alignment horizontal="center"/>
    </xf>
    <xf numFmtId="0" fontId="6" fillId="2" borderId="0" xfId="0" applyFont="1" applyFill="1" applyBorder="1" applyAlignment="1">
      <alignment wrapText="1"/>
    </xf>
    <xf numFmtId="0" fontId="6" fillId="2" borderId="0" xfId="0" applyFont="1" applyFill="1" applyBorder="1"/>
    <xf numFmtId="0" fontId="6" fillId="2" borderId="0" xfId="0" applyFont="1" applyFill="1" applyBorder="1" applyAlignment="1">
      <alignment horizontal="center"/>
    </xf>
    <xf numFmtId="0" fontId="2" fillId="2" borderId="0" xfId="0" applyFont="1" applyFill="1" applyBorder="1" applyAlignment="1">
      <alignment horizontal="center" wrapText="1"/>
    </xf>
    <xf numFmtId="0" fontId="5" fillId="4" borderId="0" xfId="0" applyFont="1" applyFill="1" applyBorder="1"/>
    <xf numFmtId="0" fontId="6" fillId="4" borderId="0" xfId="0" applyFont="1" applyFill="1" applyBorder="1" applyAlignment="1">
      <alignment wrapText="1"/>
    </xf>
    <xf numFmtId="0" fontId="2" fillId="4" borderId="0" xfId="0" applyFont="1" applyFill="1" applyBorder="1" applyAlignment="1">
      <alignment horizontal="center" wrapText="1"/>
    </xf>
    <xf numFmtId="0" fontId="6" fillId="4" borderId="0" xfId="0" applyFont="1" applyFill="1" applyBorder="1"/>
    <xf numFmtId="0" fontId="6" fillId="4" borderId="0" xfId="0" applyFont="1" applyFill="1" applyBorder="1" applyAlignment="1">
      <alignment horizontal="center"/>
    </xf>
    <xf numFmtId="0" fontId="6" fillId="5" borderId="0" xfId="0" applyFont="1" applyFill="1" applyBorder="1"/>
    <xf numFmtId="0" fontId="5" fillId="5" borderId="0" xfId="0" applyFont="1" applyFill="1" applyBorder="1" applyAlignment="1">
      <alignment horizontal="right"/>
    </xf>
    <xf numFmtId="0" fontId="6" fillId="5" borderId="0" xfId="0" applyFont="1" applyFill="1" applyBorder="1" applyAlignment="1">
      <alignment wrapText="1"/>
    </xf>
    <xf numFmtId="0" fontId="6" fillId="5" borderId="0" xfId="0" applyFont="1" applyFill="1" applyBorder="1" applyAlignment="1">
      <alignment horizontal="center" wrapText="1"/>
    </xf>
    <xf numFmtId="0" fontId="6" fillId="6" borderId="0" xfId="0" applyFont="1" applyFill="1" applyBorder="1"/>
    <xf numFmtId="0" fontId="5" fillId="6" borderId="0" xfId="0" applyFont="1" applyFill="1" applyBorder="1" applyAlignment="1">
      <alignment horizontal="right"/>
    </xf>
    <xf numFmtId="0" fontId="5" fillId="6" borderId="0" xfId="0" applyFont="1" applyFill="1" applyBorder="1" applyAlignment="1">
      <alignment horizontal="center"/>
    </xf>
    <xf numFmtId="0" fontId="6" fillId="6" borderId="0" xfId="0" applyFont="1" applyFill="1" applyBorder="1" applyAlignment="1">
      <alignment wrapText="1"/>
    </xf>
    <xf numFmtId="0" fontId="2" fillId="2" borderId="0" xfId="0" applyFont="1" applyFill="1" applyBorder="1"/>
    <xf numFmtId="0" fontId="5" fillId="2" borderId="0" xfId="0" applyFont="1" applyFill="1" applyBorder="1" applyAlignment="1">
      <alignment horizontal="left" indent="1"/>
    </xf>
    <xf numFmtId="0" fontId="2" fillId="2" borderId="0" xfId="0" applyFont="1" applyFill="1" applyBorder="1" applyAlignment="1">
      <alignment horizontal="center"/>
    </xf>
    <xf numFmtId="0" fontId="2" fillId="2" borderId="0" xfId="0" applyFont="1" applyFill="1" applyBorder="1" applyAlignment="1">
      <alignment wrapText="1"/>
    </xf>
    <xf numFmtId="0" fontId="5" fillId="2" borderId="0" xfId="0" applyFont="1" applyFill="1" applyBorder="1" applyAlignment="1">
      <alignment horizontal="center" wrapText="1"/>
    </xf>
    <xf numFmtId="0" fontId="5" fillId="2" borderId="0" xfId="0" applyFont="1" applyFill="1" applyBorder="1" applyAlignment="1">
      <alignment horizontal="right"/>
    </xf>
    <xf numFmtId="0" fontId="5" fillId="2" borderId="0" xfId="0" applyFont="1" applyFill="1" applyBorder="1" applyAlignment="1"/>
    <xf numFmtId="0" fontId="6" fillId="2" borderId="0" xfId="0" applyFont="1" applyFill="1" applyBorder="1" applyAlignment="1"/>
    <xf numFmtId="0" fontId="7" fillId="4" borderId="0" xfId="0" applyFont="1" applyFill="1" applyBorder="1"/>
    <xf numFmtId="0" fontId="8" fillId="0" borderId="0" xfId="1" applyAlignment="1" applyProtection="1">
      <alignment horizontal="left" indent="1"/>
    </xf>
    <xf numFmtId="0" fontId="8" fillId="0" borderId="0" xfId="1" applyFont="1" applyFill="1" applyBorder="1" applyAlignment="1" applyProtection="1">
      <alignment wrapText="1"/>
    </xf>
    <xf numFmtId="0" fontId="8" fillId="0" borderId="0" xfId="1" applyFill="1" applyBorder="1" applyAlignment="1" applyProtection="1">
      <alignment wrapText="1"/>
    </xf>
    <xf numFmtId="0" fontId="10" fillId="0" borderId="0" xfId="0" applyFont="1" applyAlignment="1">
      <alignment vertical="top" wrapText="1"/>
    </xf>
    <xf numFmtId="0" fontId="10" fillId="0" borderId="0" xfId="0" applyFont="1" applyAlignment="1">
      <alignment horizontal="center" vertical="top" wrapText="1"/>
    </xf>
    <xf numFmtId="0" fontId="9" fillId="0" borderId="0" xfId="0" applyFont="1" applyAlignment="1">
      <alignment horizontal="center" vertical="top" wrapText="1"/>
    </xf>
    <xf numFmtId="0" fontId="9" fillId="0" borderId="0" xfId="0" applyFont="1" applyAlignment="1">
      <alignment horizontal="right" vertical="top" wrapText="1"/>
    </xf>
    <xf numFmtId="0" fontId="9" fillId="0" borderId="0" xfId="0" applyFont="1" applyAlignment="1">
      <alignment vertical="top" wrapText="1"/>
    </xf>
    <xf numFmtId="0" fontId="8" fillId="0" borderId="0" xfId="1" applyAlignment="1" applyProtection="1">
      <alignment vertical="top" wrapText="1"/>
    </xf>
    <xf numFmtId="0" fontId="1" fillId="0" borderId="1" xfId="0" applyFont="1" applyBorder="1" applyAlignment="1">
      <alignment horizontal="center"/>
    </xf>
    <xf numFmtId="0" fontId="1" fillId="0" borderId="1" xfId="0" applyFont="1" applyBorder="1" applyAlignment="1">
      <alignment horizontal="center" wrapText="1"/>
    </xf>
    <xf numFmtId="0" fontId="11" fillId="0" borderId="0" xfId="0" applyFont="1"/>
    <xf numFmtId="0" fontId="11" fillId="0" borderId="0" xfId="0" applyFont="1" applyAlignment="1">
      <alignment horizontal="center"/>
    </xf>
    <xf numFmtId="0" fontId="11" fillId="0" borderId="0" xfId="0" applyFont="1" applyAlignment="1">
      <alignment wrapText="1"/>
    </xf>
    <xf numFmtId="0" fontId="5" fillId="3" borderId="0" xfId="0" applyFont="1" applyFill="1"/>
    <xf numFmtId="0" fontId="6" fillId="3" borderId="0" xfId="0" applyFont="1" applyFill="1" applyAlignment="1">
      <alignment horizontal="center"/>
    </xf>
    <xf numFmtId="0" fontId="6" fillId="3" borderId="0" xfId="0" applyFont="1" applyFill="1"/>
    <xf numFmtId="0" fontId="6" fillId="3" borderId="0" xfId="0" applyFont="1" applyFill="1" applyAlignment="1">
      <alignment wrapText="1"/>
    </xf>
    <xf numFmtId="0" fontId="11" fillId="0" borderId="0" xfId="0" applyFont="1" applyAlignment="1">
      <alignment horizontal="left" indent="1"/>
    </xf>
    <xf numFmtId="0" fontId="8" fillId="0" borderId="0" xfId="1" applyFont="1" applyAlignment="1" applyProtection="1">
      <alignment horizontal="left" indent="1"/>
    </xf>
    <xf numFmtId="0" fontId="12" fillId="0" borderId="0" xfId="0" applyFont="1" applyAlignment="1">
      <alignment horizontal="center" vertical="top" wrapText="1"/>
    </xf>
    <xf numFmtId="0" fontId="12" fillId="0" borderId="0" xfId="0" applyFont="1" applyAlignment="1">
      <alignment horizontal="right" vertical="top" wrapText="1"/>
    </xf>
    <xf numFmtId="49" fontId="13" fillId="0" borderId="1" xfId="0" applyNumberFormat="1" applyFont="1" applyBorder="1" applyAlignment="1">
      <alignment horizontal="center" wrapText="1"/>
    </xf>
    <xf numFmtId="49" fontId="13" fillId="0" borderId="0" xfId="0" applyNumberFormat="1" applyFont="1" applyAlignment="1">
      <alignment wrapText="1"/>
    </xf>
    <xf numFmtId="0" fontId="11" fillId="0" borderId="0" xfId="0" applyFont="1" applyAlignment="1">
      <alignment horizontal="left" wrapText="1" indent="1"/>
    </xf>
    <xf numFmtId="0" fontId="11" fillId="0" borderId="0" xfId="0" applyFont="1" applyAlignment="1">
      <alignment horizontal="left"/>
    </xf>
    <xf numFmtId="49" fontId="11" fillId="0" borderId="0" xfId="0" applyNumberFormat="1" applyFont="1" applyAlignment="1">
      <alignment wrapText="1"/>
    </xf>
    <xf numFmtId="0" fontId="11" fillId="0" borderId="0" xfId="0" applyFont="1" applyAlignment="1">
      <alignment horizontal="left" wrapText="1"/>
    </xf>
    <xf numFmtId="0" fontId="2" fillId="0" borderId="0" xfId="0" applyFont="1" applyAlignment="1">
      <alignment vertical="top" wrapText="1"/>
    </xf>
    <xf numFmtId="0" fontId="2" fillId="0" borderId="0" xfId="0" applyFont="1" applyAlignment="1">
      <alignment horizontal="center" vertical="top" wrapText="1"/>
    </xf>
    <xf numFmtId="0" fontId="11" fillId="0" borderId="0" xfId="0" applyFont="1" applyBorder="1" applyAlignment="1">
      <alignment horizontal="center"/>
    </xf>
    <xf numFmtId="0" fontId="9" fillId="0" borderId="0" xfId="0" applyFont="1" applyBorder="1" applyAlignment="1">
      <alignment horizontal="center" vertical="top" wrapText="1"/>
    </xf>
    <xf numFmtId="0" fontId="15" fillId="0" borderId="0" xfId="0" applyFont="1" applyBorder="1" applyAlignment="1">
      <alignment horizontal="center" vertical="top" wrapText="1"/>
    </xf>
    <xf numFmtId="0" fontId="8" fillId="0" borderId="0" xfId="1" applyAlignment="1" applyProtection="1">
      <alignment horizontal="left" vertical="top" wrapText="1" indent="1"/>
    </xf>
    <xf numFmtId="0" fontId="9" fillId="0" borderId="0" xfId="0" applyFont="1" applyAlignment="1">
      <alignment horizontal="left" vertical="top" wrapText="1" indent="1"/>
    </xf>
    <xf numFmtId="0" fontId="10" fillId="0" borderId="0" xfId="0" applyFont="1" applyAlignment="1">
      <alignment horizontal="left" vertical="top" wrapText="1" indent="1"/>
    </xf>
    <xf numFmtId="0" fontId="8" fillId="0" borderId="0" xfId="1" applyFont="1" applyAlignment="1" applyProtection="1">
      <alignment horizontal="left" vertical="top" wrapText="1" indent="1"/>
    </xf>
    <xf numFmtId="0" fontId="2" fillId="0" borderId="0" xfId="0" applyFont="1" applyAlignment="1">
      <alignment horizontal="left" vertical="top" wrapText="1" indent="1"/>
    </xf>
    <xf numFmtId="0" fontId="12" fillId="0" borderId="0" xfId="0" applyFont="1" applyAlignment="1">
      <alignment horizontal="left" vertical="top" wrapText="1" indent="1"/>
    </xf>
    <xf numFmtId="0" fontId="2" fillId="0" borderId="0" xfId="0" applyFont="1" applyFill="1"/>
    <xf numFmtId="0" fontId="11" fillId="3" borderId="0" xfId="0" applyFont="1" applyFill="1"/>
    <xf numFmtId="0" fontId="11" fillId="3" borderId="0" xfId="0" applyFont="1" applyFill="1" applyAlignment="1">
      <alignment horizontal="center"/>
    </xf>
    <xf numFmtId="0" fontId="11" fillId="3" borderId="0" xfId="0" applyFont="1" applyFill="1" applyAlignment="1">
      <alignment wrapText="1"/>
    </xf>
    <xf numFmtId="16" fontId="10" fillId="0" borderId="0" xfId="0" quotePrefix="1" applyNumberFormat="1" applyFont="1" applyAlignment="1">
      <alignment vertical="top" wrapText="1"/>
    </xf>
    <xf numFmtId="17" fontId="10" fillId="0" borderId="0" xfId="0" quotePrefix="1" applyNumberFormat="1" applyFont="1" applyAlignment="1">
      <alignment vertical="top" wrapText="1"/>
    </xf>
    <xf numFmtId="0" fontId="5" fillId="3" borderId="0" xfId="0" applyFont="1" applyFill="1" applyAlignment="1">
      <alignment horizontal="left"/>
    </xf>
    <xf numFmtId="0" fontId="11" fillId="0" borderId="0" xfId="0" applyFont="1" applyAlignment="1">
      <alignment horizontal="left" wrapText="1" indent="2"/>
    </xf>
    <xf numFmtId="0" fontId="8" fillId="0" borderId="0" xfId="1" applyAlignment="1" applyProtection="1">
      <alignment horizontal="left" wrapText="1" indent="1"/>
    </xf>
    <xf numFmtId="0" fontId="2" fillId="0" borderId="0" xfId="0" applyNumberFormat="1" applyFont="1" applyAlignment="1">
      <alignment horizontal="left" indent="2"/>
    </xf>
    <xf numFmtId="0" fontId="8" fillId="0" borderId="0" xfId="1" applyNumberFormat="1" applyAlignment="1" applyProtection="1">
      <alignment horizontal="left" indent="2"/>
    </xf>
    <xf numFmtId="0" fontId="8" fillId="0" borderId="0" xfId="1" applyNumberFormat="1" applyFont="1" applyAlignment="1" applyProtection="1">
      <alignment horizontal="left" indent="2"/>
    </xf>
    <xf numFmtId="0" fontId="11" fillId="3" borderId="0" xfId="0" applyFont="1" applyFill="1" applyAlignment="1">
      <alignment horizontal="left" wrapText="1" indent="1"/>
    </xf>
    <xf numFmtId="0" fontId="5" fillId="3" borderId="0" xfId="0" applyFont="1" applyFill="1" applyAlignment="1">
      <alignment horizontal="left" indent="1"/>
    </xf>
    <xf numFmtId="0" fontId="6" fillId="4" borderId="0" xfId="0" applyFont="1" applyFill="1" applyBorder="1" applyAlignment="1">
      <alignment horizontal="center" wrapText="1"/>
    </xf>
    <xf numFmtId="0" fontId="6" fillId="2" borderId="0" xfId="0" applyFont="1" applyFill="1" applyBorder="1" applyAlignment="1">
      <alignment horizontal="center" wrapText="1"/>
    </xf>
    <xf numFmtId="0" fontId="6" fillId="3" borderId="0" xfId="0" applyFont="1" applyFill="1" applyBorder="1" applyAlignment="1">
      <alignment horizontal="center" wrapText="1"/>
    </xf>
    <xf numFmtId="0" fontId="6" fillId="6" borderId="0" xfId="0" applyFont="1" applyFill="1" applyBorder="1" applyAlignment="1">
      <alignment horizontal="center" wrapText="1"/>
    </xf>
    <xf numFmtId="0" fontId="0" fillId="0" borderId="0" xfId="0" applyAlignment="1">
      <alignment horizontal="left" indent="1"/>
    </xf>
    <xf numFmtId="0" fontId="8" fillId="0" borderId="0" xfId="1" applyFill="1" applyBorder="1" applyAlignment="1" applyProtection="1">
      <alignment horizontal="left" indent="1"/>
    </xf>
    <xf numFmtId="0" fontId="2" fillId="0" borderId="0" xfId="0" applyFont="1" applyBorder="1" applyAlignment="1">
      <alignment horizontal="left"/>
    </xf>
    <xf numFmtId="16" fontId="11" fillId="0" borderId="0" xfId="0" quotePrefix="1" applyNumberFormat="1" applyFont="1"/>
    <xf numFmtId="0" fontId="2" fillId="0" borderId="0" xfId="0" quotePrefix="1" applyFont="1" applyFill="1" applyBorder="1" applyAlignment="1">
      <alignment horizontal="center" wrapText="1"/>
    </xf>
    <xf numFmtId="0" fontId="2" fillId="0" borderId="0" xfId="0" applyFont="1" applyFill="1" applyBorder="1" applyAlignment="1">
      <alignment horizontal="left"/>
    </xf>
    <xf numFmtId="49" fontId="13" fillId="0" borderId="0" xfId="0" applyNumberFormat="1" applyFont="1" applyBorder="1" applyAlignment="1">
      <alignment horizontal="center" wrapText="1"/>
    </xf>
    <xf numFmtId="49" fontId="13" fillId="0" borderId="0" xfId="0" applyNumberFormat="1" applyFont="1" applyAlignment="1">
      <alignment horizontal="left"/>
    </xf>
    <xf numFmtId="0" fontId="6" fillId="7" borderId="0" xfId="0" applyFont="1" applyFill="1" applyBorder="1" applyAlignment="1">
      <alignment wrapText="1"/>
    </xf>
    <xf numFmtId="0" fontId="2" fillId="8" borderId="0" xfId="0" applyFont="1" applyFill="1" applyBorder="1" applyAlignment="1">
      <alignment wrapText="1"/>
    </xf>
    <xf numFmtId="0" fontId="2" fillId="9" borderId="0" xfId="0" applyFont="1" applyFill="1" applyBorder="1" applyAlignment="1">
      <alignment wrapText="1"/>
    </xf>
    <xf numFmtId="0" fontId="2" fillId="10" borderId="0" xfId="0" applyFont="1" applyFill="1" applyBorder="1" applyAlignment="1">
      <alignment wrapText="1"/>
    </xf>
    <xf numFmtId="0" fontId="2" fillId="8" borderId="0" xfId="0" quotePrefix="1" applyFont="1" applyFill="1" applyBorder="1" applyAlignment="1">
      <alignment horizontal="center" wrapText="1"/>
    </xf>
    <xf numFmtId="0" fontId="6" fillId="11" borderId="0" xfId="0" applyFont="1" applyFill="1" applyBorder="1" applyAlignment="1">
      <alignment wrapText="1"/>
    </xf>
    <xf numFmtId="0" fontId="2" fillId="12" borderId="0" xfId="0" applyFont="1" applyFill="1" applyBorder="1" applyAlignment="1">
      <alignment wrapText="1"/>
    </xf>
    <xf numFmtId="0" fontId="2" fillId="13" borderId="0" xfId="0" applyFont="1" applyFill="1" applyBorder="1" applyAlignment="1">
      <alignment wrapText="1"/>
    </xf>
    <xf numFmtId="0" fontId="2" fillId="8" borderId="0" xfId="0" applyFont="1" applyFill="1" applyBorder="1" applyAlignment="1">
      <alignment horizontal="center" wrapText="1"/>
    </xf>
    <xf numFmtId="0" fontId="2" fillId="14" borderId="0" xfId="0" applyFont="1" applyFill="1" applyBorder="1" applyAlignment="1">
      <alignment wrapText="1"/>
    </xf>
    <xf numFmtId="0" fontId="6" fillId="5" borderId="0" xfId="0" applyFont="1" applyFill="1" applyBorder="1" applyAlignment="1">
      <alignment horizontal="center"/>
    </xf>
    <xf numFmtId="0" fontId="6" fillId="6" borderId="0" xfId="0" applyFont="1" applyFill="1" applyBorder="1" applyAlignment="1">
      <alignment horizontal="center"/>
    </xf>
    <xf numFmtId="0" fontId="8" fillId="0" borderId="0" xfId="1" applyFont="1" applyFill="1" applyBorder="1" applyAlignment="1" applyProtection="1">
      <alignment horizontal="left" indent="1"/>
    </xf>
    <xf numFmtId="0" fontId="2" fillId="0" borderId="0" xfId="0" applyFont="1" applyFill="1" applyBorder="1" applyAlignment="1">
      <alignment horizontal="left" vertical="top" indent="1"/>
    </xf>
    <xf numFmtId="0" fontId="11" fillId="0" borderId="0" xfId="0" applyFont="1" applyAlignment="1">
      <alignment horizontal="center" vertical="top"/>
    </xf>
    <xf numFmtId="0" fontId="11" fillId="0" borderId="0" xfId="0" applyFont="1" applyAlignment="1">
      <alignment vertical="top"/>
    </xf>
    <xf numFmtId="0" fontId="6" fillId="0" borderId="0" xfId="0" applyFont="1" applyFill="1" applyBorder="1" applyAlignment="1">
      <alignment wrapText="1"/>
    </xf>
    <xf numFmtId="0" fontId="2" fillId="3" borderId="0" xfId="0" applyFont="1" applyFill="1" applyBorder="1"/>
    <xf numFmtId="0" fontId="2" fillId="3" borderId="0" xfId="0" applyFont="1" applyFill="1" applyBorder="1" applyAlignment="1">
      <alignment horizontal="center"/>
    </xf>
    <xf numFmtId="0" fontId="2" fillId="3" borderId="0" xfId="0" applyFont="1" applyFill="1" applyBorder="1" applyAlignment="1">
      <alignment wrapText="1"/>
    </xf>
    <xf numFmtId="0" fontId="2" fillId="3" borderId="0" xfId="0" applyFont="1" applyFill="1" applyBorder="1" applyAlignment="1">
      <alignment horizontal="center" wrapText="1"/>
    </xf>
    <xf numFmtId="0" fontId="6" fillId="3" borderId="0" xfId="0" applyFont="1" applyFill="1" applyBorder="1" applyAlignment="1">
      <alignment horizontal="right"/>
    </xf>
    <xf numFmtId="2" fontId="6" fillId="4" borderId="0" xfId="0" applyNumberFormat="1" applyFont="1" applyFill="1" applyBorder="1" applyAlignment="1">
      <alignment horizontal="center" wrapText="1"/>
    </xf>
    <xf numFmtId="2" fontId="2" fillId="2" borderId="0" xfId="0" applyNumberFormat="1" applyFont="1" applyFill="1" applyBorder="1" applyAlignment="1">
      <alignment horizontal="center" wrapText="1"/>
    </xf>
    <xf numFmtId="2" fontId="2" fillId="0" borderId="0" xfId="0" quotePrefix="1" applyNumberFormat="1" applyFont="1" applyFill="1" applyBorder="1" applyAlignment="1">
      <alignment horizontal="center" wrapText="1"/>
    </xf>
    <xf numFmtId="2" fontId="2" fillId="0" borderId="0" xfId="0" applyNumberFormat="1" applyFont="1" applyFill="1" applyBorder="1" applyAlignment="1">
      <alignment horizontal="center" wrapText="1"/>
    </xf>
    <xf numFmtId="2" fontId="5" fillId="2" borderId="0" xfId="0" applyNumberFormat="1" applyFont="1" applyFill="1" applyBorder="1" applyAlignment="1">
      <alignment horizontal="center" wrapText="1"/>
    </xf>
    <xf numFmtId="2" fontId="6" fillId="5" borderId="0" xfId="0" applyNumberFormat="1" applyFont="1" applyFill="1" applyBorder="1" applyAlignment="1">
      <alignment horizontal="center" wrapText="1"/>
    </xf>
    <xf numFmtId="2" fontId="2" fillId="0" borderId="0" xfId="0" applyNumberFormat="1" applyFont="1" applyBorder="1" applyAlignment="1">
      <alignment horizontal="center" wrapText="1"/>
    </xf>
    <xf numFmtId="2" fontId="6" fillId="2" borderId="0" xfId="0" applyNumberFormat="1" applyFont="1" applyFill="1" applyBorder="1" applyAlignment="1">
      <alignment horizontal="center" wrapText="1"/>
    </xf>
    <xf numFmtId="2" fontId="2" fillId="4" borderId="0" xfId="0" applyNumberFormat="1" applyFont="1" applyFill="1" applyBorder="1" applyAlignment="1">
      <alignment horizontal="center" wrapText="1"/>
    </xf>
    <xf numFmtId="2" fontId="6" fillId="3" borderId="0" xfId="0" applyNumberFormat="1" applyFont="1" applyFill="1" applyBorder="1" applyAlignment="1">
      <alignment horizontal="center" wrapText="1"/>
    </xf>
    <xf numFmtId="2" fontId="2" fillId="3" borderId="0" xfId="0" applyNumberFormat="1" applyFont="1" applyFill="1" applyBorder="1" applyAlignment="1">
      <alignment horizontal="center" wrapText="1"/>
    </xf>
    <xf numFmtId="2" fontId="6" fillId="6" borderId="0" xfId="0" applyNumberFormat="1" applyFont="1" applyFill="1" applyBorder="1" applyAlignment="1">
      <alignment horizontal="center" wrapText="1"/>
    </xf>
    <xf numFmtId="0" fontId="2" fillId="0" borderId="0" xfId="1" applyFont="1" applyFill="1" applyBorder="1" applyAlignment="1" applyProtection="1">
      <alignment horizontal="center" wrapText="1"/>
    </xf>
    <xf numFmtId="0" fontId="6" fillId="4" borderId="0" xfId="0" applyFont="1" applyFill="1" applyBorder="1" applyAlignment="1">
      <alignment horizontal="left"/>
    </xf>
    <xf numFmtId="0" fontId="2" fillId="2" borderId="0" xfId="0" applyFont="1" applyFill="1" applyBorder="1" applyAlignment="1">
      <alignment horizontal="left"/>
    </xf>
    <xf numFmtId="0" fontId="2" fillId="0" borderId="0" xfId="0" quotePrefix="1" applyFont="1" applyFill="1" applyBorder="1" applyAlignment="1">
      <alignment horizontal="left"/>
    </xf>
    <xf numFmtId="0" fontId="5" fillId="2" borderId="0" xfId="0" applyFont="1" applyFill="1" applyBorder="1" applyAlignment="1">
      <alignment horizontal="left"/>
    </xf>
    <xf numFmtId="0" fontId="6" fillId="5" borderId="0" xfId="0" applyFont="1" applyFill="1" applyBorder="1" applyAlignment="1">
      <alignment horizontal="left"/>
    </xf>
    <xf numFmtId="0" fontId="6" fillId="2" borderId="0" xfId="0" applyFont="1" applyFill="1" applyBorder="1" applyAlignment="1">
      <alignment horizontal="left"/>
    </xf>
    <xf numFmtId="0" fontId="2" fillId="4" borderId="0" xfId="0" applyFont="1" applyFill="1" applyBorder="1" applyAlignment="1">
      <alignment horizontal="left"/>
    </xf>
    <xf numFmtId="0" fontId="6" fillId="3" borderId="0" xfId="0" applyFont="1" applyFill="1" applyBorder="1" applyAlignment="1">
      <alignment horizontal="left"/>
    </xf>
    <xf numFmtId="0" fontId="2" fillId="3" borderId="0" xfId="0" applyFont="1" applyFill="1" applyBorder="1" applyAlignment="1">
      <alignment horizontal="left"/>
    </xf>
    <xf numFmtId="0" fontId="6" fillId="6" borderId="0" xfId="0" applyFont="1" applyFill="1" applyBorder="1" applyAlignment="1">
      <alignment horizontal="left"/>
    </xf>
    <xf numFmtId="0" fontId="2" fillId="0" borderId="0" xfId="1" applyFont="1" applyFill="1" applyBorder="1" applyAlignment="1" applyProtection="1">
      <alignment wrapText="1"/>
    </xf>
    <xf numFmtId="0" fontId="2" fillId="0" borderId="0" xfId="0" quotePrefix="1" applyFont="1" applyAlignment="1">
      <alignment horizontal="left" vertical="top" wrapText="1"/>
    </xf>
    <xf numFmtId="0" fontId="2" fillId="15" borderId="0" xfId="0" applyFont="1" applyFill="1"/>
    <xf numFmtId="49" fontId="2" fillId="0" borderId="0" xfId="0" applyNumberFormat="1" applyFont="1" applyFill="1" applyBorder="1" applyAlignment="1">
      <alignment horizontal="center"/>
    </xf>
    <xf numFmtId="0" fontId="7" fillId="2" borderId="0" xfId="0" applyFont="1" applyFill="1" applyBorder="1"/>
    <xf numFmtId="0" fontId="7" fillId="2" borderId="0" xfId="0" applyFont="1" applyFill="1" applyBorder="1" applyAlignment="1">
      <alignment horizontal="center"/>
    </xf>
    <xf numFmtId="0" fontId="19" fillId="2" borderId="0" xfId="0" applyFont="1" applyFill="1" applyBorder="1"/>
    <xf numFmtId="0" fontId="2" fillId="0" borderId="0" xfId="1" applyFont="1" applyFill="1" applyBorder="1" applyAlignment="1" applyProtection="1"/>
    <xf numFmtId="0" fontId="1" fillId="0" borderId="0" xfId="0" applyFont="1" applyFill="1" applyBorder="1" applyAlignment="1"/>
    <xf numFmtId="0" fontId="7" fillId="2" borderId="0" xfId="0" applyFont="1" applyFill="1" applyBorder="1" applyAlignment="1"/>
    <xf numFmtId="0" fontId="7" fillId="2" borderId="0" xfId="0" applyFont="1" applyFill="1" applyBorder="1" applyAlignment="1">
      <alignment horizontal="left" indent="2"/>
    </xf>
    <xf numFmtId="0" fontId="7" fillId="2" borderId="0" xfId="0" applyFont="1" applyFill="1" applyBorder="1" applyAlignment="1">
      <alignment wrapText="1"/>
    </xf>
    <xf numFmtId="0" fontId="19" fillId="2" borderId="0" xfId="0" applyFont="1" applyFill="1" applyBorder="1" applyAlignment="1">
      <alignment horizontal="center"/>
    </xf>
    <xf numFmtId="0" fontId="7" fillId="0" borderId="0" xfId="0" applyFont="1" applyFill="1" applyBorder="1" applyAlignment="1">
      <alignment horizontal="left"/>
    </xf>
    <xf numFmtId="0" fontId="2" fillId="0" borderId="0" xfId="0" applyFont="1" applyFill="1" applyAlignment="1">
      <alignment horizontal="left" indent="1"/>
    </xf>
    <xf numFmtId="0" fontId="2" fillId="0" borderId="0" xfId="0" applyNumberFormat="1" applyFont="1" applyFill="1" applyBorder="1" applyAlignment="1" applyProtection="1">
      <alignment horizontal="left"/>
    </xf>
    <xf numFmtId="0" fontId="7" fillId="0" borderId="0" xfId="0" quotePrefix="1" applyFont="1" applyFill="1" applyBorder="1" applyAlignment="1">
      <alignment horizontal="left"/>
    </xf>
    <xf numFmtId="0" fontId="7" fillId="8" borderId="0" xfId="0" applyFont="1" applyFill="1" applyBorder="1" applyAlignment="1">
      <alignment wrapText="1"/>
    </xf>
    <xf numFmtId="0" fontId="0" fillId="2" borderId="0" xfId="0" applyFill="1"/>
    <xf numFmtId="0" fontId="19" fillId="2" borderId="0" xfId="0" applyFont="1" applyFill="1" applyBorder="1" applyAlignment="1">
      <alignment wrapText="1"/>
    </xf>
    <xf numFmtId="0" fontId="19" fillId="2" borderId="0" xfId="0" applyFont="1" applyFill="1" applyBorder="1" applyAlignment="1">
      <alignment horizontal="center" wrapText="1"/>
    </xf>
    <xf numFmtId="2" fontId="19" fillId="2" borderId="0" xfId="0" applyNumberFormat="1" applyFont="1" applyFill="1" applyBorder="1" applyAlignment="1">
      <alignment horizontal="center" wrapText="1"/>
    </xf>
    <xf numFmtId="0" fontId="19" fillId="2" borderId="0" xfId="0" applyFont="1" applyFill="1" applyBorder="1" applyAlignment="1">
      <alignment horizontal="left"/>
    </xf>
    <xf numFmtId="2" fontId="1" fillId="2" borderId="0" xfId="0" applyNumberFormat="1" applyFont="1" applyFill="1" applyBorder="1" applyAlignment="1">
      <alignment horizontal="center" wrapText="1"/>
    </xf>
    <xf numFmtId="0" fontId="21" fillId="0" borderId="0" xfId="0" applyFont="1" applyAlignment="1">
      <alignment vertical="top" wrapText="1"/>
    </xf>
    <xf numFmtId="0" fontId="2" fillId="5" borderId="0" xfId="0" applyFont="1" applyFill="1" applyBorder="1"/>
    <xf numFmtId="0" fontId="2" fillId="5" borderId="0" xfId="0" applyFont="1" applyFill="1" applyBorder="1" applyAlignment="1">
      <alignment horizontal="center"/>
    </xf>
    <xf numFmtId="0" fontId="2" fillId="5" borderId="0" xfId="0" applyFont="1" applyFill="1" applyBorder="1" applyAlignment="1">
      <alignment wrapText="1"/>
    </xf>
    <xf numFmtId="0" fontId="2" fillId="5" borderId="0" xfId="0" applyFont="1" applyFill="1" applyBorder="1" applyAlignment="1">
      <alignment horizontal="center" wrapText="1"/>
    </xf>
    <xf numFmtId="2" fontId="2" fillId="5" borderId="0" xfId="0" applyNumberFormat="1" applyFont="1" applyFill="1" applyBorder="1" applyAlignment="1">
      <alignment horizontal="center" wrapText="1"/>
    </xf>
    <xf numFmtId="0" fontId="2" fillId="5" borderId="0" xfId="0" applyFont="1" applyFill="1" applyBorder="1" applyAlignment="1">
      <alignment horizontal="left"/>
    </xf>
    <xf numFmtId="0" fontId="1" fillId="2" borderId="0" xfId="0" applyFont="1" applyFill="1" applyBorder="1" applyAlignment="1">
      <alignment wrapText="1"/>
    </xf>
    <xf numFmtId="0" fontId="1" fillId="2" borderId="0" xfId="0" applyFont="1" applyFill="1" applyBorder="1" applyAlignment="1">
      <alignment horizontal="center" wrapText="1"/>
    </xf>
    <xf numFmtId="0" fontId="1" fillId="2" borderId="0" xfId="0" applyFont="1" applyFill="1" applyBorder="1" applyAlignment="1">
      <alignment horizontal="left"/>
    </xf>
    <xf numFmtId="0" fontId="24" fillId="5" borderId="0" xfId="0" applyFont="1" applyFill="1" applyBorder="1"/>
    <xf numFmtId="49" fontId="5" fillId="5" borderId="0" xfId="0" applyNumberFormat="1" applyFont="1" applyFill="1" applyBorder="1" applyAlignment="1">
      <alignment horizontal="right"/>
    </xf>
    <xf numFmtId="0" fontId="5" fillId="5" borderId="0" xfId="0" applyFont="1" applyFill="1" applyBorder="1" applyAlignment="1">
      <alignment horizontal="left" indent="1"/>
    </xf>
    <xf numFmtId="49" fontId="5" fillId="5" borderId="0" xfId="0" applyNumberFormat="1" applyFont="1" applyFill="1" applyBorder="1" applyAlignment="1">
      <alignment horizontal="left" indent="1"/>
    </xf>
    <xf numFmtId="0" fontId="2" fillId="0" borderId="0" xfId="1" applyFont="1" applyFill="1" applyBorder="1" applyAlignment="1" applyProtection="1">
      <alignment horizontal="center"/>
    </xf>
    <xf numFmtId="0" fontId="8" fillId="0" borderId="0" xfId="1" applyFill="1" applyBorder="1" applyAlignment="1" applyProtection="1">
      <alignment horizontal="center" wrapText="1"/>
    </xf>
    <xf numFmtId="0" fontId="22" fillId="0" borderId="0" xfId="1" applyFont="1" applyFill="1" applyBorder="1" applyAlignment="1" applyProtection="1">
      <alignment horizontal="center" wrapText="1"/>
    </xf>
    <xf numFmtId="0" fontId="2" fillId="0" borderId="0" xfId="0" applyFont="1" applyAlignment="1">
      <alignment horizontal="center"/>
    </xf>
    <xf numFmtId="0" fontId="2" fillId="0" borderId="0" xfId="0" applyFont="1" applyAlignment="1">
      <alignment wrapText="1"/>
    </xf>
    <xf numFmtId="0" fontId="11" fillId="15" borderId="1" xfId="0" applyFont="1" applyFill="1" applyBorder="1" applyAlignment="1">
      <alignment horizontal="center"/>
    </xf>
    <xf numFmtId="0" fontId="11" fillId="0" borderId="1" xfId="0" applyFont="1" applyBorder="1" applyAlignment="1">
      <alignment horizontal="center"/>
    </xf>
    <xf numFmtId="0" fontId="8" fillId="0" borderId="0" xfId="1" applyFill="1" applyBorder="1" applyAlignment="1" applyProtection="1">
      <alignment horizontal="left" wrapText="1"/>
    </xf>
    <xf numFmtId="0" fontId="8" fillId="0" borderId="0" xfId="1" applyAlignment="1" applyProtection="1"/>
    <xf numFmtId="0" fontId="30" fillId="0" borderId="2" xfId="0" applyFont="1" applyFill="1" applyBorder="1" applyAlignment="1"/>
    <xf numFmtId="0" fontId="30" fillId="0" borderId="3" xfId="0" applyFont="1" applyFill="1" applyBorder="1" applyAlignment="1">
      <alignment horizontal="center"/>
    </xf>
    <xf numFmtId="0" fontId="30" fillId="0" borderId="4" xfId="1" applyFont="1" applyFill="1" applyBorder="1" applyAlignment="1" applyProtection="1">
      <alignment wrapText="1"/>
    </xf>
    <xf numFmtId="0" fontId="30" fillId="0" borderId="5" xfId="0" applyFont="1" applyFill="1" applyBorder="1" applyAlignment="1"/>
    <xf numFmtId="0" fontId="30" fillId="0" borderId="0" xfId="0" applyFont="1" applyFill="1" applyBorder="1" applyAlignment="1">
      <alignment horizontal="center"/>
    </xf>
    <xf numFmtId="0" fontId="30" fillId="0" borderId="6" xfId="1" applyFont="1" applyFill="1" applyBorder="1" applyAlignment="1" applyProtection="1">
      <alignment wrapText="1"/>
    </xf>
    <xf numFmtId="0" fontId="31" fillId="0" borderId="6" xfId="1" applyFont="1" applyFill="1" applyBorder="1" applyAlignment="1" applyProtection="1"/>
    <xf numFmtId="0" fontId="30"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0" fillId="0" borderId="7" xfId="0" applyFont="1" applyFill="1" applyBorder="1" applyAlignment="1"/>
    <xf numFmtId="0" fontId="30" fillId="0" borderId="8" xfId="0" applyFont="1" applyFill="1" applyBorder="1" applyAlignment="1">
      <alignment horizontal="center"/>
    </xf>
    <xf numFmtId="0" fontId="31" fillId="0" borderId="9" xfId="1" applyFont="1" applyFill="1" applyBorder="1" applyAlignment="1" applyProtection="1"/>
    <xf numFmtId="0" fontId="30" fillId="0" borderId="0" xfId="0" applyFont="1" applyFill="1" applyBorder="1" applyAlignment="1"/>
    <xf numFmtId="0" fontId="31" fillId="0" borderId="0" xfId="1" applyFont="1" applyFill="1" applyAlignment="1" applyProtection="1"/>
    <xf numFmtId="0" fontId="4" fillId="0" borderId="0" xfId="0" applyFont="1" applyFill="1"/>
    <xf numFmtId="0" fontId="14" fillId="0" borderId="0" xfId="1" applyFont="1" applyFill="1" applyBorder="1" applyAlignment="1" applyProtection="1">
      <alignment wrapText="1"/>
    </xf>
    <xf numFmtId="16" fontId="14" fillId="0" borderId="0" xfId="1" quotePrefix="1" applyNumberFormat="1" applyFont="1" applyFill="1" applyBorder="1" applyAlignment="1" applyProtection="1">
      <alignment wrapText="1"/>
    </xf>
    <xf numFmtId="0" fontId="2" fillId="0" borderId="0" xfId="0" applyNumberFormat="1" applyFont="1" applyFill="1" applyBorder="1" applyAlignment="1">
      <alignment horizontal="left" indent="1"/>
    </xf>
    <xf numFmtId="13" fontId="2" fillId="0" borderId="0" xfId="0" applyNumberFormat="1" applyFont="1" applyFill="1" applyBorder="1"/>
    <xf numFmtId="0" fontId="8" fillId="0" borderId="0" xfId="1" applyFill="1" applyAlignment="1" applyProtection="1">
      <alignment wrapText="1"/>
    </xf>
    <xf numFmtId="0" fontId="8" fillId="0" borderId="0" xfId="1" applyFill="1" applyAlignment="1" applyProtection="1"/>
    <xf numFmtId="0" fontId="2" fillId="0" borderId="0" xfId="0" applyFont="1" applyFill="1" applyBorder="1" applyAlignment="1">
      <alignment horizontal="left" vertical="center"/>
    </xf>
    <xf numFmtId="0" fontId="2" fillId="0" borderId="0" xfId="0" applyFont="1" applyFill="1" applyBorder="1" applyAlignment="1">
      <alignment horizontal="center" vertical="center"/>
    </xf>
    <xf numFmtId="49" fontId="2" fillId="0" borderId="0" xfId="0" applyNumberFormat="1" applyFont="1" applyAlignment="1">
      <alignment horizontal="left" vertical="center" wrapText="1"/>
    </xf>
    <xf numFmtId="49" fontId="11" fillId="0" borderId="0" xfId="0" applyNumberFormat="1" applyFont="1" applyAlignment="1">
      <alignment horizontal="left" vertical="center" wrapText="1"/>
    </xf>
    <xf numFmtId="49" fontId="10" fillId="0" borderId="0" xfId="0" applyNumberFormat="1" applyFont="1" applyAlignment="1">
      <alignment horizontal="left" vertical="center" wrapText="1"/>
    </xf>
    <xf numFmtId="0" fontId="2" fillId="0" borderId="0" xfId="1" applyFont="1" applyFill="1" applyBorder="1" applyAlignment="1" applyProtection="1">
      <alignment horizontal="left" wrapText="1"/>
    </xf>
    <xf numFmtId="49" fontId="2" fillId="0" borderId="0" xfId="1" applyNumberFormat="1" applyFont="1" applyFill="1" applyAlignment="1" applyProtection="1">
      <alignment horizontal="left"/>
    </xf>
    <xf numFmtId="0" fontId="2" fillId="0" borderId="0" xfId="1" applyFont="1" applyFill="1" applyAlignment="1" applyProtection="1">
      <alignment horizontal="left" wrapText="1"/>
    </xf>
    <xf numFmtId="0" fontId="2" fillId="0" borderId="0" xfId="0" applyFont="1" applyFill="1" applyAlignment="1">
      <alignment horizontal="left"/>
    </xf>
    <xf numFmtId="0" fontId="30" fillId="0" borderId="0" xfId="0" applyFont="1" applyFill="1" applyBorder="1" applyAlignment="1">
      <alignment wrapText="1"/>
    </xf>
    <xf numFmtId="49" fontId="2" fillId="0" borderId="0" xfId="0" applyNumberFormat="1" applyFont="1" applyAlignment="1">
      <alignment wrapText="1"/>
    </xf>
    <xf numFmtId="0" fontId="33" fillId="0" borderId="0" xfId="0" applyFont="1" applyBorder="1" applyAlignment="1">
      <alignment vertical="top" wrapText="1"/>
    </xf>
    <xf numFmtId="49" fontId="33" fillId="0" borderId="0" xfId="0" applyNumberFormat="1" applyFont="1" applyBorder="1" applyAlignment="1">
      <alignment vertical="top" wrapText="1"/>
    </xf>
    <xf numFmtId="49" fontId="33" fillId="0" borderId="0" xfId="0" applyNumberFormat="1" applyFont="1" applyBorder="1" applyAlignment="1">
      <alignment horizontal="center" vertical="top" wrapText="1"/>
    </xf>
    <xf numFmtId="0" fontId="11" fillId="0" borderId="0" xfId="0" applyFont="1" applyFill="1" applyAlignment="1">
      <alignment horizontal="center"/>
    </xf>
    <xf numFmtId="1" fontId="2" fillId="0" borderId="0" xfId="0" applyNumberFormat="1" applyFont="1" applyFill="1" applyBorder="1"/>
    <xf numFmtId="0" fontId="5" fillId="16" borderId="0" xfId="0" applyFont="1" applyFill="1" applyBorder="1" applyAlignment="1">
      <alignment horizontal="center" wrapText="1"/>
    </xf>
    <xf numFmtId="0" fontId="5" fillId="16" borderId="0" xfId="0" applyFont="1" applyFill="1" applyBorder="1" applyAlignment="1">
      <alignment horizontal="left"/>
    </xf>
    <xf numFmtId="0" fontId="5" fillId="16" borderId="0" xfId="0" applyFont="1" applyFill="1" applyBorder="1" applyAlignment="1">
      <alignment horizontal="left" wrapText="1"/>
    </xf>
    <xf numFmtId="2" fontId="5" fillId="16" borderId="0" xfId="0" applyNumberFormat="1" applyFont="1" applyFill="1" applyBorder="1" applyAlignment="1">
      <alignment horizontal="center" wrapText="1"/>
    </xf>
    <xf numFmtId="0" fontId="5" fillId="16" borderId="0" xfId="0" applyFont="1" applyFill="1" applyBorder="1" applyAlignment="1">
      <alignment horizontal="center"/>
    </xf>
    <xf numFmtId="0" fontId="4" fillId="16" borderId="0" xfId="0" applyFont="1" applyFill="1" applyAlignment="1"/>
    <xf numFmtId="0" fontId="23" fillId="16" borderId="0" xfId="0" applyFont="1" applyFill="1" applyBorder="1" applyAlignment="1">
      <alignment horizontal="left" wrapText="1"/>
    </xf>
    <xf numFmtId="0" fontId="23" fillId="16" borderId="0" xfId="0" applyFont="1" applyFill="1" applyBorder="1" applyAlignment="1">
      <alignment horizontal="center" wrapText="1"/>
    </xf>
    <xf numFmtId="0" fontId="23" fillId="16" borderId="0" xfId="0" applyFont="1" applyFill="1" applyBorder="1" applyAlignment="1">
      <alignment horizontal="center"/>
    </xf>
    <xf numFmtId="2" fontId="16" fillId="16" borderId="0" xfId="0" applyNumberFormat="1" applyFont="1" applyFill="1" applyBorder="1" applyAlignment="1">
      <alignment horizontal="center" wrapText="1"/>
    </xf>
    <xf numFmtId="0" fontId="22" fillId="0" borderId="0" xfId="1" applyFont="1" applyFill="1" applyBorder="1" applyAlignment="1" applyProtection="1"/>
    <xf numFmtId="0" fontId="18" fillId="0" borderId="0" xfId="1" applyFont="1" applyFill="1" applyBorder="1" applyAlignment="1" applyProtection="1"/>
    <xf numFmtId="0" fontId="22" fillId="0" borderId="0" xfId="1" quotePrefix="1" applyFont="1" applyFill="1" applyBorder="1" applyAlignment="1" applyProtection="1">
      <alignment horizontal="center" wrapText="1"/>
    </xf>
    <xf numFmtId="0" fontId="34" fillId="17" borderId="10" xfId="0" applyFont="1" applyFill="1" applyBorder="1" applyAlignment="1">
      <alignment vertical="top" wrapText="1"/>
    </xf>
    <xf numFmtId="0" fontId="34" fillId="17" borderId="11" xfId="0" applyFont="1" applyFill="1" applyBorder="1" applyAlignment="1">
      <alignment vertical="top" wrapText="1"/>
    </xf>
    <xf numFmtId="0" fontId="11" fillId="0" borderId="0" xfId="0" applyFont="1" applyAlignment="1">
      <alignment horizontal="right" indent="2"/>
    </xf>
    <xf numFmtId="1" fontId="33" fillId="0" borderId="0" xfId="0" applyNumberFormat="1" applyFont="1" applyBorder="1" applyAlignment="1">
      <alignment horizontal="right" wrapText="1" indent="2"/>
    </xf>
    <xf numFmtId="0" fontId="8" fillId="0" borderId="0" xfId="1" applyFill="1" applyBorder="1" applyAlignment="1" applyProtection="1">
      <alignment horizontal="left" vertical="center"/>
    </xf>
    <xf numFmtId="0" fontId="2" fillId="0" borderId="0" xfId="0" applyNumberFormat="1" applyFont="1" applyFill="1" applyBorder="1" applyAlignment="1">
      <alignment horizontal="center"/>
    </xf>
    <xf numFmtId="0" fontId="8" fillId="0" borderId="0" xfId="1" applyFill="1" applyBorder="1" applyAlignment="1" applyProtection="1"/>
    <xf numFmtId="0" fontId="9" fillId="0" borderId="0" xfId="0" applyNumberFormat="1" applyFont="1" applyAlignment="1">
      <alignment wrapText="1"/>
    </xf>
    <xf numFmtId="0" fontId="2" fillId="0" borderId="0" xfId="0" applyNumberFormat="1" applyFont="1" applyAlignment="1">
      <alignment wrapText="1"/>
    </xf>
    <xf numFmtId="0" fontId="25" fillId="0" borderId="0" xfId="0" applyFont="1" applyAlignment="1">
      <alignment vertical="top" wrapText="1"/>
    </xf>
    <xf numFmtId="0" fontId="1" fillId="0" borderId="0" xfId="0" applyFont="1" applyAlignment="1">
      <alignment wrapText="1"/>
    </xf>
    <xf numFmtId="0" fontId="2" fillId="0" borderId="0" xfId="0" applyFont="1" applyFill="1" applyBorder="1" applyAlignment="1">
      <alignment horizontal="left" vertical="center" indent="1"/>
    </xf>
    <xf numFmtId="16" fontId="8" fillId="0" borderId="0" xfId="1" applyNumberFormat="1" applyFill="1" applyBorder="1" applyAlignment="1" applyProtection="1">
      <alignment wrapText="1"/>
    </xf>
    <xf numFmtId="49" fontId="2" fillId="0" borderId="0" xfId="0" applyNumberFormat="1" applyFont="1" applyAlignment="1" applyProtection="1">
      <alignment horizontal="center"/>
      <protection locked="0"/>
    </xf>
    <xf numFmtId="49" fontId="11" fillId="0" borderId="0" xfId="0" applyNumberFormat="1" applyFont="1" applyAlignment="1" applyProtection="1">
      <alignment horizontal="center"/>
      <protection locked="0"/>
    </xf>
    <xf numFmtId="0" fontId="2" fillId="0" borderId="0" xfId="0" applyFont="1" applyFill="1" applyBorder="1" applyAlignment="1">
      <alignment vertical="top"/>
    </xf>
    <xf numFmtId="0" fontId="2" fillId="0" borderId="0" xfId="0" applyFont="1" applyFill="1" applyBorder="1" applyAlignment="1">
      <alignment horizontal="center" vertical="top"/>
    </xf>
    <xf numFmtId="0" fontId="8" fillId="0" borderId="0" xfId="1" applyFill="1" applyBorder="1" applyAlignment="1" applyProtection="1">
      <alignment vertical="top"/>
    </xf>
    <xf numFmtId="16" fontId="10" fillId="0" borderId="0" xfId="0" quotePrefix="1" applyNumberFormat="1" applyFont="1" applyFill="1" applyBorder="1" applyAlignment="1">
      <alignment vertical="top"/>
    </xf>
    <xf numFmtId="0" fontId="10" fillId="0" borderId="0" xfId="0" applyFont="1" applyFill="1" applyBorder="1" applyAlignment="1">
      <alignment vertical="top"/>
    </xf>
    <xf numFmtId="17" fontId="10" fillId="0" borderId="0" xfId="0" applyNumberFormat="1" applyFont="1" applyAlignment="1">
      <alignment vertical="top" wrapText="1"/>
    </xf>
    <xf numFmtId="0" fontId="9" fillId="0" borderId="0" xfId="0" applyFont="1" applyAlignment="1">
      <alignment horizontal="left" wrapText="1" indent="1"/>
    </xf>
    <xf numFmtId="16" fontId="10" fillId="0" borderId="0" xfId="0" applyNumberFormat="1" applyFont="1" applyAlignment="1">
      <alignment vertical="top" wrapText="1"/>
    </xf>
    <xf numFmtId="1" fontId="2" fillId="0" borderId="0" xfId="0" applyNumberFormat="1" applyFont="1" applyFill="1" applyBorder="1" applyAlignment="1">
      <alignment horizontal="right"/>
    </xf>
    <xf numFmtId="0" fontId="2" fillId="0" borderId="0" xfId="0" quotePrefix="1" applyFont="1" applyFill="1" applyBorder="1" applyAlignment="1"/>
    <xf numFmtId="0" fontId="8" fillId="0" borderId="0" xfId="1" applyFont="1" applyAlignment="1" applyProtection="1">
      <alignment horizontal="left" wrapText="1" indent="1"/>
    </xf>
    <xf numFmtId="0" fontId="11" fillId="15" borderId="12" xfId="0" applyFont="1" applyFill="1" applyBorder="1" applyAlignment="1">
      <alignment horizontal="center"/>
    </xf>
    <xf numFmtId="0" fontId="35" fillId="0" borderId="0" xfId="0" applyFont="1" applyFill="1" applyBorder="1" applyAlignment="1" applyProtection="1">
      <alignment horizontal="center"/>
      <protection locked="0"/>
    </xf>
    <xf numFmtId="0" fontId="1" fillId="0" borderId="0" xfId="0" applyFont="1" applyFill="1" applyBorder="1" applyAlignment="1">
      <alignment horizontal="left" indent="2"/>
    </xf>
    <xf numFmtId="0" fontId="10" fillId="0" borderId="0" xfId="0" applyFont="1" applyAlignment="1">
      <alignment horizontal="left" wrapText="1" indent="1"/>
    </xf>
    <xf numFmtId="0" fontId="9" fillId="0" borderId="0" xfId="0" applyNumberFormat="1" applyFont="1" applyAlignment="1">
      <alignment horizontal="left" wrapText="1" indent="1"/>
    </xf>
    <xf numFmtId="0" fontId="10" fillId="0" borderId="0" xfId="0" applyNumberFormat="1" applyFont="1" applyAlignment="1">
      <alignment horizontal="left" wrapText="1" indent="1"/>
    </xf>
    <xf numFmtId="0" fontId="0" fillId="0" borderId="0" xfId="0" applyNumberFormat="1" applyAlignment="1">
      <alignment horizontal="left" indent="1"/>
    </xf>
    <xf numFmtId="0" fontId="11" fillId="0" borderId="0" xfId="0" applyNumberFormat="1" applyFont="1" applyAlignment="1">
      <alignment horizontal="left" indent="1"/>
    </xf>
    <xf numFmtId="49" fontId="13" fillId="0" borderId="0" xfId="0" applyNumberFormat="1" applyFont="1" applyAlignment="1">
      <alignment horizontal="left" wrapText="1" indent="1"/>
    </xf>
    <xf numFmtId="0" fontId="33" fillId="0" borderId="0" xfId="0" applyFont="1" applyBorder="1" applyAlignment="1">
      <alignment horizontal="left" wrapText="1" indent="1"/>
    </xf>
    <xf numFmtId="0" fontId="11" fillId="0" borderId="0" xfId="0" applyFont="1" applyFill="1"/>
    <xf numFmtId="0" fontId="2" fillId="0" borderId="0" xfId="1" applyFont="1" applyFill="1" applyBorder="1" applyAlignment="1" applyProtection="1">
      <alignment horizontal="left"/>
    </xf>
    <xf numFmtId="49" fontId="11" fillId="0" borderId="0" xfId="0" applyNumberFormat="1" applyFont="1" applyAlignment="1">
      <alignment horizontal="left" wrapText="1" indent="1"/>
    </xf>
    <xf numFmtId="49" fontId="10" fillId="0" borderId="0" xfId="0" applyNumberFormat="1" applyFont="1" applyAlignment="1">
      <alignment vertical="top" wrapText="1"/>
    </xf>
    <xf numFmtId="49" fontId="2" fillId="0" borderId="0" xfId="0" applyNumberFormat="1" applyFont="1" applyAlignment="1">
      <alignment horizontal="left" wrapText="1"/>
    </xf>
    <xf numFmtId="0" fontId="8" fillId="0" borderId="0" xfId="1" applyFill="1" applyAlignment="1" applyProtection="1">
      <alignment horizontal="left"/>
    </xf>
    <xf numFmtId="0" fontId="8" fillId="0" borderId="0" xfId="1" applyFill="1" applyBorder="1" applyAlignment="1" applyProtection="1">
      <alignment horizontal="left"/>
    </xf>
    <xf numFmtId="49" fontId="2" fillId="0" borderId="0" xfId="0" applyNumberFormat="1" applyFont="1" applyAlignment="1">
      <alignment horizontal="left" wrapText="1" indent="3"/>
    </xf>
    <xf numFmtId="49" fontId="2" fillId="0" borderId="0" xfId="0" applyNumberFormat="1" applyFont="1" applyAlignment="1">
      <alignment horizontal="left" indent="1"/>
    </xf>
    <xf numFmtId="49" fontId="8" fillId="0" borderId="0" xfId="1" applyNumberFormat="1" applyAlignment="1" applyProtection="1">
      <alignment horizontal="left" indent="1"/>
    </xf>
    <xf numFmtId="0" fontId="33" fillId="0" borderId="0" xfId="0" applyFont="1" applyAlignment="1">
      <alignment vertical="center"/>
    </xf>
    <xf numFmtId="0" fontId="33" fillId="0" borderId="0" xfId="0" applyFont="1" applyAlignment="1">
      <alignment vertical="center" wrapText="1"/>
    </xf>
    <xf numFmtId="49" fontId="2" fillId="0" borderId="0" xfId="0" applyNumberFormat="1" applyFont="1" applyFill="1" applyBorder="1" applyAlignment="1">
      <alignment wrapText="1"/>
    </xf>
    <xf numFmtId="49" fontId="8" fillId="0" borderId="0" xfId="1" applyNumberFormat="1" applyFill="1" applyBorder="1" applyAlignment="1" applyProtection="1">
      <alignment wrapText="1"/>
    </xf>
    <xf numFmtId="49" fontId="8" fillId="0" borderId="0" xfId="1" applyNumberFormat="1" applyAlignment="1" applyProtection="1">
      <alignment vertical="top" wrapText="1"/>
    </xf>
    <xf numFmtId="49" fontId="2" fillId="0" borderId="0" xfId="1" applyNumberFormat="1" applyFont="1" applyFill="1" applyBorder="1" applyAlignment="1" applyProtection="1">
      <alignment wrapText="1" readingOrder="1"/>
    </xf>
    <xf numFmtId="0" fontId="0" fillId="0" borderId="0" xfId="0" applyAlignment="1">
      <alignment horizontal="left" wrapText="1"/>
    </xf>
    <xf numFmtId="0" fontId="33" fillId="0" borderId="0" xfId="0" applyFont="1"/>
    <xf numFmtId="0" fontId="34" fillId="0" borderId="0" xfId="0" applyFont="1" applyFill="1" applyBorder="1" applyAlignment="1">
      <alignment vertical="top" wrapText="1"/>
    </xf>
    <xf numFmtId="0" fontId="6" fillId="0" borderId="0" xfId="0" applyFont="1" applyFill="1" applyAlignment="1">
      <alignment horizontal="center"/>
    </xf>
    <xf numFmtId="0" fontId="1" fillId="0" borderId="0" xfId="0" applyFont="1" applyFill="1" applyBorder="1" applyAlignment="1">
      <alignment vertical="top" wrapText="1"/>
    </xf>
    <xf numFmtId="0" fontId="1" fillId="0" borderId="0" xfId="0" applyFont="1" applyFill="1" applyBorder="1" applyAlignment="1">
      <alignment horizontal="left" wrapText="1" indent="1"/>
    </xf>
    <xf numFmtId="0" fontId="34" fillId="0" borderId="0" xfId="0" applyFont="1" applyFill="1" applyBorder="1" applyAlignment="1">
      <alignment horizontal="left" wrapText="1" indent="1"/>
    </xf>
    <xf numFmtId="0" fontId="8" fillId="0" borderId="0" xfId="1" applyFill="1" applyBorder="1" applyAlignment="1" applyProtection="1">
      <alignment horizontal="left" wrapText="1" indent="1"/>
    </xf>
    <xf numFmtId="0" fontId="10" fillId="0" borderId="0" xfId="0" applyFont="1" applyFill="1" applyAlignment="1">
      <alignment horizontal="center" vertical="top" wrapText="1"/>
    </xf>
    <xf numFmtId="0" fontId="10" fillId="0" borderId="0" xfId="0" applyFont="1" applyFill="1" applyAlignment="1">
      <alignment vertical="top" wrapText="1"/>
    </xf>
    <xf numFmtId="0" fontId="2" fillId="0" borderId="0" xfId="0" applyFont="1" applyFill="1" applyAlignment="1">
      <alignment horizontal="center"/>
    </xf>
    <xf numFmtId="0" fontId="2" fillId="0" borderId="0" xfId="0" applyFont="1" applyFill="1" applyAlignment="1">
      <alignment wrapText="1"/>
    </xf>
    <xf numFmtId="0" fontId="2" fillId="0" borderId="0" xfId="0" applyFont="1" applyFill="1" applyAlignment="1">
      <alignment horizontal="left" wrapText="1"/>
    </xf>
    <xf numFmtId="0" fontId="11" fillId="0" borderId="0" xfId="0" applyFont="1" applyFill="1" applyAlignment="1">
      <alignment horizontal="left" wrapText="1"/>
    </xf>
    <xf numFmtId="0" fontId="8" fillId="0" borderId="0" xfId="1" applyFill="1" applyAlignment="1" applyProtection="1">
      <alignment horizontal="left" indent="1"/>
    </xf>
    <xf numFmtId="0" fontId="2" fillId="0" borderId="0" xfId="0" applyFont="1" applyAlignment="1">
      <alignment horizontal="left" wrapText="1"/>
    </xf>
    <xf numFmtId="0" fontId="2" fillId="18" borderId="0" xfId="0" applyFont="1" applyFill="1" applyBorder="1"/>
    <xf numFmtId="49" fontId="2" fillId="18" borderId="0" xfId="0" applyNumberFormat="1" applyFont="1" applyFill="1" applyBorder="1" applyAlignment="1">
      <alignment horizontal="center"/>
    </xf>
    <xf numFmtId="0" fontId="2" fillId="18" borderId="0" xfId="0" applyFont="1" applyFill="1" applyAlignment="1">
      <alignment horizontal="left" indent="1"/>
    </xf>
    <xf numFmtId="0" fontId="2" fillId="18" borderId="0" xfId="0" applyFont="1" applyFill="1" applyBorder="1" applyAlignment="1">
      <alignment horizontal="center"/>
    </xf>
    <xf numFmtId="0" fontId="2" fillId="18" borderId="0" xfId="0" applyFont="1" applyFill="1"/>
    <xf numFmtId="0" fontId="2" fillId="18" borderId="0" xfId="0" applyFont="1" applyFill="1" applyBorder="1" applyAlignment="1">
      <alignment horizontal="center" wrapText="1"/>
    </xf>
    <xf numFmtId="0" fontId="6" fillId="18" borderId="0" xfId="0" applyFont="1" applyFill="1" applyBorder="1" applyAlignment="1">
      <alignment wrapText="1"/>
    </xf>
    <xf numFmtId="2" fontId="2" fillId="18" borderId="0" xfId="0" quotePrefix="1" applyNumberFormat="1" applyFont="1" applyFill="1" applyBorder="1" applyAlignment="1">
      <alignment horizontal="center" wrapText="1"/>
    </xf>
    <xf numFmtId="0" fontId="2" fillId="18" borderId="0" xfId="0" applyFont="1" applyFill="1" applyBorder="1" applyAlignment="1">
      <alignment horizontal="left"/>
    </xf>
    <xf numFmtId="0" fontId="2" fillId="18" borderId="0" xfId="0" applyFont="1" applyFill="1" applyBorder="1" applyAlignment="1">
      <alignment horizontal="left" indent="1"/>
    </xf>
    <xf numFmtId="0" fontId="2" fillId="18" borderId="0" xfId="0" applyFont="1" applyFill="1" applyBorder="1" applyAlignment="1">
      <alignment wrapText="1"/>
    </xf>
    <xf numFmtId="0" fontId="2" fillId="18" borderId="0" xfId="0" quotePrefix="1" applyFont="1" applyFill="1" applyBorder="1" applyAlignment="1">
      <alignment horizontal="left"/>
    </xf>
    <xf numFmtId="0" fontId="2" fillId="18" borderId="0" xfId="0" applyFont="1" applyFill="1" applyBorder="1" applyAlignment="1">
      <alignment horizontal="right"/>
    </xf>
    <xf numFmtId="2" fontId="2" fillId="18" borderId="0" xfId="0" applyNumberFormat="1" applyFont="1" applyFill="1" applyBorder="1" applyAlignment="1">
      <alignment horizontal="center" wrapText="1"/>
    </xf>
    <xf numFmtId="1" fontId="2" fillId="18" borderId="0" xfId="0" applyNumberFormat="1" applyFont="1" applyFill="1" applyBorder="1"/>
    <xf numFmtId="0" fontId="2" fillId="18" borderId="0" xfId="1" applyFont="1" applyFill="1" applyBorder="1" applyAlignment="1" applyProtection="1">
      <alignment horizontal="center" wrapText="1"/>
    </xf>
    <xf numFmtId="13" fontId="2" fillId="18" borderId="0" xfId="0" applyNumberFormat="1" applyFont="1" applyFill="1" applyBorder="1"/>
    <xf numFmtId="0" fontId="8" fillId="18" borderId="0" xfId="1" applyFill="1" applyBorder="1" applyAlignment="1" applyProtection="1">
      <alignment wrapText="1"/>
    </xf>
    <xf numFmtId="0" fontId="2" fillId="18" borderId="0" xfId="0" applyFont="1" applyFill="1" applyBorder="1" applyAlignment="1"/>
    <xf numFmtId="0" fontId="2" fillId="18" borderId="0" xfId="1" applyFont="1" applyFill="1" applyBorder="1" applyAlignment="1" applyProtection="1">
      <alignment wrapText="1"/>
    </xf>
    <xf numFmtId="0" fontId="1" fillId="18" borderId="0" xfId="0" applyFont="1" applyFill="1" applyBorder="1" applyAlignment="1"/>
    <xf numFmtId="0" fontId="0" fillId="0" borderId="0" xfId="0" applyAlignment="1"/>
    <xf numFmtId="0" fontId="1" fillId="0" borderId="0" xfId="0" applyFont="1" applyFill="1" applyBorder="1" applyAlignment="1">
      <alignment horizontal="center"/>
    </xf>
    <xf numFmtId="49" fontId="2" fillId="0" borderId="0" xfId="1" applyNumberFormat="1" applyFont="1" applyFill="1" applyBorder="1" applyAlignment="1" applyProtection="1">
      <alignment horizontal="left" wrapText="1" readingOrder="1"/>
    </xf>
    <xf numFmtId="49" fontId="2" fillId="0" borderId="0" xfId="0" applyNumberFormat="1" applyFont="1" applyFill="1" applyBorder="1" applyAlignment="1">
      <alignment horizontal="left" wrapText="1" readingOrder="1"/>
    </xf>
    <xf numFmtId="0" fontId="30" fillId="0" borderId="0" xfId="0" applyFont="1" applyFill="1" applyBorder="1" applyAlignment="1">
      <alignment horizontal="left"/>
    </xf>
    <xf numFmtId="0" fontId="5" fillId="0" borderId="0" xfId="0" applyFont="1" applyFill="1" applyBorder="1" applyAlignment="1"/>
    <xf numFmtId="0" fontId="6" fillId="0" borderId="0" xfId="0" applyFont="1" applyFill="1" applyBorder="1" applyAlignment="1">
      <alignment horizontal="center" wrapText="1"/>
    </xf>
    <xf numFmtId="2" fontId="6" fillId="0" borderId="0" xfId="0" applyNumberFormat="1" applyFont="1" applyFill="1" applyBorder="1" applyAlignment="1">
      <alignment horizontal="center" wrapText="1"/>
    </xf>
    <xf numFmtId="0" fontId="6" fillId="0" borderId="0" xfId="0" applyFont="1" applyFill="1" applyBorder="1" applyAlignment="1">
      <alignment horizontal="left"/>
    </xf>
    <xf numFmtId="0" fontId="10" fillId="0" borderId="0" xfId="0" applyFont="1" applyAlignment="1">
      <alignment vertical="top"/>
    </xf>
    <xf numFmtId="17" fontId="2" fillId="0" borderId="0" xfId="0" quotePrefix="1" applyNumberFormat="1" applyFont="1" applyFill="1" applyBorder="1" applyAlignment="1">
      <alignment vertical="top"/>
    </xf>
    <xf numFmtId="0" fontId="3" fillId="0" borderId="0" xfId="0" applyFont="1" applyFill="1" applyBorder="1" applyAlignment="1">
      <alignment horizontal="center" wrapText="1"/>
    </xf>
    <xf numFmtId="0" fontId="3" fillId="0" borderId="0" xfId="0" applyFont="1" applyFill="1" applyBorder="1" applyAlignment="1"/>
    <xf numFmtId="0" fontId="6" fillId="0" borderId="0" xfId="0" applyFont="1" applyFill="1" applyBorder="1"/>
    <xf numFmtId="0" fontId="6" fillId="0" borderId="0" xfId="0" applyFont="1" applyFill="1" applyBorder="1" applyAlignment="1">
      <alignment horizontal="center"/>
    </xf>
    <xf numFmtId="0" fontId="6" fillId="0" borderId="0" xfId="0" applyFont="1" applyFill="1" applyBorder="1" applyAlignment="1"/>
    <xf numFmtId="0" fontId="36" fillId="0" borderId="0" xfId="0" applyFont="1" applyAlignment="1">
      <alignment horizontal="left" vertical="center" indent="1"/>
    </xf>
    <xf numFmtId="0" fontId="36" fillId="0" borderId="0" xfId="0" applyFont="1" applyFill="1" applyBorder="1" applyAlignment="1">
      <alignment horizontal="center"/>
    </xf>
    <xf numFmtId="0" fontId="36" fillId="0" borderId="0" xfId="1" applyFont="1" applyFill="1" applyBorder="1" applyAlignment="1" applyProtection="1">
      <alignment wrapText="1"/>
    </xf>
    <xf numFmtId="0" fontId="36" fillId="0" borderId="0" xfId="0" applyFont="1"/>
    <xf numFmtId="0" fontId="36" fillId="0" borderId="0" xfId="0" applyFont="1" applyFill="1" applyBorder="1" applyAlignment="1">
      <alignment horizontal="left" indent="1"/>
    </xf>
    <xf numFmtId="0" fontId="36" fillId="0" borderId="0" xfId="0" applyFont="1" applyFill="1" applyBorder="1"/>
    <xf numFmtId="0" fontId="36" fillId="0" borderId="0" xfId="0" applyFont="1" applyFill="1" applyBorder="1" applyAlignment="1"/>
    <xf numFmtId="0" fontId="36" fillId="0" borderId="0" xfId="0" applyFont="1" applyFill="1" applyBorder="1" applyAlignment="1">
      <alignment wrapText="1"/>
    </xf>
    <xf numFmtId="0" fontId="36" fillId="0" borderId="0" xfId="0" applyFont="1" applyFill="1" applyAlignment="1">
      <alignment horizontal="left" indent="1"/>
    </xf>
    <xf numFmtId="0" fontId="37" fillId="0" borderId="0" xfId="1" applyFont="1" applyFill="1" applyBorder="1" applyAlignment="1" applyProtection="1">
      <alignment wrapText="1"/>
    </xf>
    <xf numFmtId="1" fontId="36" fillId="0" borderId="0" xfId="0" applyNumberFormat="1" applyFont="1" applyFill="1" applyBorder="1" applyAlignment="1">
      <alignment horizontal="center"/>
    </xf>
    <xf numFmtId="0" fontId="36" fillId="0" borderId="0" xfId="0" applyFont="1" applyFill="1" applyBorder="1" applyAlignment="1">
      <alignment horizontal="left"/>
    </xf>
    <xf numFmtId="0" fontId="6" fillId="19" borderId="0" xfId="0" applyFont="1" applyFill="1" applyBorder="1" applyAlignment="1">
      <alignment horizontal="left"/>
    </xf>
    <xf numFmtId="0" fontId="10" fillId="0" borderId="0" xfId="0" applyFont="1" applyBorder="1" applyAlignment="1">
      <alignment vertical="top"/>
    </xf>
    <xf numFmtId="0" fontId="30" fillId="0" borderId="0" xfId="0" applyFont="1" applyFill="1" applyAlignment="1">
      <alignment horizontal="left" indent="1"/>
    </xf>
    <xf numFmtId="0" fontId="38" fillId="17" borderId="10" xfId="1" applyFont="1" applyFill="1" applyBorder="1" applyAlignment="1" applyProtection="1">
      <alignment vertical="top" wrapText="1"/>
    </xf>
    <xf numFmtId="0" fontId="2" fillId="20" borderId="0" xfId="0" applyFont="1" applyFill="1" applyBorder="1"/>
    <xf numFmtId="49" fontId="2" fillId="20" borderId="0" xfId="0" applyNumberFormat="1" applyFont="1" applyFill="1" applyBorder="1" applyAlignment="1">
      <alignment horizontal="center"/>
    </xf>
    <xf numFmtId="0" fontId="36" fillId="20" borderId="0" xfId="0" applyFont="1" applyFill="1" applyAlignment="1">
      <alignment horizontal="left" indent="1"/>
    </xf>
    <xf numFmtId="0" fontId="36" fillId="20" borderId="0" xfId="0" applyFont="1" applyFill="1" applyBorder="1"/>
    <xf numFmtId="0" fontId="36" fillId="20" borderId="0" xfId="0" applyFont="1" applyFill="1" applyBorder="1" applyAlignment="1">
      <alignment horizontal="center"/>
    </xf>
    <xf numFmtId="0" fontId="2" fillId="20" borderId="0" xfId="0" applyFont="1" applyFill="1" applyBorder="1" applyAlignment="1">
      <alignment horizontal="center"/>
    </xf>
    <xf numFmtId="0" fontId="2" fillId="20" borderId="0" xfId="0" applyFont="1" applyFill="1"/>
    <xf numFmtId="0" fontId="2" fillId="20" borderId="0" xfId="0" applyFont="1" applyFill="1" applyBorder="1" applyAlignment="1">
      <alignment horizontal="center" wrapText="1"/>
    </xf>
    <xf numFmtId="0" fontId="6" fillId="20" borderId="0" xfId="0" applyFont="1" applyFill="1" applyBorder="1" applyAlignment="1">
      <alignment wrapText="1"/>
    </xf>
    <xf numFmtId="0" fontId="2" fillId="20" borderId="0" xfId="0" applyFont="1" applyFill="1" applyBorder="1" applyAlignment="1">
      <alignment horizontal="left"/>
    </xf>
    <xf numFmtId="0" fontId="36" fillId="20" borderId="0" xfId="0" applyFont="1" applyFill="1" applyBorder="1" applyAlignment="1">
      <alignment horizontal="left" indent="1"/>
    </xf>
    <xf numFmtId="0" fontId="2" fillId="20" borderId="0" xfId="0" applyFont="1" applyFill="1" applyBorder="1" applyAlignment="1">
      <alignment wrapText="1"/>
    </xf>
    <xf numFmtId="0" fontId="2" fillId="20" borderId="0" xfId="0" quotePrefix="1" applyFont="1" applyFill="1" applyBorder="1" applyAlignment="1">
      <alignment horizontal="left"/>
    </xf>
    <xf numFmtId="0" fontId="2" fillId="21" borderId="0" xfId="0" applyFont="1" applyFill="1" applyBorder="1"/>
    <xf numFmtId="0" fontId="2" fillId="21" borderId="0" xfId="0" applyFont="1" applyFill="1" applyBorder="1" applyAlignment="1">
      <alignment horizontal="center"/>
    </xf>
    <xf numFmtId="0" fontId="36" fillId="21" borderId="0" xfId="0" applyFont="1" applyFill="1" applyBorder="1" applyAlignment="1">
      <alignment horizontal="left" indent="1"/>
    </xf>
    <xf numFmtId="0" fontId="36" fillId="21" borderId="0" xfId="0" applyFont="1" applyFill="1" applyBorder="1"/>
    <xf numFmtId="0" fontId="36" fillId="21" borderId="0" xfId="0" applyFont="1" applyFill="1" applyBorder="1" applyAlignment="1">
      <alignment horizontal="center"/>
    </xf>
    <xf numFmtId="0" fontId="36" fillId="21" borderId="0" xfId="1" applyFont="1" applyFill="1" applyBorder="1" applyAlignment="1" applyProtection="1">
      <alignment wrapText="1"/>
    </xf>
    <xf numFmtId="0" fontId="2" fillId="21" borderId="0" xfId="0" applyFont="1" applyFill="1" applyBorder="1" applyAlignment="1">
      <alignment horizontal="center" wrapText="1"/>
    </xf>
    <xf numFmtId="0" fontId="2" fillId="21" borderId="0" xfId="1" applyFont="1" applyFill="1" applyBorder="1" applyAlignment="1" applyProtection="1">
      <alignment wrapText="1"/>
    </xf>
    <xf numFmtId="49" fontId="6" fillId="0" borderId="0" xfId="0" applyNumberFormat="1" applyFont="1" applyFill="1" applyBorder="1" applyAlignment="1">
      <alignment wrapText="1"/>
    </xf>
    <xf numFmtId="0" fontId="2" fillId="20" borderId="0" xfId="0" applyFont="1" applyFill="1" applyBorder="1" applyAlignment="1">
      <alignment horizontal="left" indent="1"/>
    </xf>
    <xf numFmtId="1" fontId="2" fillId="20" borderId="0" xfId="0" applyNumberFormat="1" applyFont="1" applyFill="1" applyBorder="1"/>
    <xf numFmtId="0" fontId="2" fillId="20" borderId="0" xfId="1" applyFont="1" applyFill="1" applyBorder="1" applyAlignment="1" applyProtection="1">
      <alignment wrapText="1"/>
    </xf>
    <xf numFmtId="0" fontId="2" fillId="20" borderId="0" xfId="1" applyFont="1" applyFill="1" applyBorder="1" applyAlignment="1" applyProtection="1">
      <alignment horizontal="center" wrapText="1"/>
    </xf>
    <xf numFmtId="0" fontId="39" fillId="0" borderId="0" xfId="0" applyFont="1"/>
    <xf numFmtId="0" fontId="2" fillId="20" borderId="0" xfId="0" applyFont="1" applyFill="1" applyBorder="1" applyAlignment="1">
      <alignment horizontal="right"/>
    </xf>
    <xf numFmtId="0" fontId="2" fillId="20" borderId="0" xfId="0" applyFont="1" applyFill="1" applyAlignment="1">
      <alignment horizontal="left" indent="1"/>
    </xf>
    <xf numFmtId="49" fontId="2" fillId="20" borderId="0" xfId="0" applyNumberFormat="1" applyFont="1" applyFill="1" applyAlignment="1">
      <alignment horizontal="left" vertical="center" wrapText="1"/>
    </xf>
    <xf numFmtId="0" fontId="40" fillId="16" borderId="0" xfId="0" applyFont="1" applyFill="1" applyBorder="1"/>
    <xf numFmtId="49" fontId="40" fillId="16" borderId="0" xfId="0" applyNumberFormat="1" applyFont="1" applyFill="1" applyBorder="1" applyAlignment="1">
      <alignment horizontal="center"/>
    </xf>
    <xf numFmtId="0" fontId="40" fillId="16" borderId="0" xfId="0" applyFont="1" applyFill="1" applyBorder="1" applyAlignment="1">
      <alignment horizontal="left" indent="1"/>
    </xf>
    <xf numFmtId="0" fontId="40" fillId="16" borderId="0" xfId="0" applyFont="1" applyFill="1" applyBorder="1" applyAlignment="1">
      <alignment horizontal="center"/>
    </xf>
    <xf numFmtId="0" fontId="40" fillId="16" borderId="0" xfId="0" applyFont="1" applyFill="1"/>
    <xf numFmtId="0" fontId="40" fillId="16" borderId="0" xfId="0" applyFont="1" applyFill="1" applyBorder="1" applyAlignment="1">
      <alignment horizontal="center" wrapText="1"/>
    </xf>
    <xf numFmtId="0" fontId="40" fillId="16" borderId="0" xfId="0" applyFont="1" applyFill="1" applyBorder="1" applyAlignment="1">
      <alignment wrapText="1"/>
    </xf>
    <xf numFmtId="0" fontId="40" fillId="16" borderId="0" xfId="0" quotePrefix="1" applyFont="1" applyFill="1" applyBorder="1" applyAlignment="1">
      <alignment horizontal="left"/>
    </xf>
    <xf numFmtId="0" fontId="2" fillId="0" borderId="0" xfId="1" applyNumberFormat="1" applyFont="1" applyFill="1" applyBorder="1" applyAlignment="1" applyProtection="1">
      <protection locked="0"/>
    </xf>
    <xf numFmtId="0" fontId="2" fillId="0" borderId="0" xfId="1" applyNumberFormat="1" applyFont="1" applyFill="1" applyBorder="1" applyAlignment="1" applyProtection="1"/>
    <xf numFmtId="0" fontId="2" fillId="0" borderId="0" xfId="1" quotePrefix="1" applyNumberFormat="1" applyFont="1" applyFill="1" applyBorder="1" applyAlignment="1" applyProtection="1">
      <protection locked="0"/>
    </xf>
    <xf numFmtId="3" fontId="2" fillId="0" borderId="0" xfId="0" applyNumberFormat="1" applyFont="1" applyFill="1" applyBorder="1" applyAlignment="1">
      <alignment horizontal="center"/>
    </xf>
    <xf numFmtId="16" fontId="2" fillId="0" borderId="0" xfId="0" applyNumberFormat="1" applyFont="1" applyFill="1" applyBorder="1"/>
    <xf numFmtId="0" fontId="41" fillId="0" borderId="0" xfId="0" applyFont="1"/>
    <xf numFmtId="0" fontId="42" fillId="0" borderId="0" xfId="0" applyFont="1"/>
    <xf numFmtId="0" fontId="41" fillId="0" borderId="0" xfId="0" applyFont="1" applyAlignment="1">
      <alignment horizontal="left" vertical="top" wrapText="1"/>
    </xf>
    <xf numFmtId="0" fontId="43" fillId="0" borderId="0" xfId="0" applyFont="1" applyAlignment="1">
      <alignment horizontal="center" readingOrder="1"/>
    </xf>
    <xf numFmtId="0" fontId="44" fillId="0" borderId="0" xfId="0" applyFont="1" applyAlignment="1">
      <alignment horizontal="center"/>
    </xf>
    <xf numFmtId="0" fontId="45" fillId="0" borderId="0" xfId="0" applyFont="1" applyAlignment="1">
      <alignment horizontal="left"/>
    </xf>
    <xf numFmtId="0" fontId="41" fillId="0" borderId="0" xfId="0" applyFont="1" applyAlignment="1">
      <alignment horizontal="left" vertical="top" wrapText="1"/>
    </xf>
    <xf numFmtId="0" fontId="44" fillId="0" borderId="0" xfId="0" applyFont="1" applyAlignment="1">
      <alignment horizontal="center"/>
    </xf>
    <xf numFmtId="0" fontId="3" fillId="0" borderId="0" xfId="0" applyFont="1" applyAlignment="1"/>
    <xf numFmtId="0" fontId="44" fillId="0" borderId="0" xfId="0" applyFont="1" applyAlignment="1"/>
    <xf numFmtId="0" fontId="46" fillId="0" borderId="0" xfId="0" applyFont="1"/>
    <xf numFmtId="0" fontId="0" fillId="0" borderId="0" xfId="0" applyBorder="1" applyAlignment="1">
      <alignment horizontal="center" vertical="center" textRotation="180"/>
    </xf>
    <xf numFmtId="0" fontId="0" fillId="0" borderId="0" xfId="0" applyBorder="1" applyAlignment="1">
      <alignment horizontal="center"/>
    </xf>
    <xf numFmtId="0" fontId="44" fillId="0" borderId="0" xfId="0" applyFont="1"/>
    <xf numFmtId="0" fontId="46" fillId="0" borderId="1" xfId="0" applyFont="1" applyBorder="1" applyAlignment="1">
      <alignment horizontal="center"/>
    </xf>
    <xf numFmtId="0" fontId="46" fillId="0" borderId="19" xfId="0" applyFont="1" applyBorder="1" applyAlignment="1">
      <alignment horizontal="center"/>
    </xf>
    <xf numFmtId="0" fontId="46" fillId="0" borderId="0" xfId="0" quotePrefix="1" applyFont="1"/>
    <xf numFmtId="0" fontId="46" fillId="0" borderId="1" xfId="0" applyFont="1" applyFill="1" applyBorder="1" applyAlignment="1">
      <alignment horizontal="center"/>
    </xf>
    <xf numFmtId="0" fontId="46" fillId="0" borderId="21" xfId="0" applyFont="1" applyBorder="1" applyAlignment="1">
      <alignment vertical="center" textRotation="90"/>
    </xf>
    <xf numFmtId="0" fontId="46" fillId="0" borderId="20" xfId="0" quotePrefix="1" applyFont="1" applyBorder="1" applyAlignment="1">
      <alignment vertical="center" textRotation="90"/>
    </xf>
    <xf numFmtId="0" fontId="46" fillId="0" borderId="14" xfId="0" applyFont="1" applyBorder="1" applyAlignment="1">
      <alignment vertical="center" textRotation="90"/>
    </xf>
    <xf numFmtId="0" fontId="46" fillId="0" borderId="22" xfId="0" quotePrefix="1" applyFont="1" applyBorder="1" applyAlignment="1">
      <alignment vertical="center" textRotation="90"/>
    </xf>
    <xf numFmtId="0" fontId="46" fillId="0" borderId="19" xfId="0" applyFont="1" applyFill="1" applyBorder="1" applyAlignment="1">
      <alignment horizontal="center"/>
    </xf>
    <xf numFmtId="0" fontId="46" fillId="0" borderId="22" xfId="0" applyFont="1" applyBorder="1" applyAlignment="1">
      <alignment vertical="center" textRotation="90"/>
    </xf>
    <xf numFmtId="0" fontId="46" fillId="0" borderId="14" xfId="0" applyFont="1" applyBorder="1" applyAlignment="1">
      <alignment vertical="center" textRotation="180"/>
    </xf>
    <xf numFmtId="0" fontId="46" fillId="0" borderId="22" xfId="0" applyFont="1" applyBorder="1" applyAlignment="1">
      <alignment vertical="center" textRotation="180"/>
    </xf>
    <xf numFmtId="0" fontId="46" fillId="0" borderId="24" xfId="0" applyFont="1" applyBorder="1" applyAlignment="1">
      <alignment vertical="center" textRotation="180"/>
    </xf>
    <xf numFmtId="0" fontId="46" fillId="0" borderId="23" xfId="0" applyFont="1" applyBorder="1" applyAlignment="1">
      <alignment vertical="center" textRotation="180"/>
    </xf>
    <xf numFmtId="0" fontId="26" fillId="0" borderId="0" xfId="0" applyFont="1" applyAlignment="1"/>
    <xf numFmtId="0" fontId="46" fillId="0" borderId="12" xfId="0" applyFont="1" applyBorder="1" applyAlignment="1">
      <alignment horizontal="center"/>
    </xf>
    <xf numFmtId="0" fontId="0" fillId="0" borderId="0" xfId="0" applyBorder="1"/>
    <xf numFmtId="0" fontId="18" fillId="0" borderId="1" xfId="0" applyFont="1" applyBorder="1" applyAlignment="1">
      <alignment horizontal="center" textRotation="90"/>
    </xf>
    <xf numFmtId="0" fontId="46" fillId="0" borderId="0" xfId="0" applyFont="1" applyBorder="1" applyAlignment="1">
      <alignment horizontal="center"/>
    </xf>
    <xf numFmtId="0" fontId="18" fillId="0" borderId="0" xfId="0" applyFont="1" applyBorder="1" applyAlignment="1">
      <alignment textRotation="90"/>
    </xf>
    <xf numFmtId="0" fontId="41" fillId="0" borderId="0" xfId="0" applyFont="1" applyAlignment="1">
      <alignment vertical="top" wrapText="1"/>
    </xf>
    <xf numFmtId="0" fontId="46" fillId="0" borderId="0" xfId="0" applyFont="1" applyAlignment="1"/>
    <xf numFmtId="0" fontId="4" fillId="0" borderId="0" xfId="0" applyFont="1"/>
    <xf numFmtId="0" fontId="44" fillId="0" borderId="0" xfId="0" applyFont="1" applyBorder="1" applyAlignment="1">
      <alignment wrapText="1"/>
    </xf>
    <xf numFmtId="0" fontId="46" fillId="0" borderId="0" xfId="0" applyFont="1" applyBorder="1" applyAlignment="1">
      <alignment vertical="center"/>
    </xf>
    <xf numFmtId="0" fontId="41" fillId="0" borderId="0" xfId="0" applyFont="1" applyFill="1" applyAlignment="1">
      <alignment vertical="top" wrapText="1"/>
    </xf>
    <xf numFmtId="0" fontId="2" fillId="0" borderId="0" xfId="0" applyFont="1" applyFill="1" applyBorder="1" applyAlignment="1">
      <alignment horizontal="left" wrapText="1" indent="1"/>
    </xf>
    <xf numFmtId="0" fontId="2" fillId="0" borderId="0" xfId="0" applyFont="1" applyFill="1" applyBorder="1" applyAlignment="1">
      <alignment wrapText="1"/>
    </xf>
    <xf numFmtId="0" fontId="1" fillId="0" borderId="0" xfId="0" applyFont="1" applyFill="1" applyBorder="1" applyAlignment="1">
      <alignment horizontal="center"/>
    </xf>
    <xf numFmtId="0" fontId="5" fillId="2" borderId="0" xfId="0" applyFont="1" applyFill="1" applyBorder="1" applyAlignment="1"/>
    <xf numFmtId="0" fontId="29" fillId="4" borderId="0" xfId="0" applyFont="1" applyFill="1" applyBorder="1" applyAlignment="1"/>
    <xf numFmtId="0" fontId="27" fillId="23" borderId="0" xfId="0" applyFont="1" applyFill="1" applyBorder="1" applyAlignment="1">
      <alignment horizontal="left" indent="4"/>
    </xf>
    <xf numFmtId="0" fontId="26" fillId="22" borderId="0" xfId="0" applyFont="1" applyFill="1" applyBorder="1" applyAlignment="1">
      <alignment horizontal="left" wrapText="1" indent="4"/>
    </xf>
    <xf numFmtId="0" fontId="34" fillId="17" borderId="13" xfId="0" applyFont="1" applyFill="1" applyBorder="1" applyAlignment="1" applyProtection="1">
      <alignment vertical="top" wrapText="1"/>
      <protection locked="0"/>
    </xf>
    <xf numFmtId="0" fontId="0" fillId="0" borderId="0" xfId="0" applyAlignment="1">
      <alignment wrapText="1"/>
    </xf>
    <xf numFmtId="0" fontId="0" fillId="0" borderId="14" xfId="0" applyBorder="1" applyAlignment="1">
      <alignment wrapText="1"/>
    </xf>
    <xf numFmtId="0" fontId="3" fillId="0" borderId="0" xfId="0" applyFont="1" applyAlignment="1">
      <alignment horizontal="center"/>
    </xf>
    <xf numFmtId="0" fontId="46" fillId="0" borderId="0" xfId="0" applyFont="1" applyAlignment="1">
      <alignment horizontal="center"/>
    </xf>
    <xf numFmtId="0" fontId="44" fillId="0" borderId="22" xfId="0" applyFont="1" applyBorder="1" applyAlignment="1">
      <alignment horizontal="left" wrapText="1"/>
    </xf>
    <xf numFmtId="0" fontId="44" fillId="0" borderId="0" xfId="0" applyFont="1" applyBorder="1" applyAlignment="1">
      <alignment horizontal="left" wrapText="1"/>
    </xf>
    <xf numFmtId="0" fontId="46" fillId="0" borderId="16" xfId="0" quotePrefix="1" applyFont="1" applyBorder="1" applyAlignment="1">
      <alignment horizontal="center" vertical="center" textRotation="90"/>
    </xf>
    <xf numFmtId="0" fontId="46" fillId="0" borderId="17" xfId="0" applyFont="1" applyBorder="1" applyAlignment="1">
      <alignment horizontal="center" vertical="center" textRotation="90"/>
    </xf>
    <xf numFmtId="0" fontId="46" fillId="0" borderId="18" xfId="0" applyFont="1" applyBorder="1" applyAlignment="1">
      <alignment horizontal="center" vertical="center" textRotation="90"/>
    </xf>
    <xf numFmtId="0" fontId="46" fillId="0" borderId="16" xfId="0" applyFont="1" applyBorder="1" applyAlignment="1">
      <alignment horizontal="center" vertical="center" textRotation="180"/>
    </xf>
    <xf numFmtId="0" fontId="46" fillId="0" borderId="17" xfId="0" applyFont="1" applyBorder="1" applyAlignment="1">
      <alignment horizontal="center" vertical="center" textRotation="180"/>
    </xf>
    <xf numFmtId="0" fontId="46" fillId="0" borderId="18" xfId="0" applyFont="1" applyBorder="1" applyAlignment="1">
      <alignment horizontal="center" vertical="center" textRotation="180"/>
    </xf>
    <xf numFmtId="0" fontId="46" fillId="0" borderId="16" xfId="0" applyFont="1" applyBorder="1" applyAlignment="1">
      <alignment horizontal="center" vertical="center" textRotation="90"/>
    </xf>
    <xf numFmtId="0" fontId="18" fillId="0" borderId="0" xfId="0" applyFont="1" applyAlignment="1">
      <alignment horizontal="center" textRotation="90"/>
    </xf>
    <xf numFmtId="0" fontId="18" fillId="0" borderId="15" xfId="0" applyFont="1" applyBorder="1" applyAlignment="1">
      <alignment horizontal="center" textRotation="90"/>
    </xf>
    <xf numFmtId="0" fontId="46" fillId="0" borderId="20" xfId="0" applyFont="1" applyBorder="1" applyAlignment="1">
      <alignment horizontal="center" vertical="center"/>
    </xf>
    <xf numFmtId="0" fontId="46" fillId="0" borderId="21" xfId="0" applyFont="1" applyBorder="1" applyAlignment="1">
      <alignment horizontal="center" vertical="center"/>
    </xf>
    <xf numFmtId="0" fontId="46" fillId="0" borderId="22" xfId="0" applyFont="1" applyBorder="1" applyAlignment="1">
      <alignment horizontal="center" vertical="center"/>
    </xf>
    <xf numFmtId="0" fontId="46" fillId="0" borderId="14" xfId="0" applyFont="1" applyBorder="1" applyAlignment="1">
      <alignment horizontal="center" vertical="center"/>
    </xf>
    <xf numFmtId="0" fontId="46" fillId="0" borderId="23" xfId="0" applyFont="1" applyBorder="1" applyAlignment="1">
      <alignment horizontal="center" vertical="center"/>
    </xf>
    <xf numFmtId="0" fontId="46" fillId="0" borderId="24" xfId="0" applyFont="1" applyBorder="1" applyAlignment="1">
      <alignment horizontal="center" vertical="center"/>
    </xf>
    <xf numFmtId="0" fontId="46" fillId="0" borderId="16" xfId="0" quotePrefix="1" applyFont="1" applyBorder="1" applyAlignment="1">
      <alignment horizontal="center" vertical="center" textRotation="180"/>
    </xf>
    <xf numFmtId="0" fontId="46" fillId="0" borderId="17" xfId="0" quotePrefix="1" applyFont="1" applyBorder="1" applyAlignment="1">
      <alignment horizontal="center" vertical="center" textRotation="180"/>
    </xf>
    <xf numFmtId="0" fontId="46" fillId="0" borderId="18" xfId="0" quotePrefix="1" applyFont="1" applyBorder="1" applyAlignment="1">
      <alignment horizontal="center" vertical="center" textRotation="180"/>
    </xf>
    <xf numFmtId="0" fontId="41" fillId="0" borderId="0" xfId="0" applyFont="1" applyAlignment="1">
      <alignment horizontal="left" vertical="top" wrapText="1"/>
    </xf>
    <xf numFmtId="0" fontId="18" fillId="0" borderId="0" xfId="0" applyFont="1" applyBorder="1" applyAlignment="1">
      <alignment horizontal="center" textRotation="90"/>
    </xf>
    <xf numFmtId="0" fontId="41" fillId="0" borderId="0" xfId="0" applyFont="1" applyAlignment="1">
      <alignment horizontal="left" wrapText="1"/>
    </xf>
    <xf numFmtId="0" fontId="26" fillId="0" borderId="0" xfId="0" applyFont="1" applyAlignment="1">
      <alignment horizontal="center"/>
    </xf>
    <xf numFmtId="0" fontId="45" fillId="0" borderId="0" xfId="0" applyFont="1" applyAlignment="1">
      <alignment horizontal="center"/>
    </xf>
    <xf numFmtId="0" fontId="41" fillId="0"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11</xdr:row>
      <xdr:rowOff>0</xdr:rowOff>
    </xdr:from>
    <xdr:to>
      <xdr:col>10</xdr:col>
      <xdr:colOff>47625</xdr:colOff>
      <xdr:row>30</xdr:row>
      <xdr:rowOff>142875</xdr:rowOff>
    </xdr:to>
    <xdr:pic>
      <xdr:nvPicPr>
        <xdr:cNvPr id="2" name="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xfrm>
          <a:off x="171450" y="2222500"/>
          <a:ext cx="4892675" cy="3063875"/>
        </a:xfrm>
        <a:prstGeom prst="rect">
          <a:avLst/>
        </a:prstGeom>
      </xdr:spPr>
    </xdr:pic>
    <xdr:clientData/>
  </xdr:twoCellAnchor>
  <xdr:twoCellAnchor>
    <xdr:from>
      <xdr:col>0</xdr:col>
      <xdr:colOff>247650</xdr:colOff>
      <xdr:row>19</xdr:row>
      <xdr:rowOff>85725</xdr:rowOff>
    </xdr:from>
    <xdr:to>
      <xdr:col>9</xdr:col>
      <xdr:colOff>409575</xdr:colOff>
      <xdr:row>20</xdr:row>
      <xdr:rowOff>57150</xdr:rowOff>
    </xdr:to>
    <xdr:sp macro="" textlink="">
      <xdr:nvSpPr>
        <xdr:cNvPr id="1027" name="Text Box 3">
          <a:extLst>
            <a:ext uri="{FF2B5EF4-FFF2-40B4-BE49-F238E27FC236}">
              <a16:creationId xmlns:a16="http://schemas.microsoft.com/office/drawing/2014/main" id="{00000000-0008-0000-0200-000003040000}"/>
            </a:ext>
          </a:extLst>
        </xdr:cNvPr>
        <xdr:cNvSpPr txBox="1">
          <a:spLocks noChangeArrowheads="1"/>
        </xdr:cNvSpPr>
      </xdr:nvSpPr>
      <xdr:spPr bwMode="auto">
        <a:xfrm>
          <a:off x="247650" y="3209925"/>
          <a:ext cx="4724400" cy="123825"/>
        </a:xfrm>
        <a:prstGeom prst="rect">
          <a:avLst/>
        </a:prstGeom>
        <a:noFill/>
        <a:ln w="9525">
          <a:noFill/>
          <a:miter lim="800000"/>
          <a:headEnd/>
          <a:tailEnd/>
        </a:ln>
      </xdr:spPr>
      <xdr:txBody>
        <a:bodyPr vertOverflow="clip" wrap="square" lIns="0" tIns="0" rIns="0" bIns="0" anchor="t" upright="1"/>
        <a:lstStyle/>
        <a:p>
          <a:pPr algn="l" rtl="0">
            <a:defRPr sz="1000"/>
          </a:pPr>
          <a:r>
            <a:rPr lang="en-US" sz="800" b="0" i="0" u="none" strike="noStrike" baseline="0">
              <a:solidFill>
                <a:srgbClr val="000000"/>
              </a:solidFill>
              <a:latin typeface="Arial"/>
              <a:cs typeface="Arial"/>
            </a:rPr>
            <a:t>PS + Controller	                      SEL = 1	    SEL = 2	                    SEL = 3</a:t>
          </a: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371474</xdr:colOff>
      <xdr:row>31</xdr:row>
      <xdr:rowOff>28573</xdr:rowOff>
    </xdr:from>
    <xdr:to>
      <xdr:col>9</xdr:col>
      <xdr:colOff>447674</xdr:colOff>
      <xdr:row>32</xdr:row>
      <xdr:rowOff>66675</xdr:rowOff>
    </xdr:to>
    <xdr:sp macro="" textlink="">
      <xdr:nvSpPr>
        <xdr:cNvPr id="33" name="Text Box 3">
          <a:extLst>
            <a:ext uri="{FF2B5EF4-FFF2-40B4-BE49-F238E27FC236}">
              <a16:creationId xmlns:a16="http://schemas.microsoft.com/office/drawing/2014/main" id="{00000000-0008-0000-0200-000021000000}"/>
            </a:ext>
          </a:extLst>
        </xdr:cNvPr>
        <xdr:cNvSpPr txBox="1">
          <a:spLocks noChangeArrowheads="1"/>
        </xdr:cNvSpPr>
      </xdr:nvSpPr>
      <xdr:spPr bwMode="auto">
        <a:xfrm>
          <a:off x="371474" y="4981573"/>
          <a:ext cx="4638675" cy="190502"/>
        </a:xfrm>
        <a:prstGeom prst="rect">
          <a:avLst/>
        </a:prstGeom>
        <a:noFill/>
        <a:ln w="9525">
          <a:noFill/>
          <a:miter lim="800000"/>
          <a:headEnd/>
          <a:tailEnd/>
        </a:ln>
      </xdr:spPr>
      <xdr:txBody>
        <a:bodyPr vertOverflow="clip" wrap="square" lIns="0" tIns="0" rIns="0" bIns="0" anchor="t" upright="1"/>
        <a:lstStyle/>
        <a:p>
          <a:pPr algn="l" rtl="0">
            <a:defRPr sz="1000"/>
          </a:pPr>
          <a:r>
            <a:rPr lang="en-US" sz="800" b="0" i="0" u="none" strike="noStrike" baseline="0">
              <a:solidFill>
                <a:srgbClr val="000000"/>
              </a:solidFill>
              <a:latin typeface="Arial"/>
              <a:cs typeface="Arial"/>
            </a:rPr>
            <a:t>SEL = 4	                 SEL = 5 		 SEL = 6	                SEL = 7</a:t>
          </a: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3</xdr:col>
      <xdr:colOff>457200</xdr:colOff>
      <xdr:row>13</xdr:row>
      <xdr:rowOff>0</xdr:rowOff>
    </xdr:from>
    <xdr:to>
      <xdr:col>3</xdr:col>
      <xdr:colOff>600075</xdr:colOff>
      <xdr:row>14</xdr:row>
      <xdr:rowOff>66675</xdr:rowOff>
    </xdr:to>
    <xdr:sp macro="" textlink="">
      <xdr:nvSpPr>
        <xdr:cNvPr id="1055" name="Text Box 31">
          <a:extLst>
            <a:ext uri="{FF2B5EF4-FFF2-40B4-BE49-F238E27FC236}">
              <a16:creationId xmlns:a16="http://schemas.microsoft.com/office/drawing/2014/main" id="{00000000-0008-0000-0200-00001F040000}"/>
            </a:ext>
          </a:extLst>
        </xdr:cNvPr>
        <xdr:cNvSpPr txBox="1">
          <a:spLocks noChangeArrowheads="1"/>
        </xdr:cNvSpPr>
      </xdr:nvSpPr>
      <xdr:spPr bwMode="auto">
        <a:xfrm>
          <a:off x="1790700" y="2624667"/>
          <a:ext cx="142875" cy="214841"/>
        </a:xfrm>
        <a:prstGeom prst="rect">
          <a:avLst/>
        </a:prstGeom>
        <a:noFill/>
        <a:ln w="9525">
          <a:noFill/>
          <a:miter lim="800000"/>
          <a:headEnd/>
          <a:tailEnd/>
        </a:ln>
      </xdr:spPr>
      <xdr:txBody>
        <a:bodyPr vertOverflow="clip" wrap="square" lIns="0" tIns="0" rIns="0" bIns="0" anchor="t" upright="1"/>
        <a:lstStyle/>
        <a:p>
          <a:pPr algn="ctr" rtl="0">
            <a:defRPr sz="1000"/>
          </a:pPr>
          <a:r>
            <a:rPr lang="en-US" sz="1000" b="0" i="0" u="none" strike="noStrike" baseline="0">
              <a:solidFill>
                <a:srgbClr val="000000"/>
              </a:solidFill>
              <a:latin typeface="Arial"/>
              <a:cs typeface="Arial"/>
            </a:rPr>
            <a:t>1</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6</xdr:col>
      <xdr:colOff>514350</xdr:colOff>
      <xdr:row>12</xdr:row>
      <xdr:rowOff>190501</xdr:rowOff>
    </xdr:from>
    <xdr:to>
      <xdr:col>7</xdr:col>
      <xdr:colOff>19050</xdr:colOff>
      <xdr:row>14</xdr:row>
      <xdr:rowOff>9525</xdr:rowOff>
    </xdr:to>
    <xdr:sp macro="" textlink="">
      <xdr:nvSpPr>
        <xdr:cNvPr id="35" name="Text Box 31">
          <a:extLst>
            <a:ext uri="{FF2B5EF4-FFF2-40B4-BE49-F238E27FC236}">
              <a16:creationId xmlns:a16="http://schemas.microsoft.com/office/drawing/2014/main" id="{00000000-0008-0000-0200-000023000000}"/>
            </a:ext>
          </a:extLst>
        </xdr:cNvPr>
        <xdr:cNvSpPr txBox="1">
          <a:spLocks noChangeArrowheads="1"/>
        </xdr:cNvSpPr>
      </xdr:nvSpPr>
      <xdr:spPr bwMode="auto">
        <a:xfrm>
          <a:off x="3162300" y="2600326"/>
          <a:ext cx="114300" cy="171449"/>
        </a:xfrm>
        <a:prstGeom prst="rect">
          <a:avLst/>
        </a:prstGeom>
        <a:noFill/>
        <a:ln w="9525">
          <a:noFill/>
          <a:miter lim="800000"/>
          <a:headEnd/>
          <a:tailEnd/>
        </a:ln>
      </xdr:spPr>
      <xdr:txBody>
        <a:bodyPr vertOverflow="clip" wrap="square" lIns="0" tIns="0" rIns="0" bIns="0" anchor="t" upright="1"/>
        <a:lstStyle/>
        <a:p>
          <a:pPr algn="ctr" rtl="0">
            <a:defRPr sz="1000"/>
          </a:pPr>
          <a:r>
            <a:rPr lang="en-US" sz="1000" b="0" i="0" u="none" strike="noStrike" baseline="0">
              <a:solidFill>
                <a:srgbClr val="000000"/>
              </a:solidFill>
              <a:latin typeface="Arial"/>
              <a:cs typeface="Arial"/>
            </a:rPr>
            <a:t>2</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9</xdr:col>
      <xdr:colOff>66676</xdr:colOff>
      <xdr:row>13</xdr:row>
      <xdr:rowOff>9526</xdr:rowOff>
    </xdr:from>
    <xdr:to>
      <xdr:col>9</xdr:col>
      <xdr:colOff>190500</xdr:colOff>
      <xdr:row>14</xdr:row>
      <xdr:rowOff>66676</xdr:rowOff>
    </xdr:to>
    <xdr:sp macro="" textlink="">
      <xdr:nvSpPr>
        <xdr:cNvPr id="36" name="Text Box 31">
          <a:extLst>
            <a:ext uri="{FF2B5EF4-FFF2-40B4-BE49-F238E27FC236}">
              <a16:creationId xmlns:a16="http://schemas.microsoft.com/office/drawing/2014/main" id="{00000000-0008-0000-0200-000024000000}"/>
            </a:ext>
          </a:extLst>
        </xdr:cNvPr>
        <xdr:cNvSpPr txBox="1">
          <a:spLocks noChangeArrowheads="1"/>
        </xdr:cNvSpPr>
      </xdr:nvSpPr>
      <xdr:spPr bwMode="auto">
        <a:xfrm>
          <a:off x="4495801" y="2619376"/>
          <a:ext cx="123824" cy="209550"/>
        </a:xfrm>
        <a:prstGeom prst="rect">
          <a:avLst/>
        </a:prstGeom>
        <a:noFill/>
        <a:ln w="9525">
          <a:noFill/>
          <a:miter lim="800000"/>
          <a:headEnd/>
          <a:tailEnd/>
        </a:ln>
      </xdr:spPr>
      <xdr:txBody>
        <a:bodyPr vertOverflow="clip" wrap="square" lIns="0" tIns="0" rIns="0" bIns="0" anchor="t" upright="1"/>
        <a:lstStyle/>
        <a:p>
          <a:pPr algn="ctr" rtl="0">
            <a:defRPr sz="1000"/>
          </a:pPr>
          <a:r>
            <a:rPr lang="en-US" sz="1000" b="0" i="0" u="none" strike="noStrike" baseline="0">
              <a:solidFill>
                <a:srgbClr val="000000"/>
              </a:solidFill>
              <a:latin typeface="Arial"/>
              <a:cs typeface="Arial"/>
            </a:rPr>
            <a:t>3</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6</xdr:col>
      <xdr:colOff>476249</xdr:colOff>
      <xdr:row>24</xdr:row>
      <xdr:rowOff>114299</xdr:rowOff>
    </xdr:from>
    <xdr:to>
      <xdr:col>7</xdr:col>
      <xdr:colOff>66674</xdr:colOff>
      <xdr:row>25</xdr:row>
      <xdr:rowOff>123824</xdr:rowOff>
    </xdr:to>
    <xdr:sp macro="" textlink="">
      <xdr:nvSpPr>
        <xdr:cNvPr id="37" name="Text Box 31">
          <a:extLst>
            <a:ext uri="{FF2B5EF4-FFF2-40B4-BE49-F238E27FC236}">
              <a16:creationId xmlns:a16="http://schemas.microsoft.com/office/drawing/2014/main" id="{00000000-0008-0000-0200-000025000000}"/>
            </a:ext>
          </a:extLst>
        </xdr:cNvPr>
        <xdr:cNvSpPr txBox="1">
          <a:spLocks noChangeArrowheads="1"/>
        </xdr:cNvSpPr>
      </xdr:nvSpPr>
      <xdr:spPr bwMode="auto">
        <a:xfrm>
          <a:off x="3124199" y="4400549"/>
          <a:ext cx="200025" cy="161925"/>
        </a:xfrm>
        <a:prstGeom prst="rect">
          <a:avLst/>
        </a:prstGeom>
        <a:noFill/>
        <a:ln w="9525">
          <a:noFill/>
          <a:miter lim="800000"/>
          <a:headEnd/>
          <a:tailEnd/>
        </a:ln>
      </xdr:spPr>
      <xdr:txBody>
        <a:bodyPr vertOverflow="clip" wrap="square" lIns="0" tIns="0" rIns="0" bIns="0" anchor="t" upright="1"/>
        <a:lstStyle/>
        <a:p>
          <a:pPr algn="ctr" rtl="0">
            <a:defRPr sz="1000"/>
          </a:pPr>
          <a:r>
            <a:rPr lang="en-US" sz="1000" b="0" i="0" u="none" strike="noStrike" baseline="0">
              <a:solidFill>
                <a:srgbClr val="000000"/>
              </a:solidFill>
              <a:latin typeface="Arial"/>
              <a:cs typeface="Arial"/>
            </a:rPr>
            <a:t>6</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3</xdr:col>
      <xdr:colOff>457200</xdr:colOff>
      <xdr:row>24</xdr:row>
      <xdr:rowOff>123825</xdr:rowOff>
    </xdr:from>
    <xdr:to>
      <xdr:col>4</xdr:col>
      <xdr:colOff>38100</xdr:colOff>
      <xdr:row>25</xdr:row>
      <xdr:rowOff>114300</xdr:rowOff>
    </xdr:to>
    <xdr:sp macro="" textlink="">
      <xdr:nvSpPr>
        <xdr:cNvPr id="38" name="Text Box 31">
          <a:extLst>
            <a:ext uri="{FF2B5EF4-FFF2-40B4-BE49-F238E27FC236}">
              <a16:creationId xmlns:a16="http://schemas.microsoft.com/office/drawing/2014/main" id="{00000000-0008-0000-0200-000026000000}"/>
            </a:ext>
          </a:extLst>
        </xdr:cNvPr>
        <xdr:cNvSpPr txBox="1">
          <a:spLocks noChangeArrowheads="1"/>
        </xdr:cNvSpPr>
      </xdr:nvSpPr>
      <xdr:spPr bwMode="auto">
        <a:xfrm>
          <a:off x="1781175" y="4410075"/>
          <a:ext cx="190500" cy="142875"/>
        </a:xfrm>
        <a:prstGeom prst="rect">
          <a:avLst/>
        </a:prstGeom>
        <a:noFill/>
        <a:ln w="9525">
          <a:noFill/>
          <a:miter lim="800000"/>
          <a:headEnd/>
          <a:tailEnd/>
        </a:ln>
      </xdr:spPr>
      <xdr:txBody>
        <a:bodyPr vertOverflow="clip" wrap="square" lIns="0" tIns="0" rIns="0" bIns="0" anchor="t" upright="1"/>
        <a:lstStyle/>
        <a:p>
          <a:pPr algn="ctr" rtl="0">
            <a:defRPr sz="1000"/>
          </a:pPr>
          <a:r>
            <a:rPr lang="en-US" sz="1000" b="0" i="0" u="none" strike="noStrike" baseline="0">
              <a:solidFill>
                <a:srgbClr val="000000"/>
              </a:solidFill>
              <a:latin typeface="Arial"/>
              <a:cs typeface="Arial"/>
            </a:rPr>
            <a:t>5</a:t>
          </a:r>
        </a:p>
        <a:p>
          <a:pPr algn="l" rtl="0">
            <a:defRPr sz="1000"/>
          </a:pPr>
          <a:endParaRPr lang="en-US" sz="1000" b="0" i="0" u="none" strike="noStrike" baseline="0">
            <a:solidFill>
              <a:srgbClr val="000000"/>
            </a:solidFill>
            <a:latin typeface="Arial"/>
            <a:cs typeface="Arial"/>
          </a:endParaRPr>
        </a:p>
      </xdr:txBody>
    </xdr:sp>
    <xdr:clientData/>
  </xdr:twoCellAnchor>
  <xdr:twoCellAnchor editAs="oneCell">
    <xdr:from>
      <xdr:col>0</xdr:col>
      <xdr:colOff>400050</xdr:colOff>
      <xdr:row>24</xdr:row>
      <xdr:rowOff>66675</xdr:rowOff>
    </xdr:from>
    <xdr:to>
      <xdr:col>1</xdr:col>
      <xdr:colOff>243861</xdr:colOff>
      <xdr:row>25</xdr:row>
      <xdr:rowOff>121557</xdr:rowOff>
    </xdr:to>
    <xdr:pic>
      <xdr:nvPicPr>
        <xdr:cNvPr id="42" name="Picture 41">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2" cstate="print"/>
        <a:stretch>
          <a:fillRect/>
        </a:stretch>
      </xdr:blipFill>
      <xdr:spPr>
        <a:xfrm>
          <a:off x="400050" y="3952875"/>
          <a:ext cx="243861" cy="207282"/>
        </a:xfrm>
        <a:prstGeom prst="rect">
          <a:avLst/>
        </a:prstGeom>
      </xdr:spPr>
    </xdr:pic>
    <xdr:clientData/>
  </xdr:twoCellAnchor>
  <xdr:twoCellAnchor editAs="oneCell">
    <xdr:from>
      <xdr:col>9</xdr:col>
      <xdr:colOff>0</xdr:colOff>
      <xdr:row>24</xdr:row>
      <xdr:rowOff>57150</xdr:rowOff>
    </xdr:from>
    <xdr:to>
      <xdr:col>9</xdr:col>
      <xdr:colOff>243861</xdr:colOff>
      <xdr:row>25</xdr:row>
      <xdr:rowOff>112032</xdr:rowOff>
    </xdr:to>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3" cstate="print"/>
        <a:stretch>
          <a:fillRect/>
        </a:stretch>
      </xdr:blipFill>
      <xdr:spPr>
        <a:xfrm>
          <a:off x="4429125" y="4343400"/>
          <a:ext cx="243861" cy="207282"/>
        </a:xfrm>
        <a:prstGeom prst="rect">
          <a:avLst/>
        </a:prstGeom>
      </xdr:spPr>
    </xdr:pic>
    <xdr:clientData/>
  </xdr:twoCellAnchor>
  <xdr:twoCellAnchor>
    <xdr:from>
      <xdr:col>1</xdr:col>
      <xdr:colOff>0</xdr:colOff>
      <xdr:row>15</xdr:row>
      <xdr:rowOff>104775</xdr:rowOff>
    </xdr:from>
    <xdr:to>
      <xdr:col>1</xdr:col>
      <xdr:colOff>133350</xdr:colOff>
      <xdr:row>16</xdr:row>
      <xdr:rowOff>104775</xdr:rowOff>
    </xdr:to>
    <xdr:sp macro="" textlink="">
      <xdr:nvSpPr>
        <xdr:cNvPr id="1056" name="Text Box 32">
          <a:extLst>
            <a:ext uri="{FF2B5EF4-FFF2-40B4-BE49-F238E27FC236}">
              <a16:creationId xmlns:a16="http://schemas.microsoft.com/office/drawing/2014/main" id="{00000000-0008-0000-0200-000020040000}"/>
            </a:ext>
          </a:extLst>
        </xdr:cNvPr>
        <xdr:cNvSpPr txBox="1">
          <a:spLocks noChangeArrowheads="1"/>
        </xdr:cNvSpPr>
      </xdr:nvSpPr>
      <xdr:spPr bwMode="auto">
        <a:xfrm>
          <a:off x="381000" y="2619375"/>
          <a:ext cx="133350" cy="15240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A</a:t>
          </a:r>
        </a:p>
      </xdr:txBody>
    </xdr:sp>
    <xdr:clientData/>
  </xdr:twoCellAnchor>
  <xdr:twoCellAnchor>
    <xdr:from>
      <xdr:col>2</xdr:col>
      <xdr:colOff>28575</xdr:colOff>
      <xdr:row>15</xdr:row>
      <xdr:rowOff>85727</xdr:rowOff>
    </xdr:from>
    <xdr:to>
      <xdr:col>2</xdr:col>
      <xdr:colOff>219075</xdr:colOff>
      <xdr:row>16</xdr:row>
      <xdr:rowOff>76201</xdr:rowOff>
    </xdr:to>
    <xdr:sp macro="" textlink="">
      <xdr:nvSpPr>
        <xdr:cNvPr id="45" name="Text Box 32">
          <a:extLst>
            <a:ext uri="{FF2B5EF4-FFF2-40B4-BE49-F238E27FC236}">
              <a16:creationId xmlns:a16="http://schemas.microsoft.com/office/drawing/2014/main" id="{00000000-0008-0000-0200-00002D000000}"/>
            </a:ext>
          </a:extLst>
        </xdr:cNvPr>
        <xdr:cNvSpPr txBox="1">
          <a:spLocks noChangeArrowheads="1"/>
        </xdr:cNvSpPr>
      </xdr:nvSpPr>
      <xdr:spPr bwMode="auto">
        <a:xfrm>
          <a:off x="742950" y="2600327"/>
          <a:ext cx="190500" cy="142874"/>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B</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3</xdr:col>
      <xdr:colOff>400050</xdr:colOff>
      <xdr:row>15</xdr:row>
      <xdr:rowOff>95250</xdr:rowOff>
    </xdr:from>
    <xdr:to>
      <xdr:col>3</xdr:col>
      <xdr:colOff>590550</xdr:colOff>
      <xdr:row>16</xdr:row>
      <xdr:rowOff>95250</xdr:rowOff>
    </xdr:to>
    <xdr:sp macro="" textlink="">
      <xdr:nvSpPr>
        <xdr:cNvPr id="46" name="Text Box 32">
          <a:extLst>
            <a:ext uri="{FF2B5EF4-FFF2-40B4-BE49-F238E27FC236}">
              <a16:creationId xmlns:a16="http://schemas.microsoft.com/office/drawing/2014/main" id="{00000000-0008-0000-0200-00002E000000}"/>
            </a:ext>
          </a:extLst>
        </xdr:cNvPr>
        <xdr:cNvSpPr txBox="1">
          <a:spLocks noChangeArrowheads="1"/>
        </xdr:cNvSpPr>
      </xdr:nvSpPr>
      <xdr:spPr bwMode="auto">
        <a:xfrm>
          <a:off x="1724025" y="2609850"/>
          <a:ext cx="190500" cy="15240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C</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4</xdr:col>
      <xdr:colOff>161925</xdr:colOff>
      <xdr:row>15</xdr:row>
      <xdr:rowOff>79375</xdr:rowOff>
    </xdr:from>
    <xdr:to>
      <xdr:col>4</xdr:col>
      <xdr:colOff>323850</xdr:colOff>
      <xdr:row>16</xdr:row>
      <xdr:rowOff>136525</xdr:rowOff>
    </xdr:to>
    <xdr:sp macro="" textlink="">
      <xdr:nvSpPr>
        <xdr:cNvPr id="47" name="Text Box 32">
          <a:extLst>
            <a:ext uri="{FF2B5EF4-FFF2-40B4-BE49-F238E27FC236}">
              <a16:creationId xmlns:a16="http://schemas.microsoft.com/office/drawing/2014/main" id="{00000000-0008-0000-0200-00002F000000}"/>
            </a:ext>
          </a:extLst>
        </xdr:cNvPr>
        <xdr:cNvSpPr txBox="1">
          <a:spLocks noChangeArrowheads="1"/>
        </xdr:cNvSpPr>
      </xdr:nvSpPr>
      <xdr:spPr bwMode="auto">
        <a:xfrm>
          <a:off x="2109258" y="3000375"/>
          <a:ext cx="161925" cy="205317"/>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D</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304800</xdr:colOff>
      <xdr:row>19</xdr:row>
      <xdr:rowOff>190500</xdr:rowOff>
    </xdr:from>
    <xdr:to>
      <xdr:col>0</xdr:col>
      <xdr:colOff>495300</xdr:colOff>
      <xdr:row>20</xdr:row>
      <xdr:rowOff>190500</xdr:rowOff>
    </xdr:to>
    <xdr:sp macro="" textlink="">
      <xdr:nvSpPr>
        <xdr:cNvPr id="24" name="Text Box 32">
          <a:extLst>
            <a:ext uri="{FF2B5EF4-FFF2-40B4-BE49-F238E27FC236}">
              <a16:creationId xmlns:a16="http://schemas.microsoft.com/office/drawing/2014/main" id="{00000000-0008-0000-0200-000018000000}"/>
            </a:ext>
          </a:extLst>
        </xdr:cNvPr>
        <xdr:cNvSpPr txBox="1">
          <a:spLocks noChangeArrowheads="1"/>
        </xdr:cNvSpPr>
      </xdr:nvSpPr>
      <xdr:spPr bwMode="auto">
        <a:xfrm>
          <a:off x="304800" y="2600325"/>
          <a:ext cx="190500" cy="200025"/>
        </a:xfrm>
        <a:prstGeom prst="rect">
          <a:avLst/>
        </a:prstGeom>
        <a:noFill/>
        <a:ln w="9525">
          <a:noFill/>
          <a:miter lim="800000"/>
          <a:headEnd/>
          <a:tailEnd/>
        </a:ln>
      </xdr:spPr>
      <xdr:txBody>
        <a:bodyPr vertOverflow="clip" vert="vert270" wrap="square" lIns="0" tIns="0" rIns="0" bIns="0" anchor="t" upright="1"/>
        <a:lstStyle/>
        <a:p>
          <a:pPr algn="r" rtl="0">
            <a:defRPr sz="1000"/>
          </a:pPr>
          <a:endParaRPr lang="en-US" sz="800" b="0" i="0" u="none" strike="noStrike" baseline="0">
            <a:solidFill>
              <a:srgbClr val="000000"/>
            </a:solidFill>
            <a:latin typeface="Arial"/>
            <a:cs typeface="Arial"/>
          </a:endParaRPr>
        </a:p>
      </xdr:txBody>
    </xdr:sp>
    <xdr:clientData/>
  </xdr:twoCellAnchor>
  <xdr:twoCellAnchor>
    <xdr:from>
      <xdr:col>1</xdr:col>
      <xdr:colOff>66675</xdr:colOff>
      <xdr:row>19</xdr:row>
      <xdr:rowOff>180975</xdr:rowOff>
    </xdr:from>
    <xdr:to>
      <xdr:col>1</xdr:col>
      <xdr:colOff>257175</xdr:colOff>
      <xdr:row>20</xdr:row>
      <xdr:rowOff>180975</xdr:rowOff>
    </xdr:to>
    <xdr:sp macro="" textlink="">
      <xdr:nvSpPr>
        <xdr:cNvPr id="26" name="Text Box 32">
          <a:extLst>
            <a:ext uri="{FF2B5EF4-FFF2-40B4-BE49-F238E27FC236}">
              <a16:creationId xmlns:a16="http://schemas.microsoft.com/office/drawing/2014/main" id="{00000000-0008-0000-0200-00001A000000}"/>
            </a:ext>
          </a:extLst>
        </xdr:cNvPr>
        <xdr:cNvSpPr txBox="1">
          <a:spLocks noChangeArrowheads="1"/>
        </xdr:cNvSpPr>
      </xdr:nvSpPr>
      <xdr:spPr bwMode="auto">
        <a:xfrm>
          <a:off x="676275" y="2590800"/>
          <a:ext cx="190500" cy="200025"/>
        </a:xfrm>
        <a:prstGeom prst="rect">
          <a:avLst/>
        </a:prstGeom>
        <a:noFill/>
        <a:ln w="9525">
          <a:noFill/>
          <a:miter lim="800000"/>
          <a:headEnd/>
          <a:tailEnd/>
        </a:ln>
      </xdr:spPr>
      <xdr:txBody>
        <a:bodyPr vertOverflow="clip" vert="vert270" wrap="square" lIns="0" tIns="0" rIns="0" bIns="0" anchor="t" upright="1"/>
        <a:lstStyle/>
        <a:p>
          <a:pPr algn="r" rtl="0">
            <a:defRPr sz="1000"/>
          </a:pPr>
          <a:endParaRPr lang="en-US" sz="800" b="0" i="0" u="none" strike="noStrike" baseline="0">
            <a:solidFill>
              <a:srgbClr val="000000"/>
            </a:solidFill>
            <a:latin typeface="Arial"/>
            <a:cs typeface="Arial"/>
          </a:endParaRP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6</xdr:col>
      <xdr:colOff>428625</xdr:colOff>
      <xdr:row>15</xdr:row>
      <xdr:rowOff>66675</xdr:rowOff>
    </xdr:from>
    <xdr:to>
      <xdr:col>7</xdr:col>
      <xdr:colOff>9525</xdr:colOff>
      <xdr:row>16</xdr:row>
      <xdr:rowOff>66675</xdr:rowOff>
    </xdr:to>
    <xdr:sp macro="" textlink="">
      <xdr:nvSpPr>
        <xdr:cNvPr id="32" name="Text Box 32">
          <a:extLst>
            <a:ext uri="{FF2B5EF4-FFF2-40B4-BE49-F238E27FC236}">
              <a16:creationId xmlns:a16="http://schemas.microsoft.com/office/drawing/2014/main" id="{00000000-0008-0000-0200-000020000000}"/>
            </a:ext>
          </a:extLst>
        </xdr:cNvPr>
        <xdr:cNvSpPr txBox="1">
          <a:spLocks noChangeArrowheads="1"/>
        </xdr:cNvSpPr>
      </xdr:nvSpPr>
      <xdr:spPr bwMode="auto">
        <a:xfrm>
          <a:off x="3076575" y="2981325"/>
          <a:ext cx="190500" cy="15240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E</a:t>
          </a:r>
        </a:p>
      </xdr:txBody>
    </xdr:sp>
    <xdr:clientData/>
  </xdr:twoCellAnchor>
  <xdr:twoCellAnchor>
    <xdr:from>
      <xdr:col>7</xdr:col>
      <xdr:colOff>180975</xdr:colOff>
      <xdr:row>15</xdr:row>
      <xdr:rowOff>47625</xdr:rowOff>
    </xdr:from>
    <xdr:to>
      <xdr:col>7</xdr:col>
      <xdr:colOff>342900</xdr:colOff>
      <xdr:row>16</xdr:row>
      <xdr:rowOff>104775</xdr:rowOff>
    </xdr:to>
    <xdr:sp macro="" textlink="">
      <xdr:nvSpPr>
        <xdr:cNvPr id="39" name="Text Box 32">
          <a:extLst>
            <a:ext uri="{FF2B5EF4-FFF2-40B4-BE49-F238E27FC236}">
              <a16:creationId xmlns:a16="http://schemas.microsoft.com/office/drawing/2014/main" id="{00000000-0008-0000-0200-000027000000}"/>
            </a:ext>
          </a:extLst>
        </xdr:cNvPr>
        <xdr:cNvSpPr txBox="1">
          <a:spLocks noChangeArrowheads="1"/>
        </xdr:cNvSpPr>
      </xdr:nvSpPr>
      <xdr:spPr bwMode="auto">
        <a:xfrm>
          <a:off x="3438525" y="2962275"/>
          <a:ext cx="161925" cy="20955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F</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8</xdr:col>
      <xdr:colOff>552450</xdr:colOff>
      <xdr:row>15</xdr:row>
      <xdr:rowOff>57150</xdr:rowOff>
    </xdr:from>
    <xdr:to>
      <xdr:col>9</xdr:col>
      <xdr:colOff>180975</xdr:colOff>
      <xdr:row>16</xdr:row>
      <xdr:rowOff>57150</xdr:rowOff>
    </xdr:to>
    <xdr:sp macro="" textlink="">
      <xdr:nvSpPr>
        <xdr:cNvPr id="40" name="Text Box 32">
          <a:extLst>
            <a:ext uri="{FF2B5EF4-FFF2-40B4-BE49-F238E27FC236}">
              <a16:creationId xmlns:a16="http://schemas.microsoft.com/office/drawing/2014/main" id="{00000000-0008-0000-0200-000028000000}"/>
            </a:ext>
          </a:extLst>
        </xdr:cNvPr>
        <xdr:cNvSpPr txBox="1">
          <a:spLocks noChangeArrowheads="1"/>
        </xdr:cNvSpPr>
      </xdr:nvSpPr>
      <xdr:spPr bwMode="auto">
        <a:xfrm>
          <a:off x="4419600" y="2971800"/>
          <a:ext cx="190500" cy="15240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G</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9</xdr:col>
      <xdr:colOff>371475</xdr:colOff>
      <xdr:row>15</xdr:row>
      <xdr:rowOff>47625</xdr:rowOff>
    </xdr:from>
    <xdr:to>
      <xdr:col>9</xdr:col>
      <xdr:colOff>533400</xdr:colOff>
      <xdr:row>16</xdr:row>
      <xdr:rowOff>104775</xdr:rowOff>
    </xdr:to>
    <xdr:sp macro="" textlink="">
      <xdr:nvSpPr>
        <xdr:cNvPr id="41" name="Text Box 32">
          <a:extLst>
            <a:ext uri="{FF2B5EF4-FFF2-40B4-BE49-F238E27FC236}">
              <a16:creationId xmlns:a16="http://schemas.microsoft.com/office/drawing/2014/main" id="{00000000-0008-0000-0200-000029000000}"/>
            </a:ext>
          </a:extLst>
        </xdr:cNvPr>
        <xdr:cNvSpPr txBox="1">
          <a:spLocks noChangeArrowheads="1"/>
        </xdr:cNvSpPr>
      </xdr:nvSpPr>
      <xdr:spPr bwMode="auto">
        <a:xfrm>
          <a:off x="4800600" y="2962275"/>
          <a:ext cx="161925" cy="20955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H</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371475</xdr:colOff>
      <xdr:row>27</xdr:row>
      <xdr:rowOff>28575</xdr:rowOff>
    </xdr:from>
    <xdr:to>
      <xdr:col>1</xdr:col>
      <xdr:colOff>123825</xdr:colOff>
      <xdr:row>28</xdr:row>
      <xdr:rowOff>28575</xdr:rowOff>
    </xdr:to>
    <xdr:sp macro="" textlink="">
      <xdr:nvSpPr>
        <xdr:cNvPr id="50" name="Text Box 32">
          <a:extLst>
            <a:ext uri="{FF2B5EF4-FFF2-40B4-BE49-F238E27FC236}">
              <a16:creationId xmlns:a16="http://schemas.microsoft.com/office/drawing/2014/main" id="{00000000-0008-0000-0200-000032000000}"/>
            </a:ext>
          </a:extLst>
        </xdr:cNvPr>
        <xdr:cNvSpPr txBox="1">
          <a:spLocks noChangeArrowheads="1"/>
        </xdr:cNvSpPr>
      </xdr:nvSpPr>
      <xdr:spPr bwMode="auto">
        <a:xfrm>
          <a:off x="371475" y="4772025"/>
          <a:ext cx="133350" cy="15240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I</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2</xdr:col>
      <xdr:colOff>28575</xdr:colOff>
      <xdr:row>27</xdr:row>
      <xdr:rowOff>28575</xdr:rowOff>
    </xdr:from>
    <xdr:to>
      <xdr:col>2</xdr:col>
      <xdr:colOff>219075</xdr:colOff>
      <xdr:row>28</xdr:row>
      <xdr:rowOff>19049</xdr:rowOff>
    </xdr:to>
    <xdr:sp macro="" textlink="">
      <xdr:nvSpPr>
        <xdr:cNvPr id="51" name="Text Box 32">
          <a:extLst>
            <a:ext uri="{FF2B5EF4-FFF2-40B4-BE49-F238E27FC236}">
              <a16:creationId xmlns:a16="http://schemas.microsoft.com/office/drawing/2014/main" id="{00000000-0008-0000-0200-000033000000}"/>
            </a:ext>
          </a:extLst>
        </xdr:cNvPr>
        <xdr:cNvSpPr txBox="1">
          <a:spLocks noChangeArrowheads="1"/>
        </xdr:cNvSpPr>
      </xdr:nvSpPr>
      <xdr:spPr bwMode="auto">
        <a:xfrm>
          <a:off x="742950" y="4772025"/>
          <a:ext cx="190500" cy="142874"/>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J</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3</xdr:col>
      <xdr:colOff>390525</xdr:colOff>
      <xdr:row>27</xdr:row>
      <xdr:rowOff>28575</xdr:rowOff>
    </xdr:from>
    <xdr:to>
      <xdr:col>3</xdr:col>
      <xdr:colOff>581025</xdr:colOff>
      <xdr:row>28</xdr:row>
      <xdr:rowOff>28575</xdr:rowOff>
    </xdr:to>
    <xdr:sp macro="" textlink="">
      <xdr:nvSpPr>
        <xdr:cNvPr id="54" name="Text Box 32">
          <a:extLst>
            <a:ext uri="{FF2B5EF4-FFF2-40B4-BE49-F238E27FC236}">
              <a16:creationId xmlns:a16="http://schemas.microsoft.com/office/drawing/2014/main" id="{00000000-0008-0000-0200-000036000000}"/>
            </a:ext>
          </a:extLst>
        </xdr:cNvPr>
        <xdr:cNvSpPr txBox="1">
          <a:spLocks noChangeArrowheads="1"/>
        </xdr:cNvSpPr>
      </xdr:nvSpPr>
      <xdr:spPr bwMode="auto">
        <a:xfrm>
          <a:off x="1714500" y="4772025"/>
          <a:ext cx="190500" cy="15240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K</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4</xdr:col>
      <xdr:colOff>142875</xdr:colOff>
      <xdr:row>27</xdr:row>
      <xdr:rowOff>0</xdr:rowOff>
    </xdr:from>
    <xdr:to>
      <xdr:col>4</xdr:col>
      <xdr:colOff>304800</xdr:colOff>
      <xdr:row>28</xdr:row>
      <xdr:rowOff>57150</xdr:rowOff>
    </xdr:to>
    <xdr:sp macro="" textlink="">
      <xdr:nvSpPr>
        <xdr:cNvPr id="56" name="Text Box 32">
          <a:extLst>
            <a:ext uri="{FF2B5EF4-FFF2-40B4-BE49-F238E27FC236}">
              <a16:creationId xmlns:a16="http://schemas.microsoft.com/office/drawing/2014/main" id="{00000000-0008-0000-0200-000038000000}"/>
            </a:ext>
          </a:extLst>
        </xdr:cNvPr>
        <xdr:cNvSpPr txBox="1">
          <a:spLocks noChangeArrowheads="1"/>
        </xdr:cNvSpPr>
      </xdr:nvSpPr>
      <xdr:spPr bwMode="auto">
        <a:xfrm>
          <a:off x="2076450" y="4743450"/>
          <a:ext cx="161925" cy="20955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L</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6</xdr:col>
      <xdr:colOff>428625</xdr:colOff>
      <xdr:row>27</xdr:row>
      <xdr:rowOff>0</xdr:rowOff>
    </xdr:from>
    <xdr:to>
      <xdr:col>7</xdr:col>
      <xdr:colOff>9525</xdr:colOff>
      <xdr:row>28</xdr:row>
      <xdr:rowOff>0</xdr:rowOff>
    </xdr:to>
    <xdr:sp macro="" textlink="">
      <xdr:nvSpPr>
        <xdr:cNvPr id="57" name="Text Box 32">
          <a:extLst>
            <a:ext uri="{FF2B5EF4-FFF2-40B4-BE49-F238E27FC236}">
              <a16:creationId xmlns:a16="http://schemas.microsoft.com/office/drawing/2014/main" id="{00000000-0008-0000-0200-000039000000}"/>
            </a:ext>
          </a:extLst>
        </xdr:cNvPr>
        <xdr:cNvSpPr txBox="1">
          <a:spLocks noChangeArrowheads="1"/>
        </xdr:cNvSpPr>
      </xdr:nvSpPr>
      <xdr:spPr bwMode="auto">
        <a:xfrm>
          <a:off x="3076575" y="4743450"/>
          <a:ext cx="190500" cy="15240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M</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7</xdr:col>
      <xdr:colOff>190500</xdr:colOff>
      <xdr:row>26</xdr:row>
      <xdr:rowOff>133350</xdr:rowOff>
    </xdr:from>
    <xdr:to>
      <xdr:col>7</xdr:col>
      <xdr:colOff>352425</xdr:colOff>
      <xdr:row>28</xdr:row>
      <xdr:rowOff>38100</xdr:rowOff>
    </xdr:to>
    <xdr:sp macro="" textlink="">
      <xdr:nvSpPr>
        <xdr:cNvPr id="58" name="Text Box 32">
          <a:extLst>
            <a:ext uri="{FF2B5EF4-FFF2-40B4-BE49-F238E27FC236}">
              <a16:creationId xmlns:a16="http://schemas.microsoft.com/office/drawing/2014/main" id="{00000000-0008-0000-0200-00003A000000}"/>
            </a:ext>
          </a:extLst>
        </xdr:cNvPr>
        <xdr:cNvSpPr txBox="1">
          <a:spLocks noChangeArrowheads="1"/>
        </xdr:cNvSpPr>
      </xdr:nvSpPr>
      <xdr:spPr bwMode="auto">
        <a:xfrm>
          <a:off x="3448050" y="4724400"/>
          <a:ext cx="161925" cy="20955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N</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8</xdr:col>
      <xdr:colOff>552450</xdr:colOff>
      <xdr:row>27</xdr:row>
      <xdr:rowOff>38100</xdr:rowOff>
    </xdr:from>
    <xdr:to>
      <xdr:col>9</xdr:col>
      <xdr:colOff>180975</xdr:colOff>
      <xdr:row>28</xdr:row>
      <xdr:rowOff>38100</xdr:rowOff>
    </xdr:to>
    <xdr:sp macro="" textlink="">
      <xdr:nvSpPr>
        <xdr:cNvPr id="59" name="Text Box 32">
          <a:extLst>
            <a:ext uri="{FF2B5EF4-FFF2-40B4-BE49-F238E27FC236}">
              <a16:creationId xmlns:a16="http://schemas.microsoft.com/office/drawing/2014/main" id="{00000000-0008-0000-0200-00003B000000}"/>
            </a:ext>
          </a:extLst>
        </xdr:cNvPr>
        <xdr:cNvSpPr txBox="1">
          <a:spLocks noChangeArrowheads="1"/>
        </xdr:cNvSpPr>
      </xdr:nvSpPr>
      <xdr:spPr bwMode="auto">
        <a:xfrm>
          <a:off x="4419600" y="4781550"/>
          <a:ext cx="190500" cy="15240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O</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9</xdr:col>
      <xdr:colOff>361950</xdr:colOff>
      <xdr:row>27</xdr:row>
      <xdr:rowOff>28575</xdr:rowOff>
    </xdr:from>
    <xdr:to>
      <xdr:col>9</xdr:col>
      <xdr:colOff>523875</xdr:colOff>
      <xdr:row>28</xdr:row>
      <xdr:rowOff>85725</xdr:rowOff>
    </xdr:to>
    <xdr:sp macro="" textlink="">
      <xdr:nvSpPr>
        <xdr:cNvPr id="60" name="Text Box 32">
          <a:extLst>
            <a:ext uri="{FF2B5EF4-FFF2-40B4-BE49-F238E27FC236}">
              <a16:creationId xmlns:a16="http://schemas.microsoft.com/office/drawing/2014/main" id="{00000000-0008-0000-0200-00003C000000}"/>
            </a:ext>
          </a:extLst>
        </xdr:cNvPr>
        <xdr:cNvSpPr txBox="1">
          <a:spLocks noChangeArrowheads="1"/>
        </xdr:cNvSpPr>
      </xdr:nvSpPr>
      <xdr:spPr bwMode="auto">
        <a:xfrm>
          <a:off x="4791075" y="4772025"/>
          <a:ext cx="161925" cy="209550"/>
        </a:xfrm>
        <a:prstGeom prst="rect">
          <a:avLst/>
        </a:prstGeom>
        <a:noFill/>
        <a:ln w="9525">
          <a:noFill/>
          <a:miter lim="800000"/>
          <a:headEnd/>
          <a:tailEnd/>
        </a:ln>
      </xdr:spPr>
      <xdr:txBody>
        <a:bodyPr vertOverflow="clip" vert="vert270" wrap="square" lIns="0" tIns="0" rIns="0" bIns="0" anchor="t" upright="1"/>
        <a:lstStyle/>
        <a:p>
          <a:pPr algn="r" rtl="0">
            <a:defRPr sz="1000"/>
          </a:pPr>
          <a:r>
            <a:rPr lang="en-US" sz="800" b="0" i="0" u="none" strike="noStrike" baseline="0">
              <a:solidFill>
                <a:srgbClr val="000000"/>
              </a:solidFill>
              <a:latin typeface="Arial"/>
              <a:cs typeface="Arial"/>
            </a:rPr>
            <a:t>P</a:t>
          </a:r>
        </a:p>
        <a:p>
          <a:pPr algn="r"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372533</xdr:colOff>
      <xdr:row>12</xdr:row>
      <xdr:rowOff>169333</xdr:rowOff>
    </xdr:from>
    <xdr:to>
      <xdr:col>1</xdr:col>
      <xdr:colOff>134408</xdr:colOff>
      <xdr:row>14</xdr:row>
      <xdr:rowOff>34924</xdr:rowOff>
    </xdr:to>
    <xdr:sp macro="" textlink="">
      <xdr:nvSpPr>
        <xdr:cNvPr id="30" name="Text Box 31">
          <a:extLst>
            <a:ext uri="{FF2B5EF4-FFF2-40B4-BE49-F238E27FC236}">
              <a16:creationId xmlns:a16="http://schemas.microsoft.com/office/drawing/2014/main" id="{00000000-0008-0000-0200-00001E000000}"/>
            </a:ext>
          </a:extLst>
        </xdr:cNvPr>
        <xdr:cNvSpPr txBox="1">
          <a:spLocks noChangeArrowheads="1"/>
        </xdr:cNvSpPr>
      </xdr:nvSpPr>
      <xdr:spPr bwMode="auto">
        <a:xfrm>
          <a:off x="372533" y="2592916"/>
          <a:ext cx="142875" cy="214841"/>
        </a:xfrm>
        <a:prstGeom prst="rect">
          <a:avLst/>
        </a:prstGeom>
        <a:noFill/>
        <a:ln w="9525">
          <a:noFill/>
          <a:miter lim="800000"/>
          <a:headEnd/>
          <a:tailEnd/>
        </a:ln>
      </xdr:spPr>
      <xdr:txBody>
        <a:bodyPr vertOverflow="clip" wrap="square" lIns="0" tIns="0" rIns="0" bIns="0" anchor="t" upright="1"/>
        <a:lstStyle/>
        <a:p>
          <a:pPr algn="ctr" rtl="0">
            <a:defRPr sz="1000"/>
          </a:pPr>
          <a:r>
            <a:rPr lang="en-US" sz="1000" b="0" i="0" u="none" strike="noStrike" baseline="0">
              <a:solidFill>
                <a:srgbClr val="000000"/>
              </a:solidFill>
              <a:latin typeface="Arial"/>
              <a:cs typeface="Arial"/>
            </a:rPr>
            <a:t>0</a:t>
          </a:r>
        </a:p>
        <a:p>
          <a:pPr algn="l" rtl="0">
            <a:defRPr sz="1000"/>
          </a:pPr>
          <a:endParaRPr lang="en-US"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X1775"/>
  <sheetViews>
    <sheetView tabSelected="1" zoomScale="90" zoomScaleNormal="90" workbookViewId="0">
      <pane ySplit="1" topLeftCell="A56" activePane="bottomLeft" state="frozen"/>
      <selection pane="bottomLeft" activeCell="B94" sqref="B94"/>
    </sheetView>
  </sheetViews>
  <sheetFormatPr defaultRowHeight="11.25" x14ac:dyDescent="0.2"/>
  <cols>
    <col min="1" max="1" width="9" style="12" customWidth="1"/>
    <col min="2" max="2" width="13.28515625" style="7" customWidth="1"/>
    <col min="3" max="3" width="12.28515625" style="7" customWidth="1"/>
    <col min="4" max="4" width="12.28515625" style="9" customWidth="1"/>
    <col min="5" max="5" width="41.5703125" style="12" customWidth="1"/>
    <col min="6" max="6" width="8.28515625" style="12" customWidth="1"/>
    <col min="7" max="7" width="8.140625" style="12" customWidth="1"/>
    <col min="8" max="8" width="8.42578125" style="12" hidden="1" customWidth="1"/>
    <col min="9" max="10" width="9.5703125" style="14" customWidth="1"/>
    <col min="11" max="11" width="40.28515625" style="15" customWidth="1"/>
    <col min="12" max="12" width="11.140625" style="15" bestFit="1" customWidth="1"/>
    <col min="13" max="14" width="11.140625" style="15" customWidth="1"/>
    <col min="15" max="15" width="14.5703125" style="19" customWidth="1"/>
    <col min="16" max="16" width="37.42578125" style="15" hidden="1" customWidth="1"/>
    <col min="17" max="17" width="36.140625" style="15" hidden="1" customWidth="1"/>
    <col min="18" max="19" width="11.85546875" style="148" customWidth="1"/>
    <col min="20" max="20" width="22.5703125" style="114" customWidth="1"/>
    <col min="21" max="53" width="3.7109375" style="12" customWidth="1"/>
    <col min="54" max="16384" width="9.140625" style="12"/>
  </cols>
  <sheetData>
    <row r="1" spans="1:20" s="6" customFormat="1" ht="79.5" customHeight="1" x14ac:dyDescent="0.4">
      <c r="A1" s="258"/>
      <c r="B1" s="251" t="s">
        <v>267</v>
      </c>
      <c r="C1" s="251" t="s">
        <v>896</v>
      </c>
      <c r="D1" s="251" t="s">
        <v>650</v>
      </c>
      <c r="E1" s="250" t="s">
        <v>772</v>
      </c>
      <c r="F1" s="251" t="s">
        <v>545</v>
      </c>
      <c r="G1" s="251" t="s">
        <v>546</v>
      </c>
      <c r="H1" s="251"/>
      <c r="I1" s="249" t="s">
        <v>562</v>
      </c>
      <c r="J1" s="249" t="s">
        <v>485</v>
      </c>
      <c r="K1" s="251" t="s">
        <v>574</v>
      </c>
      <c r="L1" s="251" t="s">
        <v>233</v>
      </c>
      <c r="M1" s="251"/>
      <c r="N1" s="249"/>
      <c r="O1" s="249"/>
      <c r="P1" s="251" t="s">
        <v>300</v>
      </c>
      <c r="Q1" s="251" t="s">
        <v>344</v>
      </c>
      <c r="R1" s="252"/>
      <c r="S1" s="252" t="s">
        <v>1778</v>
      </c>
      <c r="T1" s="253" t="s">
        <v>580</v>
      </c>
    </row>
    <row r="2" spans="1:20" s="6" customFormat="1" ht="15" customHeight="1" x14ac:dyDescent="0.2">
      <c r="A2" s="249"/>
      <c r="B2" s="249"/>
      <c r="C2" s="249"/>
      <c r="D2" s="249"/>
      <c r="E2" s="250"/>
      <c r="F2" s="251"/>
      <c r="G2" s="251"/>
      <c r="H2" s="251"/>
      <c r="I2" s="249"/>
      <c r="J2" s="249"/>
      <c r="K2" s="251"/>
      <c r="L2" s="251"/>
      <c r="M2" s="251"/>
      <c r="N2" s="249"/>
      <c r="O2" s="249"/>
      <c r="P2" s="251"/>
      <c r="Q2" s="251"/>
      <c r="R2" s="252"/>
      <c r="S2" s="252"/>
      <c r="T2" s="253"/>
    </row>
    <row r="3" spans="1:20" s="6" customFormat="1" ht="15" customHeight="1" x14ac:dyDescent="0.2">
      <c r="A3" s="249"/>
      <c r="B3" s="249"/>
      <c r="C3" s="249"/>
      <c r="D3" s="254"/>
      <c r="E3" s="255"/>
      <c r="F3" s="255"/>
      <c r="G3" s="255"/>
      <c r="H3" s="255"/>
      <c r="I3" s="256"/>
      <c r="J3" s="256"/>
      <c r="K3" s="255"/>
      <c r="L3" s="255"/>
      <c r="M3" s="255"/>
      <c r="N3" s="256"/>
      <c r="O3" s="256"/>
      <c r="P3" s="255"/>
      <c r="Q3" s="255"/>
      <c r="R3" s="256"/>
      <c r="S3" s="256"/>
      <c r="T3" s="257"/>
    </row>
    <row r="4" spans="1:20" s="6" customFormat="1" ht="15" customHeight="1" x14ac:dyDescent="0.2">
      <c r="A4" s="249"/>
      <c r="B4" s="249"/>
      <c r="C4" s="249"/>
      <c r="D4" s="254"/>
      <c r="E4" s="255"/>
      <c r="F4" s="255"/>
      <c r="G4" s="255"/>
      <c r="H4" s="255"/>
      <c r="I4" s="256"/>
      <c r="J4" s="256"/>
      <c r="K4" s="255"/>
      <c r="L4" s="255"/>
      <c r="M4" s="255"/>
      <c r="N4" s="256"/>
      <c r="O4" s="256"/>
      <c r="P4" s="255"/>
      <c r="Q4" s="255"/>
      <c r="R4" s="256"/>
      <c r="S4" s="256"/>
      <c r="T4" s="257"/>
    </row>
    <row r="5" spans="1:20" s="6" customFormat="1" ht="15" customHeight="1" x14ac:dyDescent="0.2">
      <c r="A5" s="249"/>
      <c r="B5" s="249"/>
      <c r="C5" s="249"/>
      <c r="D5" s="254"/>
      <c r="E5" s="255"/>
      <c r="F5" s="255"/>
      <c r="G5" s="255"/>
      <c r="H5" s="255"/>
      <c r="I5" s="256"/>
      <c r="J5" s="256"/>
      <c r="K5" s="255"/>
      <c r="L5" s="255"/>
      <c r="M5" s="255"/>
      <c r="N5" s="256"/>
      <c r="O5" s="256"/>
      <c r="P5" s="255"/>
      <c r="Q5" s="255"/>
      <c r="R5" s="256"/>
      <c r="S5" s="256"/>
      <c r="T5" s="257"/>
    </row>
    <row r="6" spans="1:20" ht="11.25" customHeight="1" x14ac:dyDescent="0.2">
      <c r="A6" s="33"/>
      <c r="B6" s="36"/>
      <c r="C6" s="36"/>
      <c r="D6" s="37"/>
      <c r="E6" s="470" t="s">
        <v>1812</v>
      </c>
      <c r="F6" s="33"/>
      <c r="G6" s="36"/>
      <c r="H6" s="36"/>
      <c r="I6" s="37"/>
      <c r="J6" s="37"/>
      <c r="K6" s="34"/>
      <c r="L6" s="34"/>
      <c r="M6" s="34"/>
      <c r="N6" s="34"/>
      <c r="O6" s="108"/>
      <c r="P6" s="120"/>
      <c r="Q6" s="120"/>
      <c r="R6" s="142"/>
      <c r="S6" s="142"/>
      <c r="T6" s="155"/>
    </row>
    <row r="7" spans="1:20" ht="11.25" customHeight="1" x14ac:dyDescent="0.2">
      <c r="A7" s="33"/>
      <c r="B7" s="36"/>
      <c r="C7" s="36"/>
      <c r="D7" s="37"/>
      <c r="E7" s="470"/>
      <c r="F7" s="33"/>
      <c r="G7" s="36"/>
      <c r="H7" s="36"/>
      <c r="I7" s="37"/>
      <c r="J7" s="37"/>
      <c r="K7" s="34"/>
      <c r="L7" s="34"/>
      <c r="M7" s="34"/>
      <c r="N7" s="34"/>
      <c r="O7" s="108"/>
      <c r="P7" s="120"/>
      <c r="Q7" s="120"/>
      <c r="R7" s="142"/>
      <c r="S7" s="142"/>
      <c r="T7" s="155"/>
    </row>
    <row r="8" spans="1:20" x14ac:dyDescent="0.2">
      <c r="A8" s="33"/>
      <c r="B8" s="47">
        <f>B9</f>
        <v>1</v>
      </c>
      <c r="C8" s="46"/>
      <c r="D8" s="48"/>
      <c r="E8" s="26" t="s">
        <v>1972</v>
      </c>
      <c r="F8" s="46"/>
      <c r="G8" s="46"/>
      <c r="H8" s="46"/>
      <c r="I8" s="48"/>
      <c r="J8" s="48"/>
      <c r="K8" s="49"/>
      <c r="L8" s="32"/>
      <c r="M8" s="32"/>
      <c r="N8" s="32"/>
      <c r="O8" s="32"/>
      <c r="R8" s="143"/>
      <c r="S8" s="143"/>
      <c r="T8" s="156"/>
    </row>
    <row r="9" spans="1:20" ht="11.25" customHeight="1" x14ac:dyDescent="0.2">
      <c r="A9" s="33" t="s">
        <v>230</v>
      </c>
      <c r="B9" s="7">
        <v>1</v>
      </c>
      <c r="C9" s="7">
        <f>B9+16</f>
        <v>17</v>
      </c>
      <c r="D9" s="168" t="s">
        <v>894</v>
      </c>
      <c r="E9" s="179" t="s">
        <v>1811</v>
      </c>
      <c r="F9" s="7">
        <v>16</v>
      </c>
      <c r="G9" s="7">
        <v>1</v>
      </c>
      <c r="H9" s="7"/>
      <c r="I9" s="9">
        <f>(F9*G9)/8</f>
        <v>2</v>
      </c>
      <c r="J9" s="9"/>
      <c r="K9" s="165" t="s">
        <v>1408</v>
      </c>
      <c r="L9" s="11" t="s">
        <v>797</v>
      </c>
      <c r="M9" s="11"/>
      <c r="N9" s="11"/>
      <c r="O9" s="11"/>
      <c r="P9" s="11"/>
      <c r="Q9" s="11"/>
      <c r="R9" s="11"/>
      <c r="S9" s="11" t="s">
        <v>1181</v>
      </c>
      <c r="T9" s="117"/>
    </row>
    <row r="10" spans="1:20" x14ac:dyDescent="0.2">
      <c r="A10" s="33"/>
      <c r="B10" s="47">
        <f>B11</f>
        <v>21</v>
      </c>
      <c r="C10" s="46"/>
      <c r="D10" s="48"/>
      <c r="E10" s="26" t="s">
        <v>1018</v>
      </c>
      <c r="F10" s="46"/>
      <c r="G10" s="46"/>
      <c r="H10" s="46"/>
      <c r="I10" s="48"/>
      <c r="J10" s="48"/>
      <c r="K10" s="49"/>
      <c r="L10" s="32"/>
      <c r="M10" s="32"/>
      <c r="N10" s="32"/>
      <c r="O10" s="32"/>
      <c r="R10" s="143"/>
      <c r="S10" s="143"/>
      <c r="T10" s="156"/>
    </row>
    <row r="11" spans="1:20" ht="11.25" customHeight="1" x14ac:dyDescent="0.2">
      <c r="A11" s="33" t="s">
        <v>230</v>
      </c>
      <c r="B11" s="7">
        <v>21</v>
      </c>
      <c r="C11" s="7">
        <v>36</v>
      </c>
      <c r="D11" s="168" t="s">
        <v>894</v>
      </c>
      <c r="E11" s="179" t="s">
        <v>1068</v>
      </c>
      <c r="F11" s="7">
        <v>16</v>
      </c>
      <c r="G11" s="7">
        <v>1</v>
      </c>
      <c r="H11" s="7"/>
      <c r="I11" s="9">
        <f>(F11*G11)/8</f>
        <v>2</v>
      </c>
      <c r="J11" s="9"/>
      <c r="K11" s="165" t="s">
        <v>1408</v>
      </c>
      <c r="L11" s="11" t="s">
        <v>797</v>
      </c>
      <c r="M11" s="11"/>
      <c r="N11" s="11"/>
      <c r="O11" s="11"/>
      <c r="P11" s="11"/>
      <c r="Q11" s="11"/>
      <c r="R11" s="11"/>
      <c r="S11" s="11" t="s">
        <v>1181</v>
      </c>
      <c r="T11" s="117"/>
    </row>
    <row r="12" spans="1:20" x14ac:dyDescent="0.2">
      <c r="A12" s="33"/>
      <c r="B12" s="47">
        <f>B13</f>
        <v>41</v>
      </c>
      <c r="C12" s="46"/>
      <c r="D12" s="48"/>
      <c r="E12" s="26" t="s">
        <v>971</v>
      </c>
      <c r="F12" s="46"/>
      <c r="G12" s="46"/>
      <c r="H12" s="46"/>
      <c r="I12" s="48"/>
      <c r="J12" s="48"/>
      <c r="K12" s="49"/>
      <c r="L12" s="32"/>
      <c r="M12" s="32"/>
      <c r="N12" s="32"/>
      <c r="O12" s="32"/>
      <c r="R12" s="143"/>
      <c r="S12" s="143"/>
      <c r="T12" s="156"/>
    </row>
    <row r="13" spans="1:20" x14ac:dyDescent="0.2">
      <c r="A13" s="33" t="s">
        <v>230</v>
      </c>
      <c r="B13" s="7">
        <v>41</v>
      </c>
      <c r="C13" s="7">
        <f>B13+255</f>
        <v>296</v>
      </c>
      <c r="D13" s="168" t="s">
        <v>894</v>
      </c>
      <c r="E13" s="179" t="s">
        <v>501</v>
      </c>
      <c r="F13" s="7">
        <v>256</v>
      </c>
      <c r="G13" s="7">
        <v>1</v>
      </c>
      <c r="H13" s="7"/>
      <c r="I13" s="9">
        <f>(F13*G13)/8</f>
        <v>32</v>
      </c>
      <c r="J13" s="9"/>
      <c r="K13" s="165" t="s">
        <v>1420</v>
      </c>
      <c r="L13" s="11" t="s">
        <v>797</v>
      </c>
      <c r="M13" s="11"/>
      <c r="N13" s="11"/>
      <c r="O13" s="11"/>
      <c r="P13" s="11"/>
      <c r="Q13" s="11"/>
      <c r="R13" s="11"/>
      <c r="S13" s="11" t="s">
        <v>1181</v>
      </c>
      <c r="T13" s="117"/>
    </row>
    <row r="14" spans="1:20" x14ac:dyDescent="0.2">
      <c r="A14" s="33"/>
      <c r="B14" s="47">
        <f>B15</f>
        <v>301</v>
      </c>
      <c r="C14" s="46"/>
      <c r="D14" s="48"/>
      <c r="E14" s="26" t="s">
        <v>972</v>
      </c>
      <c r="F14" s="46"/>
      <c r="G14" s="46"/>
      <c r="H14" s="46"/>
      <c r="I14" s="48"/>
      <c r="J14" s="48"/>
      <c r="K14" s="49"/>
      <c r="L14" s="32"/>
      <c r="M14" s="32"/>
      <c r="N14" s="32"/>
      <c r="O14" s="32"/>
      <c r="R14" s="143"/>
      <c r="S14" s="143"/>
      <c r="T14" s="156"/>
    </row>
    <row r="15" spans="1:20" x14ac:dyDescent="0.2">
      <c r="A15" s="33" t="s">
        <v>230</v>
      </c>
      <c r="B15" s="7">
        <v>301</v>
      </c>
      <c r="C15" s="7">
        <f>B15+255</f>
        <v>556</v>
      </c>
      <c r="D15" s="168" t="s">
        <v>894</v>
      </c>
      <c r="E15" s="179" t="s">
        <v>493</v>
      </c>
      <c r="F15" s="7">
        <v>256</v>
      </c>
      <c r="G15" s="7">
        <v>1</v>
      </c>
      <c r="H15" s="7"/>
      <c r="I15" s="9">
        <f>(F15*G15)/8</f>
        <v>32</v>
      </c>
      <c r="J15" s="9"/>
      <c r="K15" s="165" t="s">
        <v>1421</v>
      </c>
      <c r="L15" s="11" t="s">
        <v>797</v>
      </c>
      <c r="M15" s="11"/>
      <c r="N15" s="11"/>
      <c r="O15" s="11"/>
      <c r="P15" s="11"/>
      <c r="Q15" s="11"/>
      <c r="R15" s="11"/>
      <c r="S15" s="11" t="s">
        <v>1181</v>
      </c>
      <c r="T15" s="117"/>
    </row>
    <row r="16" spans="1:20" x14ac:dyDescent="0.2">
      <c r="A16" s="33"/>
      <c r="B16" s="47">
        <f>B17</f>
        <v>1201</v>
      </c>
      <c r="C16" s="46"/>
      <c r="D16" s="48"/>
      <c r="E16" s="26" t="s">
        <v>452</v>
      </c>
      <c r="F16" s="46"/>
      <c r="G16" s="46"/>
      <c r="H16" s="46"/>
      <c r="I16" s="48"/>
      <c r="J16" s="48"/>
      <c r="K16" s="49"/>
      <c r="L16" s="32"/>
      <c r="M16" s="32"/>
      <c r="N16" s="32"/>
      <c r="O16" s="32"/>
      <c r="R16" s="143"/>
      <c r="S16" s="143"/>
      <c r="T16" s="156"/>
    </row>
    <row r="17" spans="1:20" s="5" customFormat="1" x14ac:dyDescent="0.2">
      <c r="A17" s="33" t="s">
        <v>230</v>
      </c>
      <c r="B17" s="7">
        <v>1201</v>
      </c>
      <c r="C17" s="7">
        <f>B17+255</f>
        <v>1456</v>
      </c>
      <c r="D17" s="168" t="s">
        <v>894</v>
      </c>
      <c r="E17" s="179" t="s">
        <v>412</v>
      </c>
      <c r="F17" s="7">
        <v>256</v>
      </c>
      <c r="G17" s="7">
        <v>1</v>
      </c>
      <c r="H17" s="7"/>
      <c r="I17" s="9">
        <f>(F17*G17)/8</f>
        <v>32</v>
      </c>
      <c r="J17" s="9"/>
      <c r="K17" s="165" t="s">
        <v>397</v>
      </c>
      <c r="L17" s="11" t="s">
        <v>793</v>
      </c>
      <c r="M17" s="11"/>
      <c r="N17" s="11"/>
      <c r="O17" s="11"/>
      <c r="P17" s="11"/>
      <c r="Q17" s="11"/>
      <c r="R17" s="11"/>
      <c r="S17" s="11" t="s">
        <v>1181</v>
      </c>
      <c r="T17" s="117"/>
    </row>
    <row r="18" spans="1:20" x14ac:dyDescent="0.2">
      <c r="A18" s="33"/>
      <c r="B18" s="47">
        <f>B19</f>
        <v>1501</v>
      </c>
      <c r="C18" s="46"/>
      <c r="D18" s="48"/>
      <c r="E18" s="26" t="s">
        <v>453</v>
      </c>
      <c r="F18" s="46"/>
      <c r="G18" s="46"/>
      <c r="H18" s="46"/>
      <c r="I18" s="48"/>
      <c r="J18" s="48"/>
      <c r="K18" s="49"/>
      <c r="L18" s="32"/>
      <c r="M18" s="32"/>
      <c r="N18" s="32"/>
      <c r="O18" s="32"/>
      <c r="R18" s="143"/>
      <c r="S18" s="143"/>
      <c r="T18" s="156"/>
    </row>
    <row r="19" spans="1:20" x14ac:dyDescent="0.2">
      <c r="A19" s="33" t="s">
        <v>230</v>
      </c>
      <c r="B19" s="7">
        <v>1501</v>
      </c>
      <c r="C19" s="7">
        <f>B19+255</f>
        <v>1756</v>
      </c>
      <c r="D19" s="168" t="s">
        <v>894</v>
      </c>
      <c r="E19" s="8" t="s">
        <v>413</v>
      </c>
      <c r="F19" s="7">
        <v>256</v>
      </c>
      <c r="G19" s="7">
        <v>1</v>
      </c>
      <c r="H19" s="7"/>
      <c r="I19" s="9">
        <f>(F19*G19)/8</f>
        <v>32</v>
      </c>
      <c r="J19" s="9"/>
      <c r="K19" s="1" t="s">
        <v>397</v>
      </c>
      <c r="L19" s="11" t="s">
        <v>793</v>
      </c>
      <c r="M19" s="11"/>
      <c r="N19" s="11"/>
      <c r="O19" s="11"/>
      <c r="P19" s="11"/>
      <c r="Q19" s="11"/>
      <c r="R19" s="11"/>
      <c r="S19" s="11" t="s">
        <v>1181</v>
      </c>
      <c r="T19" s="157"/>
    </row>
    <row r="20" spans="1:20" x14ac:dyDescent="0.2">
      <c r="A20" s="33"/>
      <c r="B20" s="47">
        <f>B21</f>
        <v>1801</v>
      </c>
      <c r="C20" s="46"/>
      <c r="D20" s="48"/>
      <c r="E20" s="26" t="s">
        <v>1704</v>
      </c>
      <c r="F20" s="46"/>
      <c r="G20" s="46"/>
      <c r="H20" s="46"/>
      <c r="I20" s="48"/>
      <c r="J20" s="48"/>
      <c r="K20" s="49"/>
      <c r="L20" s="32"/>
      <c r="M20" s="32"/>
      <c r="N20" s="32"/>
      <c r="O20" s="32"/>
      <c r="R20" s="143"/>
      <c r="S20" s="143"/>
      <c r="T20" s="156"/>
    </row>
    <row r="21" spans="1:20" ht="11.25" customHeight="1" x14ac:dyDescent="0.2">
      <c r="A21" s="33" t="s">
        <v>230</v>
      </c>
      <c r="B21" s="7">
        <v>1801</v>
      </c>
      <c r="C21" s="7">
        <f>B21+255</f>
        <v>2056</v>
      </c>
      <c r="D21" s="168" t="s">
        <v>894</v>
      </c>
      <c r="E21" s="179" t="s">
        <v>414</v>
      </c>
      <c r="F21" s="7">
        <v>256</v>
      </c>
      <c r="G21" s="7">
        <v>1</v>
      </c>
      <c r="H21" s="7"/>
      <c r="I21" s="9">
        <f>(F21*G21)/8</f>
        <v>32</v>
      </c>
      <c r="J21" s="9"/>
      <c r="K21" s="1" t="s">
        <v>397</v>
      </c>
      <c r="L21" s="11" t="s">
        <v>793</v>
      </c>
      <c r="M21" s="11"/>
      <c r="N21" s="11"/>
      <c r="O21" s="11"/>
      <c r="P21" s="11"/>
      <c r="Q21" s="11"/>
      <c r="R21" s="11"/>
      <c r="S21" s="11" t="s">
        <v>1181</v>
      </c>
      <c r="T21" s="117"/>
    </row>
    <row r="22" spans="1:20" x14ac:dyDescent="0.2">
      <c r="A22" s="33"/>
      <c r="B22" s="47">
        <f>B23</f>
        <v>2101</v>
      </c>
      <c r="C22" s="46"/>
      <c r="D22" s="48"/>
      <c r="E22" s="26" t="s">
        <v>454</v>
      </c>
      <c r="F22" s="46"/>
      <c r="G22" s="46"/>
      <c r="H22" s="46"/>
      <c r="I22" s="48"/>
      <c r="J22" s="48"/>
      <c r="K22" s="49"/>
      <c r="L22" s="32"/>
      <c r="M22" s="32"/>
      <c r="N22" s="32"/>
      <c r="O22" s="32"/>
      <c r="R22" s="143"/>
      <c r="S22" s="143"/>
      <c r="T22" s="156"/>
    </row>
    <row r="23" spans="1:20" ht="11.25" customHeight="1" x14ac:dyDescent="0.2">
      <c r="A23" s="33" t="s">
        <v>230</v>
      </c>
      <c r="B23" s="7">
        <v>2101</v>
      </c>
      <c r="C23" s="7">
        <f>B23+255</f>
        <v>2356</v>
      </c>
      <c r="D23" s="168" t="s">
        <v>894</v>
      </c>
      <c r="E23" s="8" t="s">
        <v>415</v>
      </c>
      <c r="F23" s="7">
        <v>256</v>
      </c>
      <c r="G23" s="7">
        <v>1</v>
      </c>
      <c r="H23" s="7"/>
      <c r="I23" s="9">
        <f>(F23*G23)/8</f>
        <v>32</v>
      </c>
      <c r="J23" s="9"/>
      <c r="K23" s="1" t="s">
        <v>397</v>
      </c>
      <c r="L23" s="11" t="s">
        <v>793</v>
      </c>
      <c r="M23" s="11"/>
      <c r="N23" s="11"/>
      <c r="O23" s="11"/>
      <c r="P23" s="11"/>
      <c r="Q23" s="11"/>
      <c r="R23" s="11"/>
      <c r="S23" s="11" t="s">
        <v>1181</v>
      </c>
      <c r="T23" s="157"/>
    </row>
    <row r="24" spans="1:20" x14ac:dyDescent="0.2">
      <c r="A24" s="33"/>
      <c r="B24" s="47">
        <f>B25</f>
        <v>3001</v>
      </c>
      <c r="C24" s="46"/>
      <c r="D24" s="48"/>
      <c r="E24" s="26" t="s">
        <v>973</v>
      </c>
      <c r="F24" s="46"/>
      <c r="G24" s="46"/>
      <c r="H24" s="46"/>
      <c r="I24" s="48"/>
      <c r="J24" s="48"/>
      <c r="K24" s="49"/>
      <c r="L24" s="32"/>
      <c r="M24" s="32"/>
      <c r="N24" s="32"/>
      <c r="O24" s="32"/>
      <c r="R24" s="143"/>
      <c r="S24" s="143"/>
      <c r="T24" s="156"/>
    </row>
    <row r="25" spans="1:20" ht="11.25" customHeight="1" x14ac:dyDescent="0.2">
      <c r="A25" s="33" t="s">
        <v>230</v>
      </c>
      <c r="B25" s="7">
        <v>3001</v>
      </c>
      <c r="C25" s="7">
        <f>B25+($F25*$G25)-1</f>
        <v>3256</v>
      </c>
      <c r="D25" s="168" t="s">
        <v>894</v>
      </c>
      <c r="E25" s="179" t="s">
        <v>502</v>
      </c>
      <c r="F25" s="7">
        <v>256</v>
      </c>
      <c r="G25" s="7">
        <v>1</v>
      </c>
      <c r="H25" s="7"/>
      <c r="I25" s="9">
        <f>(F25*G25)/8</f>
        <v>32</v>
      </c>
      <c r="J25" s="9"/>
      <c r="K25" s="165" t="s">
        <v>1420</v>
      </c>
      <c r="L25" s="11" t="s">
        <v>797</v>
      </c>
      <c r="M25" s="11"/>
      <c r="N25" s="11"/>
      <c r="O25" s="11"/>
      <c r="P25" s="11"/>
      <c r="Q25" s="11"/>
      <c r="R25" s="11"/>
      <c r="S25" s="11" t="s">
        <v>1181</v>
      </c>
      <c r="T25" s="117"/>
    </row>
    <row r="26" spans="1:20" ht="11.25" customHeight="1" x14ac:dyDescent="0.2">
      <c r="A26" s="33"/>
      <c r="B26" s="47">
        <f>B27</f>
        <v>3301</v>
      </c>
      <c r="C26" s="46"/>
      <c r="D26" s="48"/>
      <c r="E26" s="26" t="s">
        <v>974</v>
      </c>
      <c r="F26" s="46"/>
      <c r="G26" s="46"/>
      <c r="H26" s="46"/>
      <c r="I26" s="48"/>
      <c r="J26" s="48"/>
      <c r="K26" s="49"/>
      <c r="L26" s="32"/>
      <c r="M26" s="32"/>
      <c r="N26" s="32"/>
      <c r="O26" s="32"/>
      <c r="R26" s="143"/>
      <c r="S26" s="143"/>
      <c r="T26" s="156"/>
    </row>
    <row r="27" spans="1:20" ht="11.25" customHeight="1" x14ac:dyDescent="0.2">
      <c r="A27" s="33" t="s">
        <v>230</v>
      </c>
      <c r="B27" s="7">
        <v>3301</v>
      </c>
      <c r="C27" s="7">
        <f>B27+($F27*$G27)-1</f>
        <v>3556</v>
      </c>
      <c r="D27" s="168" t="s">
        <v>894</v>
      </c>
      <c r="E27" s="179" t="s">
        <v>495</v>
      </c>
      <c r="F27" s="7">
        <v>256</v>
      </c>
      <c r="G27" s="7">
        <v>1</v>
      </c>
      <c r="H27" s="7"/>
      <c r="I27" s="9">
        <f>(F27*G27)/8</f>
        <v>32</v>
      </c>
      <c r="J27" s="9"/>
      <c r="K27" s="165" t="s">
        <v>1422</v>
      </c>
      <c r="L27" s="11" t="s">
        <v>797</v>
      </c>
      <c r="M27" s="11"/>
      <c r="N27" s="11"/>
      <c r="O27" s="11"/>
      <c r="P27" s="11"/>
      <c r="Q27" s="11"/>
      <c r="R27" s="11"/>
      <c r="S27" s="11" t="s">
        <v>1181</v>
      </c>
      <c r="T27" s="117"/>
    </row>
    <row r="28" spans="1:20" x14ac:dyDescent="0.2">
      <c r="A28" s="33"/>
      <c r="B28" s="47">
        <f>B29</f>
        <v>3601</v>
      </c>
      <c r="C28" s="26"/>
      <c r="D28" s="28"/>
      <c r="E28" s="26" t="s">
        <v>457</v>
      </c>
      <c r="F28" s="26"/>
      <c r="G28" s="26"/>
      <c r="H28" s="26"/>
      <c r="I28" s="28"/>
      <c r="J28" s="28"/>
      <c r="K28" s="27"/>
      <c r="L28" s="50"/>
      <c r="M28" s="50"/>
      <c r="N28" s="50"/>
      <c r="O28" s="50"/>
      <c r="P28" s="122"/>
      <c r="Q28" s="122"/>
      <c r="R28" s="146"/>
      <c r="S28" s="146"/>
      <c r="T28" s="158"/>
    </row>
    <row r="29" spans="1:20" x14ac:dyDescent="0.2">
      <c r="A29" s="33" t="s">
        <v>230</v>
      </c>
      <c r="B29" s="7">
        <v>3601</v>
      </c>
      <c r="C29" s="7">
        <f>B29+($F29*$G29)-1</f>
        <v>3856</v>
      </c>
      <c r="D29" s="168" t="s">
        <v>894</v>
      </c>
      <c r="E29" s="179" t="s">
        <v>474</v>
      </c>
      <c r="F29" s="7">
        <v>256</v>
      </c>
      <c r="G29" s="7">
        <v>1</v>
      </c>
      <c r="H29" s="7"/>
      <c r="I29" s="9">
        <f>(F29*G29)/8</f>
        <v>32</v>
      </c>
      <c r="J29" s="9"/>
      <c r="K29" s="1" t="s">
        <v>397</v>
      </c>
      <c r="L29" s="11" t="s">
        <v>793</v>
      </c>
      <c r="M29" s="11"/>
      <c r="N29" s="11"/>
      <c r="O29" s="11"/>
      <c r="P29" s="11"/>
      <c r="Q29" s="11"/>
      <c r="R29" s="11"/>
      <c r="S29" s="11" t="s">
        <v>1181</v>
      </c>
      <c r="T29" s="117"/>
    </row>
    <row r="30" spans="1:20" x14ac:dyDescent="0.2">
      <c r="A30" s="33"/>
      <c r="B30" s="47">
        <f>B31</f>
        <v>3901</v>
      </c>
      <c r="C30" s="26"/>
      <c r="D30" s="28"/>
      <c r="E30" s="26" t="s">
        <v>458</v>
      </c>
      <c r="F30" s="26"/>
      <c r="G30" s="26"/>
      <c r="H30" s="26"/>
      <c r="I30" s="28"/>
      <c r="J30" s="28"/>
      <c r="K30" s="27"/>
      <c r="L30" s="50"/>
      <c r="M30" s="50"/>
      <c r="N30" s="50"/>
      <c r="O30" s="50"/>
      <c r="P30" s="122"/>
      <c r="Q30" s="122"/>
      <c r="R30" s="146"/>
      <c r="S30" s="146"/>
      <c r="T30" s="158"/>
    </row>
    <row r="31" spans="1:20" x14ac:dyDescent="0.2">
      <c r="A31" s="33" t="s">
        <v>230</v>
      </c>
      <c r="B31" s="7">
        <v>3901</v>
      </c>
      <c r="C31" s="7">
        <f>B31+($F31*$G31)-1</f>
        <v>4156</v>
      </c>
      <c r="D31" s="168" t="s">
        <v>894</v>
      </c>
      <c r="E31" s="179" t="s">
        <v>475</v>
      </c>
      <c r="F31" s="7">
        <v>256</v>
      </c>
      <c r="G31" s="7">
        <v>1</v>
      </c>
      <c r="H31" s="7"/>
      <c r="I31" s="9">
        <f>(F31*G31)/8</f>
        <v>32</v>
      </c>
      <c r="J31" s="9"/>
      <c r="K31" s="1" t="s">
        <v>397</v>
      </c>
      <c r="L31" s="11" t="s">
        <v>793</v>
      </c>
      <c r="M31" s="11"/>
      <c r="N31" s="11"/>
      <c r="O31" s="11"/>
      <c r="P31" s="11"/>
      <c r="Q31" s="11"/>
      <c r="R31" s="11"/>
      <c r="S31" s="11" t="s">
        <v>1181</v>
      </c>
      <c r="T31" s="117"/>
    </row>
    <row r="32" spans="1:20" ht="11.25" customHeight="1" x14ac:dyDescent="0.2">
      <c r="A32" s="33"/>
      <c r="B32" s="47">
        <f>B33</f>
        <v>4201</v>
      </c>
      <c r="C32" s="26"/>
      <c r="D32" s="28"/>
      <c r="E32" s="26" t="s">
        <v>455</v>
      </c>
      <c r="F32" s="26"/>
      <c r="G32" s="26"/>
      <c r="H32" s="26"/>
      <c r="I32" s="28"/>
      <c r="J32" s="28"/>
      <c r="K32" s="27"/>
      <c r="L32" s="50"/>
      <c r="M32" s="50"/>
      <c r="N32" s="50"/>
      <c r="O32" s="50"/>
      <c r="P32" s="122"/>
      <c r="Q32" s="122"/>
      <c r="R32" s="146"/>
      <c r="S32" s="146"/>
      <c r="T32" s="158"/>
    </row>
    <row r="33" spans="1:20" ht="11.25" customHeight="1" x14ac:dyDescent="0.2">
      <c r="A33" s="33" t="s">
        <v>230</v>
      </c>
      <c r="B33" s="7">
        <v>4201</v>
      </c>
      <c r="C33" s="7">
        <f>B33+($F33*$G33)-1</f>
        <v>4456</v>
      </c>
      <c r="D33" s="168" t="s">
        <v>894</v>
      </c>
      <c r="E33" s="179" t="s">
        <v>1980</v>
      </c>
      <c r="F33" s="7">
        <v>256</v>
      </c>
      <c r="G33" s="7">
        <v>1</v>
      </c>
      <c r="H33" s="7"/>
      <c r="I33" s="9">
        <f>(F33*G33)/8</f>
        <v>32</v>
      </c>
      <c r="J33" s="9"/>
      <c r="K33" s="1" t="s">
        <v>1955</v>
      </c>
      <c r="L33" s="11" t="s">
        <v>793</v>
      </c>
      <c r="M33" s="11"/>
      <c r="N33" s="11"/>
      <c r="O33" s="11"/>
      <c r="P33" s="11"/>
      <c r="Q33" s="11"/>
      <c r="R33" s="11"/>
      <c r="S33" s="11" t="s">
        <v>1181</v>
      </c>
      <c r="T33" s="117"/>
    </row>
    <row r="34" spans="1:20" ht="11.25" customHeight="1" x14ac:dyDescent="0.2">
      <c r="A34" s="33"/>
      <c r="B34" s="47">
        <f>B35</f>
        <v>4501</v>
      </c>
      <c r="C34" s="26"/>
      <c r="D34" s="28"/>
      <c r="E34" s="26" t="s">
        <v>456</v>
      </c>
      <c r="F34" s="26"/>
      <c r="G34" s="26"/>
      <c r="H34" s="26"/>
      <c r="I34" s="28"/>
      <c r="J34" s="28"/>
      <c r="K34" s="27"/>
      <c r="L34" s="50"/>
      <c r="M34" s="50"/>
      <c r="N34" s="50"/>
      <c r="O34" s="50"/>
      <c r="P34" s="122"/>
      <c r="Q34" s="122"/>
      <c r="R34" s="146"/>
      <c r="S34" s="146"/>
      <c r="T34" s="158"/>
    </row>
    <row r="35" spans="1:20" ht="11.25" customHeight="1" x14ac:dyDescent="0.2">
      <c r="A35" s="33" t="s">
        <v>230</v>
      </c>
      <c r="B35" s="7">
        <v>4501</v>
      </c>
      <c r="C35" s="7">
        <f>B35+($F35*$G35)-1</f>
        <v>4756</v>
      </c>
      <c r="D35" s="168" t="s">
        <v>894</v>
      </c>
      <c r="E35" s="8" t="s">
        <v>416</v>
      </c>
      <c r="F35" s="7">
        <v>256</v>
      </c>
      <c r="G35" s="7">
        <v>1</v>
      </c>
      <c r="H35" s="7"/>
      <c r="I35" s="9">
        <f>(F35*G35)/8</f>
        <v>32</v>
      </c>
      <c r="J35" s="9"/>
      <c r="K35" s="1" t="s">
        <v>397</v>
      </c>
      <c r="L35" s="11" t="s">
        <v>793</v>
      </c>
      <c r="M35" s="11"/>
      <c r="N35" s="11"/>
      <c r="O35" s="11"/>
      <c r="P35" s="11"/>
      <c r="Q35" s="11"/>
      <c r="R35" s="11"/>
      <c r="S35" s="11" t="s">
        <v>1181</v>
      </c>
      <c r="T35" s="117"/>
    </row>
    <row r="36" spans="1:20" ht="11.25" customHeight="1" x14ac:dyDescent="0.2">
      <c r="A36" s="33"/>
      <c r="B36" s="47">
        <f>B37</f>
        <v>4801</v>
      </c>
      <c r="C36" s="46"/>
      <c r="D36" s="48"/>
      <c r="E36" s="26" t="s">
        <v>1767</v>
      </c>
      <c r="F36" s="47"/>
      <c r="G36" s="46"/>
      <c r="H36" s="46"/>
      <c r="I36" s="48"/>
      <c r="J36" s="48"/>
      <c r="K36" s="49"/>
      <c r="L36" s="32"/>
      <c r="M36" s="32"/>
      <c r="N36" s="32"/>
      <c r="O36" s="32"/>
      <c r="P36" s="121"/>
      <c r="Q36" s="121"/>
      <c r="R36" s="143"/>
      <c r="S36" s="143"/>
      <c r="T36" s="156"/>
    </row>
    <row r="37" spans="1:20" ht="11.25" customHeight="1" x14ac:dyDescent="0.2">
      <c r="A37" s="33" t="s">
        <v>230</v>
      </c>
      <c r="B37" s="7">
        <v>4801</v>
      </c>
      <c r="C37" s="7">
        <f>B37+($F37*$G37)-1</f>
        <v>4864</v>
      </c>
      <c r="D37" s="168" t="s">
        <v>894</v>
      </c>
      <c r="E37" s="375" t="s">
        <v>1768</v>
      </c>
      <c r="F37" s="372">
        <v>64</v>
      </c>
      <c r="G37" s="372">
        <v>1</v>
      </c>
      <c r="H37" s="372"/>
      <c r="I37" s="368">
        <f>(F37*G37)/8</f>
        <v>8</v>
      </c>
      <c r="J37" s="368"/>
      <c r="K37" s="370" t="s">
        <v>397</v>
      </c>
      <c r="L37" s="11" t="s">
        <v>797</v>
      </c>
      <c r="M37" s="11"/>
      <c r="N37" s="11"/>
      <c r="O37" s="11"/>
      <c r="P37" s="136"/>
      <c r="Q37" s="136"/>
      <c r="R37" s="11"/>
      <c r="S37" s="11" t="s">
        <v>1181</v>
      </c>
      <c r="T37" s="117"/>
    </row>
    <row r="38" spans="1:20" ht="11.25" customHeight="1" x14ac:dyDescent="0.2">
      <c r="A38" s="33"/>
      <c r="B38" s="47">
        <f>B39</f>
        <v>4901</v>
      </c>
      <c r="C38" s="46"/>
      <c r="D38" s="48"/>
      <c r="E38" s="26" t="s">
        <v>1974</v>
      </c>
      <c r="F38" s="47"/>
      <c r="G38" s="46"/>
      <c r="H38" s="46"/>
      <c r="I38" s="48"/>
      <c r="J38" s="48"/>
      <c r="K38" s="49"/>
      <c r="L38" s="32"/>
      <c r="M38" s="32"/>
      <c r="N38" s="32"/>
      <c r="O38" s="32"/>
      <c r="P38" s="121"/>
      <c r="Q38" s="121"/>
      <c r="R38" s="143"/>
      <c r="S38" s="143"/>
      <c r="T38" s="156"/>
    </row>
    <row r="39" spans="1:20" ht="11.25" customHeight="1" x14ac:dyDescent="0.2">
      <c r="A39" s="33" t="s">
        <v>230</v>
      </c>
      <c r="B39" s="7">
        <v>4901</v>
      </c>
      <c r="C39" s="7">
        <f>B39+($F39*$G39)-1</f>
        <v>4964</v>
      </c>
      <c r="D39" s="168" t="s">
        <v>894</v>
      </c>
      <c r="E39" s="371" t="s">
        <v>1769</v>
      </c>
      <c r="F39" s="372">
        <v>64</v>
      </c>
      <c r="G39" s="372">
        <v>1</v>
      </c>
      <c r="H39" s="372"/>
      <c r="I39" s="368">
        <f>(F39*G39)/8</f>
        <v>8</v>
      </c>
      <c r="J39" s="368"/>
      <c r="K39" s="409" t="s">
        <v>1411</v>
      </c>
      <c r="L39" s="11" t="s">
        <v>797</v>
      </c>
      <c r="M39" s="11"/>
      <c r="N39" s="11"/>
      <c r="O39" s="11"/>
      <c r="P39" s="10"/>
      <c r="Q39" s="136"/>
      <c r="R39" s="11"/>
      <c r="S39" s="11" t="s">
        <v>1181</v>
      </c>
      <c r="T39" s="157"/>
    </row>
    <row r="40" spans="1:20" ht="11.25" customHeight="1" x14ac:dyDescent="0.2">
      <c r="A40" s="33"/>
      <c r="B40" s="47">
        <f>B41</f>
        <v>5001</v>
      </c>
      <c r="C40" s="46"/>
      <c r="D40" s="48"/>
      <c r="E40" s="26" t="s">
        <v>1973</v>
      </c>
      <c r="F40" s="47"/>
      <c r="G40" s="46"/>
      <c r="H40" s="46"/>
      <c r="I40" s="48"/>
      <c r="J40" s="48"/>
      <c r="K40" s="49"/>
      <c r="L40" s="32"/>
      <c r="M40" s="32"/>
      <c r="N40" s="32"/>
      <c r="O40" s="32"/>
      <c r="P40" s="121"/>
      <c r="Q40" s="121"/>
      <c r="R40" s="143"/>
      <c r="S40" s="143"/>
      <c r="T40" s="156"/>
    </row>
    <row r="41" spans="1:20" ht="11.25" customHeight="1" x14ac:dyDescent="0.2">
      <c r="A41" s="33" t="s">
        <v>230</v>
      </c>
      <c r="B41" s="7">
        <v>5001</v>
      </c>
      <c r="C41" s="7">
        <f>B41+($F41*$G41)-1</f>
        <v>5128</v>
      </c>
      <c r="D41" s="168" t="s">
        <v>894</v>
      </c>
      <c r="E41" s="375" t="s">
        <v>1975</v>
      </c>
      <c r="F41" s="372">
        <v>128</v>
      </c>
      <c r="G41" s="372">
        <v>1</v>
      </c>
      <c r="H41" s="372"/>
      <c r="I41" s="368">
        <f>(F41*G41)/8</f>
        <v>16</v>
      </c>
      <c r="J41" s="368"/>
      <c r="K41" s="370" t="s">
        <v>1977</v>
      </c>
      <c r="L41" s="11" t="s">
        <v>797</v>
      </c>
      <c r="M41" s="11"/>
      <c r="N41" s="11"/>
      <c r="O41" s="11"/>
      <c r="P41" s="136"/>
      <c r="Q41" s="136"/>
      <c r="R41" s="11"/>
      <c r="S41" s="11" t="s">
        <v>1181</v>
      </c>
      <c r="T41" s="117"/>
    </row>
    <row r="42" spans="1:20" ht="11.25" customHeight="1" x14ac:dyDescent="0.2">
      <c r="A42" s="33"/>
      <c r="B42" s="47">
        <f>B43</f>
        <v>5131</v>
      </c>
      <c r="C42" s="46"/>
      <c r="D42" s="48"/>
      <c r="E42" s="26" t="s">
        <v>1978</v>
      </c>
      <c r="F42" s="47"/>
      <c r="G42" s="46"/>
      <c r="H42" s="46"/>
      <c r="I42" s="48"/>
      <c r="J42" s="48"/>
      <c r="K42" s="49"/>
      <c r="L42" s="32"/>
      <c r="M42" s="32"/>
      <c r="N42" s="32"/>
      <c r="O42" s="32"/>
      <c r="P42" s="121"/>
      <c r="Q42" s="121"/>
      <c r="R42" s="143"/>
      <c r="S42" s="143"/>
      <c r="T42" s="156"/>
    </row>
    <row r="43" spans="1:20" ht="11.25" customHeight="1" x14ac:dyDescent="0.2">
      <c r="A43" s="33" t="s">
        <v>230</v>
      </c>
      <c r="B43" s="7">
        <v>5131</v>
      </c>
      <c r="C43" s="7">
        <f>B43+($F43*$G43)-1</f>
        <v>5258</v>
      </c>
      <c r="D43" s="168" t="s">
        <v>894</v>
      </c>
      <c r="E43" s="371" t="s">
        <v>1976</v>
      </c>
      <c r="F43" s="372">
        <v>128</v>
      </c>
      <c r="G43" s="372">
        <v>1</v>
      </c>
      <c r="H43" s="372"/>
      <c r="I43" s="368">
        <f>(F43*G43)/8</f>
        <v>16</v>
      </c>
      <c r="J43" s="368"/>
      <c r="K43" s="409" t="s">
        <v>1417</v>
      </c>
      <c r="L43" s="11" t="s">
        <v>797</v>
      </c>
      <c r="M43" s="11"/>
      <c r="N43" s="11"/>
      <c r="O43" s="11"/>
      <c r="P43" s="10"/>
      <c r="Q43" s="136"/>
      <c r="R43" s="11"/>
      <c r="S43" s="11" t="s">
        <v>1181</v>
      </c>
      <c r="T43" s="157"/>
    </row>
    <row r="44" spans="1:20" ht="11.25" customHeight="1" x14ac:dyDescent="0.2">
      <c r="A44" s="33"/>
      <c r="B44" s="47">
        <f>B45</f>
        <v>5501</v>
      </c>
      <c r="C44" s="46"/>
      <c r="D44" s="48"/>
      <c r="E44" s="26" t="s">
        <v>581</v>
      </c>
      <c r="F44" s="47"/>
      <c r="G44" s="46"/>
      <c r="H44" s="46"/>
      <c r="I44" s="48"/>
      <c r="J44" s="48"/>
      <c r="K44" s="49"/>
      <c r="L44" s="32"/>
      <c r="M44" s="32"/>
      <c r="N44" s="32"/>
      <c r="O44" s="32"/>
      <c r="P44" s="121"/>
      <c r="Q44" s="121"/>
      <c r="R44" s="143"/>
      <c r="S44" s="143"/>
      <c r="T44" s="156"/>
    </row>
    <row r="45" spans="1:20" ht="11.25" customHeight="1" x14ac:dyDescent="0.2">
      <c r="A45" s="33" t="s">
        <v>230</v>
      </c>
      <c r="B45" s="7">
        <v>5501</v>
      </c>
      <c r="C45" s="7">
        <f t="shared" ref="C45:C50" si="0">B45+($F45*$G45)-1</f>
        <v>5501</v>
      </c>
      <c r="D45" s="168" t="s">
        <v>894</v>
      </c>
      <c r="E45" s="179" t="s">
        <v>232</v>
      </c>
      <c r="F45" s="7">
        <v>1</v>
      </c>
      <c r="G45" s="7">
        <v>1</v>
      </c>
      <c r="H45" s="7"/>
      <c r="I45" s="9">
        <f t="shared" ref="I45:I50" si="1">(F45*G45)/8</f>
        <v>0.125</v>
      </c>
      <c r="J45" s="9"/>
      <c r="K45" s="1" t="s">
        <v>795</v>
      </c>
      <c r="L45" s="11" t="s">
        <v>797</v>
      </c>
      <c r="M45" s="11"/>
      <c r="N45" s="11"/>
      <c r="O45" s="11"/>
      <c r="P45" s="136"/>
      <c r="Q45" s="136"/>
      <c r="R45" s="11"/>
      <c r="S45" s="11" t="s">
        <v>1181</v>
      </c>
      <c r="T45" s="117"/>
    </row>
    <row r="46" spans="1:20" ht="11.25" customHeight="1" x14ac:dyDescent="0.2">
      <c r="A46" s="33" t="s">
        <v>230</v>
      </c>
      <c r="B46" s="7">
        <f>C45+1</f>
        <v>5502</v>
      </c>
      <c r="C46" s="7">
        <f t="shared" si="0"/>
        <v>5502</v>
      </c>
      <c r="D46" s="168" t="s">
        <v>894</v>
      </c>
      <c r="E46" s="8" t="s">
        <v>541</v>
      </c>
      <c r="F46" s="7">
        <v>1</v>
      </c>
      <c r="G46" s="7">
        <v>1</v>
      </c>
      <c r="H46" s="7"/>
      <c r="I46" s="9">
        <f t="shared" si="1"/>
        <v>0.125</v>
      </c>
      <c r="J46" s="9"/>
      <c r="K46" s="1" t="s">
        <v>794</v>
      </c>
      <c r="L46" s="11" t="s">
        <v>797</v>
      </c>
      <c r="M46" s="11"/>
      <c r="N46" s="11"/>
      <c r="O46" s="11"/>
      <c r="P46" s="10"/>
      <c r="Q46" s="136"/>
      <c r="R46" s="11"/>
      <c r="S46" s="11" t="s">
        <v>1181</v>
      </c>
      <c r="T46" s="157"/>
    </row>
    <row r="47" spans="1:20" ht="11.25" customHeight="1" x14ac:dyDescent="0.2">
      <c r="A47" s="33" t="s">
        <v>230</v>
      </c>
      <c r="B47" s="7">
        <f>C46+1</f>
        <v>5503</v>
      </c>
      <c r="C47" s="7">
        <f t="shared" si="0"/>
        <v>5503</v>
      </c>
      <c r="D47" s="168" t="s">
        <v>894</v>
      </c>
      <c r="E47" s="179" t="s">
        <v>1784</v>
      </c>
      <c r="F47" s="7">
        <v>1</v>
      </c>
      <c r="G47" s="7">
        <v>1</v>
      </c>
      <c r="H47" s="7"/>
      <c r="I47" s="9">
        <f t="shared" si="1"/>
        <v>0.125</v>
      </c>
      <c r="J47" s="9"/>
      <c r="K47" s="1" t="s">
        <v>1786</v>
      </c>
      <c r="L47" s="11" t="s">
        <v>797</v>
      </c>
      <c r="M47" s="11"/>
      <c r="N47" s="11"/>
      <c r="O47" s="11"/>
      <c r="P47" s="136"/>
      <c r="Q47" s="136"/>
      <c r="R47" s="11"/>
      <c r="S47" s="11" t="s">
        <v>1181</v>
      </c>
      <c r="T47" s="117"/>
    </row>
    <row r="48" spans="1:20" ht="11.25" customHeight="1" x14ac:dyDescent="0.2">
      <c r="A48" s="33" t="s">
        <v>230</v>
      </c>
      <c r="B48" s="7">
        <f>C47+1</f>
        <v>5504</v>
      </c>
      <c r="C48" s="7">
        <f t="shared" si="0"/>
        <v>5504</v>
      </c>
      <c r="D48" s="168" t="s">
        <v>894</v>
      </c>
      <c r="E48" s="371" t="s">
        <v>1785</v>
      </c>
      <c r="F48" s="372">
        <v>1</v>
      </c>
      <c r="G48" s="372">
        <v>1</v>
      </c>
      <c r="H48" s="372"/>
      <c r="I48" s="368">
        <f t="shared" si="1"/>
        <v>0.125</v>
      </c>
      <c r="J48" s="368"/>
      <c r="K48" s="1" t="s">
        <v>1787</v>
      </c>
      <c r="L48" s="11" t="s">
        <v>797</v>
      </c>
      <c r="M48" s="11"/>
      <c r="N48" s="11"/>
      <c r="O48" s="11"/>
      <c r="P48" s="10"/>
      <c r="Q48" s="136"/>
      <c r="R48" s="11"/>
      <c r="S48" s="11" t="s">
        <v>1181</v>
      </c>
      <c r="T48" s="157"/>
    </row>
    <row r="49" spans="1:20" ht="11.25" customHeight="1" x14ac:dyDescent="0.2">
      <c r="A49" s="33" t="s">
        <v>230</v>
      </c>
      <c r="B49" s="7">
        <f>C48+1</f>
        <v>5505</v>
      </c>
      <c r="C49" s="7">
        <f t="shared" si="0"/>
        <v>5505</v>
      </c>
      <c r="D49" s="168" t="s">
        <v>894</v>
      </c>
      <c r="E49" s="371" t="s">
        <v>1898</v>
      </c>
      <c r="F49" s="372">
        <v>1</v>
      </c>
      <c r="G49" s="372">
        <v>1</v>
      </c>
      <c r="H49" s="372"/>
      <c r="I49" s="368">
        <f t="shared" si="1"/>
        <v>0.125</v>
      </c>
      <c r="J49" s="368"/>
      <c r="K49" s="1" t="s">
        <v>1787</v>
      </c>
      <c r="L49" s="11" t="s">
        <v>797</v>
      </c>
      <c r="M49" s="11"/>
      <c r="N49" s="11"/>
      <c r="O49" s="11"/>
      <c r="P49" s="10"/>
      <c r="Q49" s="136"/>
      <c r="R49" s="11"/>
      <c r="S49" s="11" t="s">
        <v>1181</v>
      </c>
      <c r="T49" s="157"/>
    </row>
    <row r="50" spans="1:20" ht="11.25" customHeight="1" x14ac:dyDescent="0.2">
      <c r="A50" s="33" t="s">
        <v>230</v>
      </c>
      <c r="B50" s="7">
        <f>C49+1</f>
        <v>5506</v>
      </c>
      <c r="C50" s="7">
        <f t="shared" si="0"/>
        <v>5506</v>
      </c>
      <c r="D50" s="168" t="s">
        <v>894</v>
      </c>
      <c r="E50" s="371" t="s">
        <v>1885</v>
      </c>
      <c r="F50" s="372">
        <v>1</v>
      </c>
      <c r="G50" s="372">
        <v>1</v>
      </c>
      <c r="H50" s="372"/>
      <c r="I50" s="368">
        <f t="shared" si="1"/>
        <v>0.125</v>
      </c>
      <c r="J50" s="368"/>
      <c r="K50" s="1" t="s">
        <v>1787</v>
      </c>
      <c r="L50" s="11" t="s">
        <v>797</v>
      </c>
      <c r="M50" s="11"/>
      <c r="N50" s="11"/>
      <c r="O50" s="11"/>
      <c r="P50" s="10"/>
      <c r="Q50" s="136"/>
      <c r="R50" s="11"/>
      <c r="S50" s="11" t="s">
        <v>1181</v>
      </c>
      <c r="T50" s="157"/>
    </row>
    <row r="51" spans="1:20" ht="11.25" customHeight="1" x14ac:dyDescent="0.2">
      <c r="A51" s="33"/>
      <c r="B51" s="47">
        <f>B52</f>
        <v>0</v>
      </c>
      <c r="C51" s="46"/>
      <c r="D51" s="48"/>
      <c r="E51" s="26"/>
      <c r="F51" s="47"/>
      <c r="G51" s="46"/>
      <c r="H51" s="46"/>
      <c r="I51" s="48"/>
      <c r="J51" s="48"/>
      <c r="K51" s="49"/>
      <c r="L51" s="32"/>
      <c r="M51" s="32"/>
      <c r="N51" s="32"/>
      <c r="O51" s="32"/>
      <c r="P51" s="121"/>
      <c r="Q51" s="121"/>
      <c r="R51" s="143"/>
      <c r="S51" s="143"/>
      <c r="T51" s="156"/>
    </row>
    <row r="52" spans="1:20" ht="11.25" customHeight="1" x14ac:dyDescent="0.2">
      <c r="A52" s="33" t="s">
        <v>230</v>
      </c>
      <c r="B52" s="383"/>
      <c r="C52" s="383"/>
      <c r="D52" s="384"/>
      <c r="E52" s="385"/>
      <c r="F52" s="386"/>
      <c r="G52" s="386"/>
      <c r="H52" s="386"/>
      <c r="I52" s="387"/>
      <c r="J52" s="388"/>
      <c r="K52" s="389"/>
      <c r="L52" s="390"/>
      <c r="M52" s="390"/>
      <c r="N52" s="390"/>
      <c r="O52" s="390"/>
      <c r="P52" s="391"/>
      <c r="Q52" s="391"/>
      <c r="R52" s="390"/>
      <c r="S52" s="390"/>
      <c r="T52" s="392"/>
    </row>
    <row r="53" spans="1:20" ht="11.25" customHeight="1" x14ac:dyDescent="0.2">
      <c r="A53" s="33" t="s">
        <v>230</v>
      </c>
      <c r="B53" s="383"/>
      <c r="C53" s="383"/>
      <c r="D53" s="384"/>
      <c r="E53" s="393"/>
      <c r="F53" s="386"/>
      <c r="G53" s="386"/>
      <c r="H53" s="386"/>
      <c r="I53" s="387"/>
      <c r="J53" s="388"/>
      <c r="K53" s="389"/>
      <c r="L53" s="390"/>
      <c r="M53" s="390"/>
      <c r="N53" s="390"/>
      <c r="O53" s="390"/>
      <c r="P53" s="394"/>
      <c r="Q53" s="391"/>
      <c r="R53" s="390"/>
      <c r="S53" s="390"/>
      <c r="T53" s="395"/>
    </row>
    <row r="54" spans="1:20" ht="11.25" customHeight="1" x14ac:dyDescent="0.2">
      <c r="A54" s="33" t="s">
        <v>230</v>
      </c>
      <c r="B54" s="383"/>
      <c r="C54" s="383"/>
      <c r="D54" s="384"/>
      <c r="E54" s="385"/>
      <c r="F54" s="386"/>
      <c r="G54" s="386"/>
      <c r="H54" s="386"/>
      <c r="I54" s="387"/>
      <c r="J54" s="388"/>
      <c r="K54" s="389"/>
      <c r="L54" s="390"/>
      <c r="M54" s="390"/>
      <c r="N54" s="390"/>
      <c r="O54" s="390"/>
      <c r="P54" s="391"/>
      <c r="Q54" s="391"/>
      <c r="R54" s="390"/>
      <c r="S54" s="390"/>
      <c r="T54" s="392"/>
    </row>
    <row r="55" spans="1:20" ht="11.25" customHeight="1" x14ac:dyDescent="0.2">
      <c r="A55" s="33" t="s">
        <v>230</v>
      </c>
      <c r="B55" s="383"/>
      <c r="C55" s="383"/>
      <c r="D55" s="384"/>
      <c r="E55" s="393"/>
      <c r="F55" s="386"/>
      <c r="G55" s="386"/>
      <c r="H55" s="386"/>
      <c r="I55" s="387"/>
      <c r="J55" s="387"/>
      <c r="K55" s="389"/>
      <c r="L55" s="390"/>
      <c r="M55" s="390"/>
      <c r="N55" s="390"/>
      <c r="O55" s="390"/>
      <c r="P55" s="394"/>
      <c r="Q55" s="391"/>
      <c r="R55" s="390"/>
      <c r="S55" s="390"/>
      <c r="T55" s="395"/>
    </row>
    <row r="56" spans="1:20" ht="11.25" customHeight="1" x14ac:dyDescent="0.2">
      <c r="A56" s="33" t="s">
        <v>230</v>
      </c>
      <c r="B56" s="383"/>
      <c r="C56" s="383"/>
      <c r="D56" s="384"/>
      <c r="E56" s="393"/>
      <c r="F56" s="386"/>
      <c r="G56" s="386"/>
      <c r="H56" s="386"/>
      <c r="I56" s="387"/>
      <c r="J56" s="387"/>
      <c r="K56" s="389"/>
      <c r="L56" s="390"/>
      <c r="M56" s="390"/>
      <c r="N56" s="390"/>
      <c r="O56" s="390"/>
      <c r="P56" s="394"/>
      <c r="Q56" s="391"/>
      <c r="R56" s="390"/>
      <c r="S56" s="390"/>
      <c r="T56" s="395"/>
    </row>
    <row r="57" spans="1:20" ht="11.25" customHeight="1" x14ac:dyDescent="0.2">
      <c r="A57" s="33"/>
      <c r="B57" s="47">
        <f>B58</f>
        <v>5601</v>
      </c>
      <c r="C57" s="46"/>
      <c r="D57" s="48"/>
      <c r="E57" s="26" t="s">
        <v>1899</v>
      </c>
      <c r="F57" s="47"/>
      <c r="G57" s="46"/>
      <c r="H57" s="46"/>
      <c r="I57" s="48"/>
      <c r="J57" s="48"/>
      <c r="K57" s="49"/>
      <c r="L57" s="32"/>
      <c r="M57" s="32"/>
      <c r="N57" s="32"/>
      <c r="O57" s="32"/>
      <c r="P57" s="121"/>
      <c r="Q57" s="121"/>
      <c r="R57" s="143"/>
      <c r="S57" s="143"/>
      <c r="T57" s="156"/>
    </row>
    <row r="58" spans="1:20" ht="11.25" customHeight="1" x14ac:dyDescent="0.2">
      <c r="A58" s="33" t="s">
        <v>230</v>
      </c>
      <c r="B58" s="7">
        <v>5601</v>
      </c>
      <c r="C58" s="7">
        <f t="shared" ref="C58:C73" si="2">B58+($F58*$G58)-1</f>
        <v>5601</v>
      </c>
      <c r="D58" s="168" t="s">
        <v>894</v>
      </c>
      <c r="E58" s="381" t="s">
        <v>1897</v>
      </c>
      <c r="F58" s="7">
        <v>1</v>
      </c>
      <c r="G58" s="7">
        <v>1</v>
      </c>
      <c r="H58" s="7"/>
      <c r="I58" s="9">
        <f t="shared" ref="I58:I70" si="3">(F58*G58)/8</f>
        <v>0.125</v>
      </c>
      <c r="J58" s="9"/>
      <c r="K58" s="94" t="s">
        <v>215</v>
      </c>
      <c r="L58" s="11" t="s">
        <v>797</v>
      </c>
      <c r="M58" s="11"/>
      <c r="N58" s="11"/>
      <c r="O58" s="11"/>
      <c r="P58" s="10"/>
      <c r="Q58" s="10"/>
      <c r="R58" s="11"/>
      <c r="S58" s="11" t="s">
        <v>1181</v>
      </c>
      <c r="T58" s="181"/>
    </row>
    <row r="59" spans="1:20" ht="11.25" customHeight="1" x14ac:dyDescent="0.2">
      <c r="A59" s="33" t="s">
        <v>230</v>
      </c>
      <c r="B59" s="7">
        <f>C58+1</f>
        <v>5602</v>
      </c>
      <c r="C59" s="7">
        <f t="shared" si="2"/>
        <v>5602</v>
      </c>
      <c r="D59" s="168" t="s">
        <v>894</v>
      </c>
      <c r="E59" s="179" t="s">
        <v>1714</v>
      </c>
      <c r="F59" s="7">
        <v>1</v>
      </c>
      <c r="G59" s="7">
        <v>1</v>
      </c>
      <c r="H59" s="7"/>
      <c r="I59" s="9">
        <f>(F59*G59)/8</f>
        <v>0.125</v>
      </c>
      <c r="J59" s="9"/>
      <c r="K59" s="94" t="s">
        <v>215</v>
      </c>
      <c r="L59" s="11" t="s">
        <v>797</v>
      </c>
      <c r="M59" s="11"/>
      <c r="N59" s="11"/>
      <c r="O59" s="11"/>
      <c r="P59" s="10"/>
      <c r="Q59" s="10"/>
      <c r="R59" s="11"/>
      <c r="S59" s="11" t="s">
        <v>1181</v>
      </c>
      <c r="T59" s="181"/>
    </row>
    <row r="60" spans="1:20" ht="11.25" customHeight="1" x14ac:dyDescent="0.2">
      <c r="A60" s="33" t="s">
        <v>230</v>
      </c>
      <c r="B60" s="7">
        <f>C59+1</f>
        <v>5603</v>
      </c>
      <c r="C60" s="7">
        <f t="shared" si="2"/>
        <v>5603</v>
      </c>
      <c r="D60" s="168" t="s">
        <v>894</v>
      </c>
      <c r="E60" s="179" t="s">
        <v>1715</v>
      </c>
      <c r="F60" s="7">
        <v>1</v>
      </c>
      <c r="G60" s="7">
        <v>1</v>
      </c>
      <c r="H60" s="7"/>
      <c r="I60" s="9">
        <f t="shared" si="3"/>
        <v>0.125</v>
      </c>
      <c r="J60" s="9"/>
      <c r="K60" s="94" t="s">
        <v>215</v>
      </c>
      <c r="L60" s="11" t="s">
        <v>797</v>
      </c>
      <c r="M60" s="11"/>
      <c r="N60" s="11"/>
      <c r="O60" s="11"/>
      <c r="P60" s="10"/>
      <c r="Q60" s="10"/>
      <c r="R60" s="11"/>
      <c r="S60" s="11" t="s">
        <v>1181</v>
      </c>
      <c r="T60" s="181"/>
    </row>
    <row r="61" spans="1:20" ht="11.25" customHeight="1" x14ac:dyDescent="0.2">
      <c r="A61" s="33" t="s">
        <v>230</v>
      </c>
      <c r="B61" s="7">
        <f t="shared" ref="B61:B70" si="4">C60+1</f>
        <v>5604</v>
      </c>
      <c r="C61" s="7">
        <f t="shared" si="2"/>
        <v>5604</v>
      </c>
      <c r="D61" s="168" t="s">
        <v>894</v>
      </c>
      <c r="E61" s="179" t="s">
        <v>1930</v>
      </c>
      <c r="F61" s="7">
        <v>1</v>
      </c>
      <c r="G61" s="7">
        <v>1</v>
      </c>
      <c r="H61" s="7"/>
      <c r="I61" s="9">
        <f t="shared" si="3"/>
        <v>0.125</v>
      </c>
      <c r="J61" s="9"/>
      <c r="K61" s="94" t="s">
        <v>215</v>
      </c>
      <c r="L61" s="11" t="s">
        <v>797</v>
      </c>
      <c r="M61" s="11"/>
      <c r="N61" s="11"/>
      <c r="O61" s="11"/>
      <c r="P61" s="10"/>
      <c r="Q61" s="10"/>
      <c r="R61" s="11"/>
      <c r="S61" s="11" t="s">
        <v>1181</v>
      </c>
      <c r="T61" s="181"/>
    </row>
    <row r="62" spans="1:20" ht="11.25" customHeight="1" x14ac:dyDescent="0.2">
      <c r="A62" s="33" t="s">
        <v>230</v>
      </c>
      <c r="B62" s="7">
        <f t="shared" si="4"/>
        <v>5605</v>
      </c>
      <c r="C62" s="7">
        <f t="shared" si="2"/>
        <v>5605</v>
      </c>
      <c r="D62" s="168" t="s">
        <v>894</v>
      </c>
      <c r="E62" s="179" t="s">
        <v>888</v>
      </c>
      <c r="F62" s="7">
        <v>1</v>
      </c>
      <c r="G62" s="7">
        <v>1</v>
      </c>
      <c r="H62" s="7"/>
      <c r="I62" s="9">
        <f t="shared" si="3"/>
        <v>0.125</v>
      </c>
      <c r="J62" s="9"/>
      <c r="K62" s="94" t="s">
        <v>215</v>
      </c>
      <c r="L62" s="11" t="s">
        <v>797</v>
      </c>
      <c r="M62" s="11"/>
      <c r="N62" s="11"/>
      <c r="O62" s="11"/>
      <c r="P62" s="10"/>
      <c r="Q62" s="10"/>
      <c r="R62" s="11"/>
      <c r="S62" s="11" t="s">
        <v>1181</v>
      </c>
      <c r="T62" s="181"/>
    </row>
    <row r="63" spans="1:20" ht="11.25" customHeight="1" x14ac:dyDescent="0.2">
      <c r="A63" s="33" t="s">
        <v>230</v>
      </c>
      <c r="B63" s="7">
        <f t="shared" si="4"/>
        <v>5606</v>
      </c>
      <c r="C63" s="7">
        <f t="shared" si="2"/>
        <v>5606</v>
      </c>
      <c r="D63" s="168" t="s">
        <v>894</v>
      </c>
      <c r="E63" s="179" t="s">
        <v>1712</v>
      </c>
      <c r="F63" s="7">
        <v>1</v>
      </c>
      <c r="G63" s="7">
        <v>1</v>
      </c>
      <c r="H63" s="7"/>
      <c r="I63" s="9">
        <f t="shared" si="3"/>
        <v>0.125</v>
      </c>
      <c r="J63" s="9"/>
      <c r="K63" s="94" t="s">
        <v>215</v>
      </c>
      <c r="L63" s="11" t="s">
        <v>797</v>
      </c>
      <c r="M63" s="11"/>
      <c r="N63" s="11"/>
      <c r="O63" s="11"/>
      <c r="P63" s="10"/>
      <c r="Q63" s="10"/>
      <c r="R63" s="11"/>
      <c r="S63" s="11" t="s">
        <v>1181</v>
      </c>
      <c r="T63" s="181"/>
    </row>
    <row r="64" spans="1:20" ht="11.25" customHeight="1" x14ac:dyDescent="0.2">
      <c r="A64" s="33" t="s">
        <v>230</v>
      </c>
      <c r="B64" s="7">
        <f t="shared" si="4"/>
        <v>5607</v>
      </c>
      <c r="C64" s="7">
        <f t="shared" si="2"/>
        <v>5607</v>
      </c>
      <c r="D64" s="168" t="s">
        <v>894</v>
      </c>
      <c r="E64" s="179" t="s">
        <v>1713</v>
      </c>
      <c r="F64" s="7">
        <v>1</v>
      </c>
      <c r="G64" s="7">
        <v>1</v>
      </c>
      <c r="H64" s="7"/>
      <c r="I64" s="9">
        <f t="shared" si="3"/>
        <v>0.125</v>
      </c>
      <c r="J64" s="9"/>
      <c r="K64" s="94" t="s">
        <v>215</v>
      </c>
      <c r="L64" s="11" t="s">
        <v>797</v>
      </c>
      <c r="M64" s="11"/>
      <c r="N64" s="11"/>
      <c r="O64" s="11"/>
      <c r="P64" s="10"/>
      <c r="Q64" s="10"/>
      <c r="R64" s="11"/>
      <c r="S64" s="11" t="s">
        <v>1181</v>
      </c>
      <c r="T64" s="181"/>
    </row>
    <row r="65" spans="1:20" ht="11.25" customHeight="1" x14ac:dyDescent="0.2">
      <c r="A65" s="33" t="s">
        <v>230</v>
      </c>
      <c r="B65" s="7">
        <f t="shared" si="4"/>
        <v>5608</v>
      </c>
      <c r="C65" s="7">
        <f t="shared" si="2"/>
        <v>5608</v>
      </c>
      <c r="D65" s="168" t="s">
        <v>894</v>
      </c>
      <c r="E65" s="179" t="s">
        <v>1716</v>
      </c>
      <c r="F65" s="7">
        <v>1</v>
      </c>
      <c r="G65" s="7">
        <v>1</v>
      </c>
      <c r="H65" s="7"/>
      <c r="I65" s="9">
        <f t="shared" si="3"/>
        <v>0.125</v>
      </c>
      <c r="J65" s="9"/>
      <c r="K65" s="94" t="s">
        <v>215</v>
      </c>
      <c r="L65" s="11" t="s">
        <v>797</v>
      </c>
      <c r="M65" s="11"/>
      <c r="N65" s="11"/>
      <c r="O65" s="11"/>
      <c r="P65" s="10"/>
      <c r="Q65" s="10"/>
      <c r="R65" s="11"/>
      <c r="S65" s="11" t="s">
        <v>1181</v>
      </c>
      <c r="T65" s="178"/>
    </row>
    <row r="66" spans="1:20" ht="11.25" customHeight="1" x14ac:dyDescent="0.2">
      <c r="A66" s="33" t="s">
        <v>230</v>
      </c>
      <c r="B66" s="7">
        <f t="shared" si="4"/>
        <v>5609</v>
      </c>
      <c r="C66" s="7">
        <f t="shared" si="2"/>
        <v>5609</v>
      </c>
      <c r="D66" s="168" t="s">
        <v>894</v>
      </c>
      <c r="E66" s="179" t="s">
        <v>1920</v>
      </c>
      <c r="F66" s="7">
        <v>1</v>
      </c>
      <c r="G66" s="7">
        <v>1</v>
      </c>
      <c r="H66" s="7"/>
      <c r="I66" s="9">
        <f t="shared" si="3"/>
        <v>0.125</v>
      </c>
      <c r="J66" s="9"/>
      <c r="K66" s="94" t="s">
        <v>215</v>
      </c>
      <c r="L66" s="11" t="s">
        <v>797</v>
      </c>
      <c r="M66" s="11"/>
      <c r="N66" s="11"/>
      <c r="O66" s="11"/>
      <c r="P66" s="10"/>
      <c r="Q66" s="10"/>
      <c r="R66" s="11"/>
      <c r="S66" s="11" t="s">
        <v>1181</v>
      </c>
      <c r="T66" s="181"/>
    </row>
    <row r="67" spans="1:20" ht="11.25" customHeight="1" x14ac:dyDescent="0.2">
      <c r="A67" s="33" t="s">
        <v>230</v>
      </c>
      <c r="B67" s="7">
        <f t="shared" si="4"/>
        <v>5610</v>
      </c>
      <c r="C67" s="7">
        <f t="shared" si="2"/>
        <v>5610</v>
      </c>
      <c r="D67" s="168" t="s">
        <v>894</v>
      </c>
      <c r="E67" s="179" t="s">
        <v>889</v>
      </c>
      <c r="F67" s="7">
        <v>1</v>
      </c>
      <c r="G67" s="7">
        <v>1</v>
      </c>
      <c r="H67" s="7"/>
      <c r="I67" s="9">
        <f t="shared" si="3"/>
        <v>0.125</v>
      </c>
      <c r="J67" s="9"/>
      <c r="K67" s="94" t="s">
        <v>215</v>
      </c>
      <c r="L67" s="11" t="s">
        <v>797</v>
      </c>
      <c r="M67" s="11"/>
      <c r="N67" s="11"/>
      <c r="O67" s="11"/>
      <c r="P67" s="10"/>
      <c r="Q67" s="10"/>
      <c r="R67" s="11"/>
      <c r="S67" s="11" t="s">
        <v>1181</v>
      </c>
      <c r="T67" s="181"/>
    </row>
    <row r="68" spans="1:20" ht="11.25" customHeight="1" x14ac:dyDescent="0.2">
      <c r="A68" s="33" t="s">
        <v>230</v>
      </c>
      <c r="B68" s="7">
        <f t="shared" si="4"/>
        <v>5611</v>
      </c>
      <c r="C68" s="7">
        <f t="shared" si="2"/>
        <v>5611</v>
      </c>
      <c r="D68" s="168" t="s">
        <v>894</v>
      </c>
      <c r="E68" s="8" t="s">
        <v>1717</v>
      </c>
      <c r="F68" s="7">
        <v>1</v>
      </c>
      <c r="G68" s="7">
        <v>1</v>
      </c>
      <c r="H68" s="7"/>
      <c r="I68" s="9">
        <f t="shared" si="3"/>
        <v>0.125</v>
      </c>
      <c r="J68" s="9"/>
      <c r="K68" s="94" t="s">
        <v>1718</v>
      </c>
      <c r="L68" s="11" t="s">
        <v>1365</v>
      </c>
      <c r="M68" s="11"/>
      <c r="N68" s="11"/>
      <c r="O68" s="11"/>
      <c r="P68" s="10"/>
      <c r="Q68" s="10"/>
      <c r="R68" s="11"/>
      <c r="S68" s="11" t="s">
        <v>1181</v>
      </c>
      <c r="T68" s="181"/>
    </row>
    <row r="69" spans="1:20" ht="11.25" customHeight="1" x14ac:dyDescent="0.2">
      <c r="A69" s="33" t="s">
        <v>230</v>
      </c>
      <c r="B69" s="7">
        <f t="shared" si="4"/>
        <v>5612</v>
      </c>
      <c r="C69" s="7">
        <f t="shared" si="2"/>
        <v>5612</v>
      </c>
      <c r="D69" s="168" t="s">
        <v>894</v>
      </c>
      <c r="E69" s="8" t="s">
        <v>299</v>
      </c>
      <c r="F69" s="7">
        <v>1</v>
      </c>
      <c r="G69" s="7">
        <v>1</v>
      </c>
      <c r="H69" s="7"/>
      <c r="I69" s="9">
        <f t="shared" si="3"/>
        <v>0.125</v>
      </c>
      <c r="J69" s="9"/>
      <c r="K69" s="94" t="s">
        <v>215</v>
      </c>
      <c r="L69" s="11" t="s">
        <v>797</v>
      </c>
      <c r="M69" s="11"/>
      <c r="N69" s="11"/>
      <c r="O69" s="11"/>
      <c r="P69" s="10"/>
      <c r="Q69" s="10"/>
      <c r="R69" s="11"/>
      <c r="S69" s="11" t="s">
        <v>1181</v>
      </c>
      <c r="T69" s="157"/>
    </row>
    <row r="70" spans="1:20" ht="11.25" customHeight="1" x14ac:dyDescent="0.2">
      <c r="A70" s="33" t="s">
        <v>230</v>
      </c>
      <c r="B70" s="7">
        <f t="shared" si="4"/>
        <v>5613</v>
      </c>
      <c r="C70" s="7">
        <f t="shared" si="2"/>
        <v>5613</v>
      </c>
      <c r="D70" s="168" t="s">
        <v>894</v>
      </c>
      <c r="E70" s="8" t="s">
        <v>1746</v>
      </c>
      <c r="F70" s="7">
        <v>1</v>
      </c>
      <c r="G70" s="7">
        <v>1</v>
      </c>
      <c r="H70" s="7"/>
      <c r="I70" s="9">
        <f t="shared" si="3"/>
        <v>0.125</v>
      </c>
      <c r="J70" s="9"/>
      <c r="K70" s="94" t="s">
        <v>215</v>
      </c>
      <c r="L70" s="11" t="s">
        <v>797</v>
      </c>
      <c r="M70" s="11"/>
      <c r="N70" s="11"/>
      <c r="O70" s="11"/>
      <c r="P70" s="10"/>
      <c r="Q70" s="10"/>
      <c r="R70" s="11"/>
      <c r="S70" s="11" t="s">
        <v>1181</v>
      </c>
      <c r="T70" s="157"/>
    </row>
    <row r="71" spans="1:20" ht="11.25" customHeight="1" x14ac:dyDescent="0.2">
      <c r="A71" s="33" t="s">
        <v>230</v>
      </c>
      <c r="B71" s="7">
        <f>C70+1</f>
        <v>5614</v>
      </c>
      <c r="C71" s="7">
        <f t="shared" si="2"/>
        <v>5614</v>
      </c>
      <c r="D71" s="168" t="s">
        <v>894</v>
      </c>
      <c r="E71" s="8" t="s">
        <v>1823</v>
      </c>
      <c r="F71" s="7">
        <v>1</v>
      </c>
      <c r="G71" s="7">
        <v>1</v>
      </c>
      <c r="H71" s="7"/>
      <c r="I71" s="9">
        <f>(F71*G71)/8</f>
        <v>0.125</v>
      </c>
      <c r="J71" s="9"/>
      <c r="K71" s="94" t="s">
        <v>215</v>
      </c>
      <c r="L71" s="11" t="s">
        <v>797</v>
      </c>
      <c r="M71" s="11"/>
      <c r="N71" s="11"/>
      <c r="O71" s="11"/>
      <c r="P71" s="10"/>
      <c r="Q71" s="10"/>
      <c r="R71" s="11"/>
      <c r="S71" s="11" t="s">
        <v>1181</v>
      </c>
      <c r="T71" s="157"/>
    </row>
    <row r="72" spans="1:20" ht="11.25" customHeight="1" x14ac:dyDescent="0.2">
      <c r="A72" s="33" t="s">
        <v>230</v>
      </c>
      <c r="B72" s="7">
        <f>C71+1</f>
        <v>5615</v>
      </c>
      <c r="C72" s="7">
        <f t="shared" si="2"/>
        <v>5615</v>
      </c>
      <c r="D72" s="168" t="s">
        <v>894</v>
      </c>
      <c r="E72" s="8" t="s">
        <v>1891</v>
      </c>
      <c r="F72" s="7">
        <v>1</v>
      </c>
      <c r="G72" s="7">
        <v>1</v>
      </c>
      <c r="H72" s="7"/>
      <c r="I72" s="9">
        <f>(F72*G72)/8</f>
        <v>0.125</v>
      </c>
      <c r="J72" s="9"/>
      <c r="K72" s="94" t="s">
        <v>215</v>
      </c>
      <c r="L72" s="11" t="s">
        <v>797</v>
      </c>
      <c r="M72" s="11"/>
      <c r="N72" s="11"/>
      <c r="O72" s="11"/>
      <c r="P72" s="10"/>
      <c r="Q72" s="10"/>
      <c r="R72" s="11"/>
      <c r="S72" s="11" t="s">
        <v>1181</v>
      </c>
      <c r="T72" s="157"/>
    </row>
    <row r="73" spans="1:20" ht="11.45" customHeight="1" x14ac:dyDescent="0.2">
      <c r="A73" s="33" t="s">
        <v>230</v>
      </c>
      <c r="B73" s="413">
        <f>C72+1</f>
        <v>5616</v>
      </c>
      <c r="C73" s="413">
        <f t="shared" si="2"/>
        <v>5616</v>
      </c>
      <c r="D73" s="414" t="s">
        <v>894</v>
      </c>
      <c r="E73" s="415" t="s">
        <v>1892</v>
      </c>
      <c r="F73" s="413">
        <v>1</v>
      </c>
      <c r="G73" s="413">
        <v>1</v>
      </c>
      <c r="H73" s="413"/>
      <c r="I73" s="416">
        <f>(F73*G73)/8</f>
        <v>0.125</v>
      </c>
      <c r="J73" s="416"/>
      <c r="K73" s="417" t="s">
        <v>215</v>
      </c>
      <c r="L73" s="418" t="s">
        <v>797</v>
      </c>
      <c r="M73" s="418"/>
      <c r="N73" s="418"/>
      <c r="O73" s="418"/>
      <c r="P73" s="419"/>
      <c r="Q73" s="419"/>
      <c r="R73" s="418"/>
      <c r="S73" s="418" t="s">
        <v>1181</v>
      </c>
      <c r="T73" s="420"/>
    </row>
    <row r="74" spans="1:20" ht="11.25" customHeight="1" x14ac:dyDescent="0.2">
      <c r="A74" s="33"/>
      <c r="B74" s="47">
        <f>B75</f>
        <v>5651</v>
      </c>
      <c r="C74" s="46"/>
      <c r="D74" s="48"/>
      <c r="E74" s="26" t="s">
        <v>1900</v>
      </c>
      <c r="F74" s="47"/>
      <c r="G74" s="46"/>
      <c r="H74" s="46"/>
      <c r="I74" s="48"/>
      <c r="J74" s="48"/>
      <c r="K74" s="49"/>
      <c r="L74" s="32"/>
      <c r="M74" s="32"/>
      <c r="N74" s="32"/>
      <c r="O74" s="32"/>
      <c r="P74" s="121"/>
      <c r="Q74" s="121"/>
      <c r="R74" s="143"/>
      <c r="S74" s="143"/>
      <c r="T74" s="156"/>
    </row>
    <row r="75" spans="1:20" ht="11.45" customHeight="1" x14ac:dyDescent="0.2">
      <c r="A75" s="33" t="s">
        <v>230</v>
      </c>
      <c r="B75" s="7">
        <v>5651</v>
      </c>
      <c r="C75" s="7">
        <f t="shared" ref="C75:C87" si="5">B75+($F75*$G75)-1</f>
        <v>5651</v>
      </c>
      <c r="D75" s="168" t="s">
        <v>894</v>
      </c>
      <c r="E75" s="381" t="s">
        <v>1901</v>
      </c>
      <c r="F75" s="7">
        <v>1</v>
      </c>
      <c r="G75" s="7">
        <v>1</v>
      </c>
      <c r="H75" s="7"/>
      <c r="I75" s="9">
        <f t="shared" ref="I75:I87" si="6">(F75*G75)/8</f>
        <v>0.125</v>
      </c>
      <c r="J75" s="9"/>
      <c r="K75" s="1" t="s">
        <v>1787</v>
      </c>
      <c r="L75" s="11" t="s">
        <v>797</v>
      </c>
      <c r="M75" s="11"/>
      <c r="N75" s="11"/>
      <c r="O75" s="11"/>
      <c r="P75" s="10"/>
      <c r="Q75" s="10"/>
      <c r="R75" s="11"/>
      <c r="S75" s="11" t="s">
        <v>1181</v>
      </c>
      <c r="T75" s="181"/>
    </row>
    <row r="76" spans="1:20" ht="11.25" customHeight="1" x14ac:dyDescent="0.2">
      <c r="A76" s="33" t="s">
        <v>230</v>
      </c>
      <c r="B76" s="7">
        <f>C75+1</f>
        <v>5652</v>
      </c>
      <c r="C76" s="7">
        <f>B76+($F76*$G76)-1</f>
        <v>5652</v>
      </c>
      <c r="D76" s="168" t="s">
        <v>894</v>
      </c>
      <c r="E76" s="179" t="s">
        <v>1874</v>
      </c>
      <c r="F76" s="7">
        <v>1</v>
      </c>
      <c r="G76" s="7">
        <v>1</v>
      </c>
      <c r="H76" s="7"/>
      <c r="I76" s="9">
        <f>(F76*G76)/8</f>
        <v>0.125</v>
      </c>
      <c r="J76" s="9"/>
      <c r="K76" s="1" t="s">
        <v>1787</v>
      </c>
      <c r="L76" s="11" t="s">
        <v>797</v>
      </c>
      <c r="M76" s="11"/>
      <c r="N76" s="11"/>
      <c r="O76" s="11"/>
      <c r="P76" s="10"/>
      <c r="Q76" s="10"/>
      <c r="R76" s="11"/>
      <c r="S76" s="11" t="s">
        <v>1181</v>
      </c>
      <c r="T76" s="181"/>
    </row>
    <row r="77" spans="1:20" ht="11.25" customHeight="1" x14ac:dyDescent="0.2">
      <c r="A77" s="33" t="s">
        <v>230</v>
      </c>
      <c r="B77" s="7">
        <f>C76+1</f>
        <v>5653</v>
      </c>
      <c r="C77" s="7">
        <f t="shared" si="5"/>
        <v>5653</v>
      </c>
      <c r="D77" s="168" t="s">
        <v>894</v>
      </c>
      <c r="E77" s="179" t="s">
        <v>1875</v>
      </c>
      <c r="F77" s="7">
        <v>1</v>
      </c>
      <c r="G77" s="7">
        <v>1</v>
      </c>
      <c r="H77" s="7"/>
      <c r="I77" s="9">
        <f t="shared" si="6"/>
        <v>0.125</v>
      </c>
      <c r="J77" s="9"/>
      <c r="K77" s="1" t="s">
        <v>1787</v>
      </c>
      <c r="L77" s="11" t="s">
        <v>797</v>
      </c>
      <c r="M77" s="11"/>
      <c r="N77" s="11"/>
      <c r="O77" s="11"/>
      <c r="P77" s="10"/>
      <c r="Q77" s="10"/>
      <c r="R77" s="11"/>
      <c r="S77" s="11" t="s">
        <v>1181</v>
      </c>
      <c r="T77" s="181"/>
    </row>
    <row r="78" spans="1:20" ht="11.25" customHeight="1" x14ac:dyDescent="0.2">
      <c r="A78" s="33" t="s">
        <v>230</v>
      </c>
      <c r="B78" s="7">
        <f t="shared" ref="B78:B87" si="7">C77+1</f>
        <v>5654</v>
      </c>
      <c r="C78" s="7">
        <f t="shared" si="5"/>
        <v>5654</v>
      </c>
      <c r="D78" s="168" t="s">
        <v>894</v>
      </c>
      <c r="E78" s="179" t="s">
        <v>1931</v>
      </c>
      <c r="F78" s="7">
        <v>1</v>
      </c>
      <c r="G78" s="7">
        <v>1</v>
      </c>
      <c r="H78" s="7"/>
      <c r="I78" s="9">
        <f t="shared" si="6"/>
        <v>0.125</v>
      </c>
      <c r="J78" s="9"/>
      <c r="K78" s="1" t="s">
        <v>1787</v>
      </c>
      <c r="L78" s="11" t="s">
        <v>797</v>
      </c>
      <c r="M78" s="11"/>
      <c r="N78" s="11"/>
      <c r="O78" s="11"/>
      <c r="P78" s="10"/>
      <c r="Q78" s="10"/>
      <c r="R78" s="11"/>
      <c r="S78" s="11" t="s">
        <v>1181</v>
      </c>
      <c r="T78" s="181"/>
    </row>
    <row r="79" spans="1:20" ht="11.25" customHeight="1" x14ac:dyDescent="0.2">
      <c r="A79" s="33" t="s">
        <v>230</v>
      </c>
      <c r="B79" s="7">
        <f t="shared" si="7"/>
        <v>5655</v>
      </c>
      <c r="C79" s="7">
        <f t="shared" si="5"/>
        <v>5655</v>
      </c>
      <c r="D79" s="168" t="s">
        <v>894</v>
      </c>
      <c r="E79" s="179" t="s">
        <v>1876</v>
      </c>
      <c r="F79" s="7">
        <v>1</v>
      </c>
      <c r="G79" s="7">
        <v>1</v>
      </c>
      <c r="H79" s="7"/>
      <c r="I79" s="9">
        <f t="shared" si="6"/>
        <v>0.125</v>
      </c>
      <c r="J79" s="9"/>
      <c r="K79" s="1" t="s">
        <v>1787</v>
      </c>
      <c r="L79" s="11" t="s">
        <v>797</v>
      </c>
      <c r="M79" s="11"/>
      <c r="N79" s="11"/>
      <c r="O79" s="11"/>
      <c r="P79" s="10"/>
      <c r="Q79" s="10"/>
      <c r="R79" s="11"/>
      <c r="S79" s="11" t="s">
        <v>1181</v>
      </c>
      <c r="T79" s="181"/>
    </row>
    <row r="80" spans="1:20" ht="11.25" customHeight="1" x14ac:dyDescent="0.2">
      <c r="A80" s="33" t="s">
        <v>230</v>
      </c>
      <c r="B80" s="7">
        <f t="shared" si="7"/>
        <v>5656</v>
      </c>
      <c r="C80" s="7">
        <f t="shared" si="5"/>
        <v>5656</v>
      </c>
      <c r="D80" s="168" t="s">
        <v>894</v>
      </c>
      <c r="E80" s="179" t="s">
        <v>1877</v>
      </c>
      <c r="F80" s="7">
        <v>1</v>
      </c>
      <c r="G80" s="7">
        <v>1</v>
      </c>
      <c r="H80" s="7"/>
      <c r="I80" s="9">
        <f t="shared" si="6"/>
        <v>0.125</v>
      </c>
      <c r="J80" s="9"/>
      <c r="K80" s="1" t="s">
        <v>1787</v>
      </c>
      <c r="L80" s="11" t="s">
        <v>797</v>
      </c>
      <c r="M80" s="11"/>
      <c r="N80" s="11"/>
      <c r="O80" s="11"/>
      <c r="P80" s="10"/>
      <c r="Q80" s="10"/>
      <c r="R80" s="11"/>
      <c r="S80" s="11" t="s">
        <v>1181</v>
      </c>
      <c r="T80" s="181"/>
    </row>
    <row r="81" spans="1:20" ht="11.25" customHeight="1" x14ac:dyDescent="0.2">
      <c r="A81" s="33" t="s">
        <v>230</v>
      </c>
      <c r="B81" s="7">
        <f t="shared" si="7"/>
        <v>5657</v>
      </c>
      <c r="C81" s="7">
        <f t="shared" si="5"/>
        <v>5657</v>
      </c>
      <c r="D81" s="168" t="s">
        <v>894</v>
      </c>
      <c r="E81" s="179" t="s">
        <v>1878</v>
      </c>
      <c r="F81" s="7">
        <v>1</v>
      </c>
      <c r="G81" s="7">
        <v>1</v>
      </c>
      <c r="H81" s="7"/>
      <c r="I81" s="9">
        <f t="shared" si="6"/>
        <v>0.125</v>
      </c>
      <c r="J81" s="9"/>
      <c r="K81" s="1" t="s">
        <v>1787</v>
      </c>
      <c r="L81" s="11" t="s">
        <v>797</v>
      </c>
      <c r="M81" s="11"/>
      <c r="N81" s="11"/>
      <c r="O81" s="11"/>
      <c r="P81" s="10"/>
      <c r="Q81" s="10"/>
      <c r="R81" s="11"/>
      <c r="S81" s="11" t="s">
        <v>1181</v>
      </c>
      <c r="T81" s="181"/>
    </row>
    <row r="82" spans="1:20" ht="11.25" customHeight="1" x14ac:dyDescent="0.2">
      <c r="A82" s="33" t="s">
        <v>230</v>
      </c>
      <c r="B82" s="7">
        <f t="shared" si="7"/>
        <v>5658</v>
      </c>
      <c r="C82" s="7">
        <f t="shared" si="5"/>
        <v>5658</v>
      </c>
      <c r="D82" s="168" t="s">
        <v>894</v>
      </c>
      <c r="E82" s="179" t="s">
        <v>1879</v>
      </c>
      <c r="F82" s="7">
        <v>1</v>
      </c>
      <c r="G82" s="7">
        <v>1</v>
      </c>
      <c r="H82" s="7"/>
      <c r="I82" s="9">
        <f t="shared" si="6"/>
        <v>0.125</v>
      </c>
      <c r="J82" s="9"/>
      <c r="K82" s="1" t="s">
        <v>1787</v>
      </c>
      <c r="L82" s="11" t="s">
        <v>797</v>
      </c>
      <c r="M82" s="11"/>
      <c r="N82" s="11"/>
      <c r="O82" s="11"/>
      <c r="P82" s="10"/>
      <c r="Q82" s="10"/>
      <c r="R82" s="11"/>
      <c r="S82" s="11" t="s">
        <v>1181</v>
      </c>
      <c r="T82" s="178"/>
    </row>
    <row r="83" spans="1:20" ht="11.25" customHeight="1" x14ac:dyDescent="0.2">
      <c r="A83" s="33" t="s">
        <v>230</v>
      </c>
      <c r="B83" s="7">
        <f t="shared" si="7"/>
        <v>5659</v>
      </c>
      <c r="C83" s="7">
        <f t="shared" si="5"/>
        <v>5659</v>
      </c>
      <c r="D83" s="168" t="s">
        <v>894</v>
      </c>
      <c r="E83" s="179" t="s">
        <v>1921</v>
      </c>
      <c r="F83" s="7">
        <v>1</v>
      </c>
      <c r="G83" s="7">
        <v>1</v>
      </c>
      <c r="H83" s="7"/>
      <c r="I83" s="9">
        <f t="shared" si="6"/>
        <v>0.125</v>
      </c>
      <c r="J83" s="9"/>
      <c r="K83" s="1" t="s">
        <v>1787</v>
      </c>
      <c r="L83" s="11" t="s">
        <v>797</v>
      </c>
      <c r="M83" s="11"/>
      <c r="N83" s="11"/>
      <c r="O83" s="11"/>
      <c r="P83" s="10"/>
      <c r="Q83" s="10"/>
      <c r="R83" s="11"/>
      <c r="S83" s="11" t="s">
        <v>1181</v>
      </c>
      <c r="T83" s="181"/>
    </row>
    <row r="84" spans="1:20" ht="11.25" customHeight="1" x14ac:dyDescent="0.2">
      <c r="A84" s="33" t="s">
        <v>230</v>
      </c>
      <c r="B84" s="7">
        <f t="shared" si="7"/>
        <v>5660</v>
      </c>
      <c r="C84" s="7">
        <f t="shared" si="5"/>
        <v>5660</v>
      </c>
      <c r="D84" s="168" t="s">
        <v>894</v>
      </c>
      <c r="E84" s="179" t="s">
        <v>1880</v>
      </c>
      <c r="F84" s="7">
        <v>1</v>
      </c>
      <c r="G84" s="7">
        <v>1</v>
      </c>
      <c r="H84" s="7"/>
      <c r="I84" s="9">
        <f t="shared" si="6"/>
        <v>0.125</v>
      </c>
      <c r="J84" s="9"/>
      <c r="K84" s="1" t="s">
        <v>1787</v>
      </c>
      <c r="L84" s="11" t="s">
        <v>797</v>
      </c>
      <c r="M84" s="11"/>
      <c r="N84" s="11"/>
      <c r="O84" s="11"/>
      <c r="P84" s="10"/>
      <c r="Q84" s="10"/>
      <c r="R84" s="11"/>
      <c r="S84" s="11" t="s">
        <v>1181</v>
      </c>
      <c r="T84" s="181"/>
    </row>
    <row r="85" spans="1:20" ht="11.25" customHeight="1" x14ac:dyDescent="0.2">
      <c r="A85" s="33" t="s">
        <v>230</v>
      </c>
      <c r="B85" s="7">
        <f t="shared" si="7"/>
        <v>5661</v>
      </c>
      <c r="C85" s="7">
        <f t="shared" si="5"/>
        <v>5661</v>
      </c>
      <c r="D85" s="168" t="s">
        <v>894</v>
      </c>
      <c r="E85" s="8" t="s">
        <v>1881</v>
      </c>
      <c r="F85" s="7">
        <v>1</v>
      </c>
      <c r="G85" s="7">
        <v>1</v>
      </c>
      <c r="H85" s="7"/>
      <c r="I85" s="9">
        <f t="shared" si="6"/>
        <v>0.125</v>
      </c>
      <c r="J85" s="9"/>
      <c r="K85" s="1" t="s">
        <v>1787</v>
      </c>
      <c r="L85" s="11" t="s">
        <v>797</v>
      </c>
      <c r="M85" s="11"/>
      <c r="N85" s="11"/>
      <c r="O85" s="11"/>
      <c r="P85" s="10"/>
      <c r="Q85" s="10"/>
      <c r="R85" s="11"/>
      <c r="S85" s="11" t="s">
        <v>1181</v>
      </c>
      <c r="T85" s="181"/>
    </row>
    <row r="86" spans="1:20" ht="11.25" customHeight="1" x14ac:dyDescent="0.2">
      <c r="A86" s="33" t="s">
        <v>230</v>
      </c>
      <c r="B86" s="7">
        <f t="shared" si="7"/>
        <v>5662</v>
      </c>
      <c r="C86" s="7">
        <f t="shared" si="5"/>
        <v>5662</v>
      </c>
      <c r="D86" s="168" t="s">
        <v>894</v>
      </c>
      <c r="E86" s="8" t="s">
        <v>1882</v>
      </c>
      <c r="F86" s="7">
        <v>1</v>
      </c>
      <c r="G86" s="7">
        <v>1</v>
      </c>
      <c r="H86" s="7"/>
      <c r="I86" s="9">
        <f t="shared" si="6"/>
        <v>0.125</v>
      </c>
      <c r="J86" s="9"/>
      <c r="K86" s="1" t="s">
        <v>1787</v>
      </c>
      <c r="L86" s="11" t="s">
        <v>797</v>
      </c>
      <c r="M86" s="11"/>
      <c r="N86" s="11"/>
      <c r="O86" s="11"/>
      <c r="P86" s="10"/>
      <c r="Q86" s="10"/>
      <c r="R86" s="11"/>
      <c r="S86" s="11" t="s">
        <v>1181</v>
      </c>
      <c r="T86" s="157"/>
    </row>
    <row r="87" spans="1:20" x14ac:dyDescent="0.2">
      <c r="A87" s="33" t="s">
        <v>230</v>
      </c>
      <c r="B87" s="7">
        <f t="shared" si="7"/>
        <v>5663</v>
      </c>
      <c r="C87" s="7">
        <f t="shared" si="5"/>
        <v>5663</v>
      </c>
      <c r="D87" s="168" t="s">
        <v>894</v>
      </c>
      <c r="E87" s="8" t="s">
        <v>1883</v>
      </c>
      <c r="F87" s="7">
        <v>1</v>
      </c>
      <c r="G87" s="7">
        <v>1</v>
      </c>
      <c r="H87" s="7"/>
      <c r="I87" s="9">
        <f t="shared" si="6"/>
        <v>0.125</v>
      </c>
      <c r="J87" s="9"/>
      <c r="K87" s="1" t="s">
        <v>1787</v>
      </c>
      <c r="L87" s="11" t="s">
        <v>797</v>
      </c>
      <c r="M87" s="11"/>
      <c r="N87" s="11"/>
      <c r="O87" s="11"/>
      <c r="P87" s="10"/>
      <c r="Q87" s="10"/>
      <c r="R87" s="11"/>
      <c r="S87" s="11" t="s">
        <v>1181</v>
      </c>
      <c r="T87" s="157"/>
    </row>
    <row r="88" spans="1:20" ht="11.25" customHeight="1" x14ac:dyDescent="0.2">
      <c r="A88" s="33" t="s">
        <v>230</v>
      </c>
      <c r="B88" s="7">
        <f>C87+1</f>
        <v>5664</v>
      </c>
      <c r="C88" s="7">
        <f>B88+($F88*$G88)-1</f>
        <v>5664</v>
      </c>
      <c r="D88" s="168" t="s">
        <v>894</v>
      </c>
      <c r="E88" s="8" t="s">
        <v>1884</v>
      </c>
      <c r="F88" s="7">
        <v>1</v>
      </c>
      <c r="G88" s="7">
        <v>1</v>
      </c>
      <c r="H88" s="7"/>
      <c r="I88" s="9">
        <f>(F88*G88)/8</f>
        <v>0.125</v>
      </c>
      <c r="J88" s="9"/>
      <c r="K88" s="1" t="s">
        <v>1787</v>
      </c>
      <c r="L88" s="11" t="s">
        <v>797</v>
      </c>
      <c r="M88" s="11"/>
      <c r="N88" s="11"/>
      <c r="O88" s="11"/>
      <c r="P88" s="10"/>
      <c r="Q88" s="10"/>
      <c r="R88" s="11"/>
      <c r="S88" s="11" t="s">
        <v>1181</v>
      </c>
      <c r="T88" s="157"/>
    </row>
    <row r="89" spans="1:20" x14ac:dyDescent="0.2">
      <c r="A89" s="33" t="s">
        <v>230</v>
      </c>
      <c r="B89" s="7">
        <f>C88+1</f>
        <v>5665</v>
      </c>
      <c r="C89" s="7">
        <f>B89+($F89*$G89)-1</f>
        <v>5665</v>
      </c>
      <c r="D89" s="168" t="s">
        <v>894</v>
      </c>
      <c r="E89" s="8" t="s">
        <v>1893</v>
      </c>
      <c r="F89" s="7">
        <v>1</v>
      </c>
      <c r="G89" s="7">
        <v>1</v>
      </c>
      <c r="H89" s="7"/>
      <c r="I89" s="9">
        <f>(F89*G89)/8</f>
        <v>0.125</v>
      </c>
      <c r="J89" s="9"/>
      <c r="K89" s="1" t="s">
        <v>1787</v>
      </c>
      <c r="L89" s="11" t="s">
        <v>797</v>
      </c>
      <c r="M89" s="11"/>
      <c r="N89" s="11"/>
      <c r="O89" s="11"/>
      <c r="P89" s="10"/>
      <c r="Q89" s="10"/>
      <c r="R89" s="11"/>
      <c r="S89" s="11" t="s">
        <v>1181</v>
      </c>
      <c r="T89" s="157"/>
    </row>
    <row r="90" spans="1:20" x14ac:dyDescent="0.2">
      <c r="A90" s="33" t="s">
        <v>230</v>
      </c>
      <c r="B90" s="7">
        <f>C89+1</f>
        <v>5666</v>
      </c>
      <c r="C90" s="7">
        <f>B90+($F90*$G90)-1</f>
        <v>5666</v>
      </c>
      <c r="D90" s="168" t="s">
        <v>894</v>
      </c>
      <c r="E90" s="8" t="s">
        <v>1894</v>
      </c>
      <c r="F90" s="7">
        <v>1</v>
      </c>
      <c r="G90" s="7">
        <v>1</v>
      </c>
      <c r="H90" s="7"/>
      <c r="I90" s="9">
        <f>(F90*G90)/8</f>
        <v>0.125</v>
      </c>
      <c r="J90" s="9"/>
      <c r="K90" s="1" t="s">
        <v>1787</v>
      </c>
      <c r="L90" s="11" t="s">
        <v>797</v>
      </c>
      <c r="M90" s="11"/>
      <c r="N90" s="11"/>
      <c r="O90" s="11"/>
      <c r="P90" s="10"/>
      <c r="Q90" s="10"/>
      <c r="R90" s="11"/>
      <c r="S90" s="11" t="s">
        <v>1181</v>
      </c>
      <c r="T90" s="157"/>
    </row>
    <row r="91" spans="1:20" ht="11.25" customHeight="1" x14ac:dyDescent="0.2">
      <c r="A91" s="33"/>
      <c r="B91" s="47">
        <f>B92</f>
        <v>6001</v>
      </c>
      <c r="C91" s="46"/>
      <c r="D91" s="48"/>
      <c r="E91" s="26" t="s">
        <v>3</v>
      </c>
      <c r="F91" s="46"/>
      <c r="G91" s="46"/>
      <c r="H91" s="46"/>
      <c r="I91" s="48"/>
      <c r="J91" s="48"/>
      <c r="K91" s="49"/>
      <c r="L91" s="49"/>
      <c r="M91" s="49"/>
      <c r="N91" s="49"/>
      <c r="O91" s="32"/>
      <c r="P91" s="120"/>
      <c r="Q91" s="120"/>
      <c r="R91" s="143"/>
      <c r="S91" s="143"/>
      <c r="T91" s="156"/>
    </row>
    <row r="92" spans="1:20" ht="11.25" customHeight="1" x14ac:dyDescent="0.2">
      <c r="A92" s="33" t="s">
        <v>230</v>
      </c>
      <c r="B92" s="7">
        <v>6001</v>
      </c>
      <c r="C92" s="7">
        <f t="shared" ref="C92:C107" si="8">B92+($F92*$G92)-1</f>
        <v>6032</v>
      </c>
      <c r="D92" s="168" t="s">
        <v>894</v>
      </c>
      <c r="E92" s="179" t="s">
        <v>2001</v>
      </c>
      <c r="F92" s="7">
        <v>32</v>
      </c>
      <c r="G92" s="7">
        <v>1</v>
      </c>
      <c r="H92" s="7"/>
      <c r="I92" s="9">
        <f t="shared" ref="I92:I107" si="9">(F92*G92)/8</f>
        <v>4</v>
      </c>
      <c r="J92" s="9"/>
      <c r="K92" s="165" t="s">
        <v>397</v>
      </c>
      <c r="L92" s="11" t="s">
        <v>793</v>
      </c>
      <c r="M92" s="11"/>
      <c r="N92" s="11"/>
      <c r="O92" s="11"/>
      <c r="P92" s="136"/>
      <c r="Q92" s="136"/>
      <c r="R92" s="11"/>
      <c r="S92" s="11" t="s">
        <v>1181</v>
      </c>
      <c r="T92" s="117"/>
    </row>
    <row r="93" spans="1:20" x14ac:dyDescent="0.2">
      <c r="A93" s="33" t="s">
        <v>230</v>
      </c>
      <c r="B93" s="7">
        <f t="shared" ref="B93:B107" si="10">C92+1</f>
        <v>6033</v>
      </c>
      <c r="C93" s="7">
        <f t="shared" si="8"/>
        <v>6064</v>
      </c>
      <c r="D93" s="168" t="s">
        <v>894</v>
      </c>
      <c r="E93" s="8" t="s">
        <v>2021</v>
      </c>
      <c r="F93" s="7">
        <v>32</v>
      </c>
      <c r="G93" s="7">
        <v>1</v>
      </c>
      <c r="H93" s="7"/>
      <c r="I93" s="9">
        <f t="shared" si="9"/>
        <v>4</v>
      </c>
      <c r="J93" s="9"/>
      <c r="K93" s="165" t="s">
        <v>397</v>
      </c>
      <c r="L93" s="11" t="s">
        <v>793</v>
      </c>
      <c r="M93" s="11"/>
      <c r="N93" s="11"/>
      <c r="O93" s="11"/>
      <c r="P93" s="136"/>
      <c r="Q93" s="10"/>
      <c r="R93" s="11"/>
      <c r="S93" s="11" t="s">
        <v>1181</v>
      </c>
      <c r="T93" s="157"/>
    </row>
    <row r="94" spans="1:20" x14ac:dyDescent="0.2">
      <c r="A94" s="33" t="s">
        <v>230</v>
      </c>
      <c r="B94" s="7">
        <f t="shared" si="10"/>
        <v>6065</v>
      </c>
      <c r="C94" s="7">
        <f t="shared" si="8"/>
        <v>6096</v>
      </c>
      <c r="D94" s="168" t="s">
        <v>894</v>
      </c>
      <c r="E94" s="179" t="s">
        <v>2039</v>
      </c>
      <c r="F94" s="7">
        <v>32</v>
      </c>
      <c r="G94" s="7">
        <v>1</v>
      </c>
      <c r="H94" s="7"/>
      <c r="I94" s="9">
        <f t="shared" si="9"/>
        <v>4</v>
      </c>
      <c r="J94" s="9"/>
      <c r="K94" s="165" t="s">
        <v>397</v>
      </c>
      <c r="L94" s="11" t="s">
        <v>793</v>
      </c>
      <c r="M94" s="11"/>
      <c r="N94" s="11"/>
      <c r="O94" s="11"/>
      <c r="P94" s="136"/>
      <c r="Q94" s="136"/>
      <c r="R94" s="11"/>
      <c r="S94" s="11" t="s">
        <v>1181</v>
      </c>
      <c r="T94" s="117"/>
    </row>
    <row r="95" spans="1:20" x14ac:dyDescent="0.2">
      <c r="A95" s="33" t="s">
        <v>230</v>
      </c>
      <c r="B95" s="7">
        <f t="shared" si="10"/>
        <v>6097</v>
      </c>
      <c r="C95" s="7">
        <f t="shared" si="8"/>
        <v>6128</v>
      </c>
      <c r="D95" s="168" t="s">
        <v>894</v>
      </c>
      <c r="E95" s="8" t="s">
        <v>2056</v>
      </c>
      <c r="F95" s="7">
        <v>32</v>
      </c>
      <c r="G95" s="7">
        <v>1</v>
      </c>
      <c r="H95" s="7"/>
      <c r="I95" s="9">
        <f t="shared" si="9"/>
        <v>4</v>
      </c>
      <c r="J95" s="9"/>
      <c r="K95" s="165" t="s">
        <v>397</v>
      </c>
      <c r="L95" s="11" t="s">
        <v>793</v>
      </c>
      <c r="M95" s="11"/>
      <c r="N95" s="11"/>
      <c r="O95" s="11"/>
      <c r="P95" s="136"/>
      <c r="Q95" s="10"/>
      <c r="R95" s="11"/>
      <c r="S95" s="11" t="s">
        <v>1181</v>
      </c>
      <c r="T95" s="157"/>
    </row>
    <row r="96" spans="1:20" ht="24.95" customHeight="1" x14ac:dyDescent="0.2">
      <c r="A96" s="33" t="s">
        <v>230</v>
      </c>
      <c r="B96" s="7">
        <f t="shared" si="10"/>
        <v>6129</v>
      </c>
      <c r="C96" s="7">
        <f t="shared" si="8"/>
        <v>6160</v>
      </c>
      <c r="D96" s="168" t="s">
        <v>894</v>
      </c>
      <c r="E96" s="179" t="s">
        <v>2073</v>
      </c>
      <c r="F96" s="7">
        <v>32</v>
      </c>
      <c r="G96" s="7">
        <v>1</v>
      </c>
      <c r="H96" s="7"/>
      <c r="I96" s="9">
        <f t="shared" si="9"/>
        <v>4</v>
      </c>
      <c r="J96" s="9"/>
      <c r="K96" s="165" t="s">
        <v>397</v>
      </c>
      <c r="L96" s="11" t="s">
        <v>793</v>
      </c>
      <c r="M96" s="11"/>
      <c r="N96" s="11"/>
      <c r="O96" s="11"/>
      <c r="P96" s="136"/>
      <c r="Q96" s="136"/>
      <c r="R96" s="11"/>
      <c r="S96" s="11" t="s">
        <v>1181</v>
      </c>
      <c r="T96" s="117"/>
    </row>
    <row r="97" spans="1:20" x14ac:dyDescent="0.2">
      <c r="A97" s="33" t="s">
        <v>230</v>
      </c>
      <c r="B97" s="7">
        <f t="shared" si="10"/>
        <v>6161</v>
      </c>
      <c r="C97" s="7">
        <f t="shared" si="8"/>
        <v>6192</v>
      </c>
      <c r="D97" s="168" t="s">
        <v>894</v>
      </c>
      <c r="E97" s="8" t="s">
        <v>2090</v>
      </c>
      <c r="F97" s="7">
        <v>32</v>
      </c>
      <c r="G97" s="7">
        <v>1</v>
      </c>
      <c r="H97" s="7"/>
      <c r="I97" s="9">
        <f t="shared" si="9"/>
        <v>4</v>
      </c>
      <c r="J97" s="9"/>
      <c r="K97" s="165" t="s">
        <v>397</v>
      </c>
      <c r="L97" s="11" t="s">
        <v>793</v>
      </c>
      <c r="M97" s="11"/>
      <c r="N97" s="11"/>
      <c r="O97" s="11"/>
      <c r="P97" s="136"/>
      <c r="Q97" s="10"/>
      <c r="R97" s="11"/>
      <c r="S97" s="11" t="s">
        <v>1181</v>
      </c>
      <c r="T97" s="157"/>
    </row>
    <row r="98" spans="1:20" x14ac:dyDescent="0.2">
      <c r="A98" s="33" t="s">
        <v>230</v>
      </c>
      <c r="B98" s="7">
        <f t="shared" si="10"/>
        <v>6193</v>
      </c>
      <c r="C98" s="7">
        <f t="shared" si="8"/>
        <v>6224</v>
      </c>
      <c r="D98" s="168" t="s">
        <v>894</v>
      </c>
      <c r="E98" s="179" t="s">
        <v>2107</v>
      </c>
      <c r="F98" s="7">
        <v>32</v>
      </c>
      <c r="G98" s="7">
        <v>1</v>
      </c>
      <c r="H98" s="7"/>
      <c r="I98" s="9">
        <f t="shared" si="9"/>
        <v>4</v>
      </c>
      <c r="J98" s="9"/>
      <c r="K98" s="165" t="s">
        <v>397</v>
      </c>
      <c r="L98" s="11" t="s">
        <v>793</v>
      </c>
      <c r="M98" s="11"/>
      <c r="N98" s="11"/>
      <c r="O98" s="11"/>
      <c r="P98" s="136"/>
      <c r="Q98" s="136"/>
      <c r="R98" s="11"/>
      <c r="S98" s="11" t="s">
        <v>1181</v>
      </c>
      <c r="T98" s="117"/>
    </row>
    <row r="99" spans="1:20" x14ac:dyDescent="0.2">
      <c r="A99" s="33" t="s">
        <v>230</v>
      </c>
      <c r="B99" s="7">
        <f t="shared" si="10"/>
        <v>6225</v>
      </c>
      <c r="C99" s="7">
        <f t="shared" si="8"/>
        <v>6256</v>
      </c>
      <c r="D99" s="168" t="s">
        <v>894</v>
      </c>
      <c r="E99" s="8" t="s">
        <v>2132</v>
      </c>
      <c r="F99" s="7">
        <v>32</v>
      </c>
      <c r="G99" s="7">
        <v>1</v>
      </c>
      <c r="H99" s="7"/>
      <c r="I99" s="9">
        <f t="shared" si="9"/>
        <v>4</v>
      </c>
      <c r="J99" s="9"/>
      <c r="K99" s="165" t="s">
        <v>397</v>
      </c>
      <c r="L99" s="11" t="s">
        <v>793</v>
      </c>
      <c r="M99" s="11"/>
      <c r="N99" s="11"/>
      <c r="O99" s="11"/>
      <c r="P99" s="136"/>
      <c r="Q99" s="10"/>
      <c r="R99" s="11"/>
      <c r="S99" s="11" t="s">
        <v>1181</v>
      </c>
      <c r="T99" s="157"/>
    </row>
    <row r="100" spans="1:20" x14ac:dyDescent="0.2">
      <c r="A100" s="33" t="s">
        <v>230</v>
      </c>
      <c r="B100" s="7">
        <f t="shared" si="10"/>
        <v>6257</v>
      </c>
      <c r="C100" s="7">
        <f t="shared" si="8"/>
        <v>6288</v>
      </c>
      <c r="D100" s="168" t="s">
        <v>894</v>
      </c>
      <c r="E100" s="179" t="s">
        <v>2157</v>
      </c>
      <c r="F100" s="7">
        <v>32</v>
      </c>
      <c r="G100" s="7">
        <v>1</v>
      </c>
      <c r="H100" s="7"/>
      <c r="I100" s="9">
        <f t="shared" si="9"/>
        <v>4</v>
      </c>
      <c r="J100" s="9"/>
      <c r="K100" s="165" t="s">
        <v>397</v>
      </c>
      <c r="L100" s="11" t="s">
        <v>793</v>
      </c>
      <c r="M100" s="11"/>
      <c r="N100" s="11"/>
      <c r="O100" s="11"/>
      <c r="P100" s="136"/>
      <c r="Q100" s="136"/>
      <c r="R100" s="11"/>
      <c r="S100" s="11" t="s">
        <v>1181</v>
      </c>
      <c r="T100" s="117"/>
    </row>
    <row r="101" spans="1:20" x14ac:dyDescent="0.2">
      <c r="A101" s="33" t="s">
        <v>230</v>
      </c>
      <c r="B101" s="7">
        <f t="shared" si="10"/>
        <v>6289</v>
      </c>
      <c r="C101" s="7">
        <f t="shared" si="8"/>
        <v>6320</v>
      </c>
      <c r="D101" s="168" t="s">
        <v>894</v>
      </c>
      <c r="E101" s="8" t="s">
        <v>2182</v>
      </c>
      <c r="F101" s="7">
        <v>32</v>
      </c>
      <c r="G101" s="7">
        <v>1</v>
      </c>
      <c r="H101" s="7"/>
      <c r="I101" s="9">
        <f t="shared" si="9"/>
        <v>4</v>
      </c>
      <c r="J101" s="9"/>
      <c r="K101" s="165" t="s">
        <v>397</v>
      </c>
      <c r="L101" s="11" t="s">
        <v>793</v>
      </c>
      <c r="M101" s="11"/>
      <c r="N101" s="11"/>
      <c r="O101" s="11"/>
      <c r="P101" s="136"/>
      <c r="Q101" s="10"/>
      <c r="R101" s="11"/>
      <c r="S101" s="11" t="s">
        <v>1181</v>
      </c>
      <c r="T101" s="157"/>
    </row>
    <row r="102" spans="1:20" x14ac:dyDescent="0.2">
      <c r="A102" s="33" t="s">
        <v>230</v>
      </c>
      <c r="B102" s="7">
        <f t="shared" si="10"/>
        <v>6321</v>
      </c>
      <c r="C102" s="7">
        <f t="shared" si="8"/>
        <v>6352</v>
      </c>
      <c r="D102" s="168" t="s">
        <v>894</v>
      </c>
      <c r="E102" s="179" t="s">
        <v>2207</v>
      </c>
      <c r="F102" s="7">
        <v>32</v>
      </c>
      <c r="G102" s="7">
        <v>1</v>
      </c>
      <c r="H102" s="7"/>
      <c r="I102" s="9">
        <f t="shared" si="9"/>
        <v>4</v>
      </c>
      <c r="J102" s="9"/>
      <c r="K102" s="165" t="s">
        <v>397</v>
      </c>
      <c r="L102" s="11" t="s">
        <v>793</v>
      </c>
      <c r="M102" s="11"/>
      <c r="N102" s="11"/>
      <c r="O102" s="11"/>
      <c r="P102" s="136"/>
      <c r="Q102" s="136"/>
      <c r="R102" s="11"/>
      <c r="S102" s="11" t="s">
        <v>1181</v>
      </c>
      <c r="T102" s="117"/>
    </row>
    <row r="103" spans="1:20" ht="11.25" customHeight="1" x14ac:dyDescent="0.2">
      <c r="A103" s="33" t="s">
        <v>230</v>
      </c>
      <c r="B103" s="7">
        <f t="shared" si="10"/>
        <v>6353</v>
      </c>
      <c r="C103" s="7">
        <f t="shared" si="8"/>
        <v>6384</v>
      </c>
      <c r="D103" s="168" t="s">
        <v>894</v>
      </c>
      <c r="E103" s="8" t="s">
        <v>2208</v>
      </c>
      <c r="F103" s="7">
        <v>32</v>
      </c>
      <c r="G103" s="7">
        <v>1</v>
      </c>
      <c r="H103" s="7"/>
      <c r="I103" s="9">
        <f t="shared" si="9"/>
        <v>4</v>
      </c>
      <c r="J103" s="9"/>
      <c r="K103" s="165" t="s">
        <v>397</v>
      </c>
      <c r="L103" s="11" t="s">
        <v>793</v>
      </c>
      <c r="M103" s="11"/>
      <c r="N103" s="11"/>
      <c r="O103" s="11"/>
      <c r="P103" s="136"/>
      <c r="Q103" s="10"/>
      <c r="R103" s="11"/>
      <c r="S103" s="11" t="s">
        <v>1181</v>
      </c>
      <c r="T103" s="157"/>
    </row>
    <row r="104" spans="1:20" ht="11.25" customHeight="1" x14ac:dyDescent="0.2">
      <c r="A104" s="33" t="s">
        <v>230</v>
      </c>
      <c r="B104" s="7">
        <f t="shared" si="10"/>
        <v>6385</v>
      </c>
      <c r="C104" s="7">
        <f t="shared" si="8"/>
        <v>6416</v>
      </c>
      <c r="D104" s="168" t="s">
        <v>894</v>
      </c>
      <c r="E104" s="179" t="s">
        <v>2209</v>
      </c>
      <c r="F104" s="7">
        <v>32</v>
      </c>
      <c r="G104" s="7">
        <v>1</v>
      </c>
      <c r="H104" s="7"/>
      <c r="I104" s="9">
        <f t="shared" si="9"/>
        <v>4</v>
      </c>
      <c r="J104" s="9"/>
      <c r="K104" s="165" t="s">
        <v>397</v>
      </c>
      <c r="L104" s="11" t="s">
        <v>793</v>
      </c>
      <c r="M104" s="11"/>
      <c r="N104" s="11"/>
      <c r="O104" s="11"/>
      <c r="P104" s="136"/>
      <c r="Q104" s="136"/>
      <c r="R104" s="11"/>
      <c r="S104" s="11" t="s">
        <v>1181</v>
      </c>
      <c r="T104" s="117"/>
    </row>
    <row r="105" spans="1:20" ht="11.25" customHeight="1" x14ac:dyDescent="0.2">
      <c r="A105" s="33" t="s">
        <v>230</v>
      </c>
      <c r="B105" s="7">
        <f t="shared" si="10"/>
        <v>6417</v>
      </c>
      <c r="C105" s="7">
        <f t="shared" si="8"/>
        <v>6448</v>
      </c>
      <c r="D105" s="168" t="s">
        <v>894</v>
      </c>
      <c r="E105" s="8" t="s">
        <v>2210</v>
      </c>
      <c r="F105" s="7">
        <v>32</v>
      </c>
      <c r="G105" s="7">
        <v>1</v>
      </c>
      <c r="H105" s="7"/>
      <c r="I105" s="9">
        <f t="shared" si="9"/>
        <v>4</v>
      </c>
      <c r="J105" s="9"/>
      <c r="K105" s="165" t="s">
        <v>397</v>
      </c>
      <c r="L105" s="11" t="s">
        <v>793</v>
      </c>
      <c r="M105" s="11"/>
      <c r="N105" s="11"/>
      <c r="O105" s="11"/>
      <c r="P105" s="136"/>
      <c r="Q105" s="10"/>
      <c r="R105" s="11"/>
      <c r="S105" s="11" t="s">
        <v>1181</v>
      </c>
      <c r="T105" s="157"/>
    </row>
    <row r="106" spans="1:20" x14ac:dyDescent="0.2">
      <c r="A106" s="33" t="s">
        <v>230</v>
      </c>
      <c r="B106" s="7">
        <f t="shared" si="10"/>
        <v>6449</v>
      </c>
      <c r="C106" s="7">
        <f t="shared" si="8"/>
        <v>6480</v>
      </c>
      <c r="D106" s="168" t="s">
        <v>894</v>
      </c>
      <c r="E106" s="179" t="s">
        <v>2211</v>
      </c>
      <c r="F106" s="7">
        <v>32</v>
      </c>
      <c r="G106" s="7">
        <v>1</v>
      </c>
      <c r="H106" s="7"/>
      <c r="I106" s="9">
        <f t="shared" si="9"/>
        <v>4</v>
      </c>
      <c r="J106" s="9"/>
      <c r="K106" s="165" t="s">
        <v>397</v>
      </c>
      <c r="L106" s="11" t="s">
        <v>793</v>
      </c>
      <c r="M106" s="11"/>
      <c r="N106" s="11"/>
      <c r="O106" s="11"/>
      <c r="P106" s="136"/>
      <c r="Q106" s="136"/>
      <c r="R106" s="11"/>
      <c r="S106" s="11" t="s">
        <v>1181</v>
      </c>
      <c r="T106" s="117"/>
    </row>
    <row r="107" spans="1:20" ht="11.25" customHeight="1" x14ac:dyDescent="0.2">
      <c r="A107" s="33" t="s">
        <v>230</v>
      </c>
      <c r="B107" s="7">
        <f t="shared" si="10"/>
        <v>6481</v>
      </c>
      <c r="C107" s="7">
        <f t="shared" si="8"/>
        <v>6512</v>
      </c>
      <c r="D107" s="168" t="s">
        <v>894</v>
      </c>
      <c r="E107" s="8" t="s">
        <v>2212</v>
      </c>
      <c r="F107" s="7">
        <v>32</v>
      </c>
      <c r="G107" s="7">
        <v>1</v>
      </c>
      <c r="H107" s="7"/>
      <c r="I107" s="9">
        <f t="shared" si="9"/>
        <v>4</v>
      </c>
      <c r="J107" s="9"/>
      <c r="K107" s="165" t="s">
        <v>397</v>
      </c>
      <c r="L107" s="11" t="s">
        <v>793</v>
      </c>
      <c r="M107" s="11"/>
      <c r="N107" s="11"/>
      <c r="O107" s="11"/>
      <c r="P107" s="10"/>
      <c r="Q107" s="10"/>
      <c r="R107" s="11"/>
      <c r="S107" s="11" t="s">
        <v>1181</v>
      </c>
      <c r="T107" s="157"/>
    </row>
    <row r="108" spans="1:20" ht="11.25" customHeight="1" x14ac:dyDescent="0.2">
      <c r="A108" s="33"/>
      <c r="B108" s="47">
        <f>B109</f>
        <v>6601</v>
      </c>
      <c r="C108" s="46"/>
      <c r="D108" s="48"/>
      <c r="E108" s="26" t="s">
        <v>4</v>
      </c>
      <c r="F108" s="46"/>
      <c r="G108" s="46"/>
      <c r="H108" s="46"/>
      <c r="I108" s="48"/>
      <c r="J108" s="48"/>
      <c r="K108" s="49"/>
      <c r="L108" s="49"/>
      <c r="M108" s="49"/>
      <c r="N108" s="49"/>
      <c r="O108" s="32"/>
      <c r="P108" s="120"/>
      <c r="Q108" s="120"/>
      <c r="R108" s="143"/>
      <c r="S108" s="143"/>
      <c r="T108" s="156"/>
    </row>
    <row r="109" spans="1:20" x14ac:dyDescent="0.2">
      <c r="A109" s="33" t="s">
        <v>230</v>
      </c>
      <c r="B109" s="7">
        <v>6601</v>
      </c>
      <c r="C109" s="7">
        <f t="shared" ref="C109:C124" si="11">B109+($F109*$G109)-1</f>
        <v>6632</v>
      </c>
      <c r="D109" s="168" t="s">
        <v>894</v>
      </c>
      <c r="E109" s="179" t="s">
        <v>2002</v>
      </c>
      <c r="F109" s="7">
        <v>32</v>
      </c>
      <c r="G109" s="7">
        <v>1</v>
      </c>
      <c r="H109" s="7"/>
      <c r="I109" s="9">
        <f t="shared" ref="I109:I124" si="12">(F109*G109)/8</f>
        <v>4</v>
      </c>
      <c r="J109" s="9"/>
      <c r="K109" s="165" t="s">
        <v>397</v>
      </c>
      <c r="L109" s="11" t="s">
        <v>793</v>
      </c>
      <c r="M109" s="11"/>
      <c r="N109" s="11"/>
      <c r="O109" s="11"/>
      <c r="P109" s="136"/>
      <c r="Q109" s="136"/>
      <c r="R109" s="11"/>
      <c r="S109" s="11" t="s">
        <v>1181</v>
      </c>
      <c r="T109" s="117"/>
    </row>
    <row r="110" spans="1:20" ht="11.25" customHeight="1" x14ac:dyDescent="0.2">
      <c r="A110" s="33" t="s">
        <v>230</v>
      </c>
      <c r="B110" s="7">
        <f t="shared" ref="B110:B124" si="13">C109+1</f>
        <v>6633</v>
      </c>
      <c r="C110" s="7">
        <f t="shared" si="11"/>
        <v>6664</v>
      </c>
      <c r="D110" s="168" t="s">
        <v>894</v>
      </c>
      <c r="E110" s="8" t="s">
        <v>2022</v>
      </c>
      <c r="F110" s="7">
        <v>32</v>
      </c>
      <c r="G110" s="7">
        <v>1</v>
      </c>
      <c r="H110" s="7"/>
      <c r="I110" s="9">
        <f t="shared" si="12"/>
        <v>4</v>
      </c>
      <c r="J110" s="9"/>
      <c r="K110" s="165" t="s">
        <v>397</v>
      </c>
      <c r="L110" s="11" t="s">
        <v>793</v>
      </c>
      <c r="M110" s="11"/>
      <c r="N110" s="11"/>
      <c r="O110" s="11"/>
      <c r="P110" s="136"/>
      <c r="Q110" s="10"/>
      <c r="R110" s="11"/>
      <c r="S110" s="11" t="s">
        <v>1181</v>
      </c>
      <c r="T110" s="157"/>
    </row>
    <row r="111" spans="1:20" ht="11.25" customHeight="1" x14ac:dyDescent="0.2">
      <c r="A111" s="33" t="s">
        <v>230</v>
      </c>
      <c r="B111" s="7">
        <f t="shared" si="13"/>
        <v>6665</v>
      </c>
      <c r="C111" s="7">
        <f t="shared" si="11"/>
        <v>6696</v>
      </c>
      <c r="D111" s="168" t="s">
        <v>894</v>
      </c>
      <c r="E111" s="179" t="s">
        <v>2040</v>
      </c>
      <c r="F111" s="7">
        <v>32</v>
      </c>
      <c r="G111" s="7">
        <v>1</v>
      </c>
      <c r="H111" s="7"/>
      <c r="I111" s="9">
        <f t="shared" si="12"/>
        <v>4</v>
      </c>
      <c r="J111" s="9"/>
      <c r="K111" s="165" t="s">
        <v>397</v>
      </c>
      <c r="L111" s="11" t="s">
        <v>793</v>
      </c>
      <c r="M111" s="11"/>
      <c r="N111" s="11"/>
      <c r="O111" s="11"/>
      <c r="P111" s="136"/>
      <c r="Q111" s="136"/>
      <c r="R111" s="11"/>
      <c r="S111" s="11" t="s">
        <v>1181</v>
      </c>
      <c r="T111" s="117"/>
    </row>
    <row r="112" spans="1:20" ht="11.25" customHeight="1" x14ac:dyDescent="0.2">
      <c r="A112" s="33" t="s">
        <v>230</v>
      </c>
      <c r="B112" s="7">
        <f t="shared" si="13"/>
        <v>6697</v>
      </c>
      <c r="C112" s="7">
        <f t="shared" si="11"/>
        <v>6728</v>
      </c>
      <c r="D112" s="168" t="s">
        <v>894</v>
      </c>
      <c r="E112" s="8" t="s">
        <v>2057</v>
      </c>
      <c r="F112" s="7">
        <v>32</v>
      </c>
      <c r="G112" s="7">
        <v>1</v>
      </c>
      <c r="H112" s="7"/>
      <c r="I112" s="9">
        <f t="shared" si="12"/>
        <v>4</v>
      </c>
      <c r="J112" s="9"/>
      <c r="K112" s="165" t="s">
        <v>397</v>
      </c>
      <c r="L112" s="11" t="s">
        <v>793</v>
      </c>
      <c r="M112" s="11"/>
      <c r="N112" s="11"/>
      <c r="O112" s="11"/>
      <c r="P112" s="136"/>
      <c r="Q112" s="10"/>
      <c r="R112" s="11"/>
      <c r="S112" s="11" t="s">
        <v>1181</v>
      </c>
      <c r="T112" s="157"/>
    </row>
    <row r="113" spans="1:20" ht="11.25" customHeight="1" x14ac:dyDescent="0.2">
      <c r="A113" s="33" t="s">
        <v>230</v>
      </c>
      <c r="B113" s="7">
        <f t="shared" si="13"/>
        <v>6729</v>
      </c>
      <c r="C113" s="7">
        <f t="shared" si="11"/>
        <v>6760</v>
      </c>
      <c r="D113" s="168" t="s">
        <v>894</v>
      </c>
      <c r="E113" s="179" t="s">
        <v>2074</v>
      </c>
      <c r="F113" s="7">
        <v>32</v>
      </c>
      <c r="G113" s="7">
        <v>1</v>
      </c>
      <c r="H113" s="7"/>
      <c r="I113" s="9">
        <f t="shared" si="12"/>
        <v>4</v>
      </c>
      <c r="J113" s="9"/>
      <c r="K113" s="165" t="s">
        <v>397</v>
      </c>
      <c r="L113" s="11" t="s">
        <v>793</v>
      </c>
      <c r="M113" s="11"/>
      <c r="N113" s="11"/>
      <c r="O113" s="11"/>
      <c r="P113" s="136"/>
      <c r="Q113" s="136"/>
      <c r="R113" s="11"/>
      <c r="S113" s="11" t="s">
        <v>1181</v>
      </c>
      <c r="T113" s="117"/>
    </row>
    <row r="114" spans="1:20" ht="11.25" customHeight="1" x14ac:dyDescent="0.2">
      <c r="A114" s="33" t="s">
        <v>230</v>
      </c>
      <c r="B114" s="7">
        <f t="shared" si="13"/>
        <v>6761</v>
      </c>
      <c r="C114" s="7">
        <f t="shared" si="11"/>
        <v>6792</v>
      </c>
      <c r="D114" s="168" t="s">
        <v>894</v>
      </c>
      <c r="E114" s="8" t="s">
        <v>2091</v>
      </c>
      <c r="F114" s="7">
        <v>32</v>
      </c>
      <c r="G114" s="7">
        <v>1</v>
      </c>
      <c r="H114" s="7"/>
      <c r="I114" s="9">
        <f t="shared" si="12"/>
        <v>4</v>
      </c>
      <c r="J114" s="9"/>
      <c r="K114" s="165" t="s">
        <v>397</v>
      </c>
      <c r="L114" s="11" t="s">
        <v>793</v>
      </c>
      <c r="M114" s="11"/>
      <c r="N114" s="11"/>
      <c r="O114" s="11"/>
      <c r="P114" s="136"/>
      <c r="Q114" s="10"/>
      <c r="R114" s="11"/>
      <c r="S114" s="11" t="s">
        <v>1181</v>
      </c>
      <c r="T114" s="157"/>
    </row>
    <row r="115" spans="1:20" x14ac:dyDescent="0.2">
      <c r="A115" s="33" t="s">
        <v>230</v>
      </c>
      <c r="B115" s="7">
        <f t="shared" si="13"/>
        <v>6793</v>
      </c>
      <c r="C115" s="7">
        <f t="shared" si="11"/>
        <v>6824</v>
      </c>
      <c r="D115" s="168" t="s">
        <v>894</v>
      </c>
      <c r="E115" s="179" t="s">
        <v>2108</v>
      </c>
      <c r="F115" s="7">
        <v>32</v>
      </c>
      <c r="G115" s="7">
        <v>1</v>
      </c>
      <c r="H115" s="7"/>
      <c r="I115" s="9">
        <f t="shared" si="12"/>
        <v>4</v>
      </c>
      <c r="J115" s="9"/>
      <c r="K115" s="165" t="s">
        <v>397</v>
      </c>
      <c r="L115" s="11" t="s">
        <v>793</v>
      </c>
      <c r="M115" s="11"/>
      <c r="N115" s="11"/>
      <c r="O115" s="11"/>
      <c r="P115" s="136"/>
      <c r="Q115" s="136"/>
      <c r="R115" s="11"/>
      <c r="S115" s="11" t="s">
        <v>1181</v>
      </c>
      <c r="T115" s="117"/>
    </row>
    <row r="116" spans="1:20" x14ac:dyDescent="0.2">
      <c r="A116" s="33" t="s">
        <v>230</v>
      </c>
      <c r="B116" s="7">
        <f t="shared" si="13"/>
        <v>6825</v>
      </c>
      <c r="C116" s="7">
        <f t="shared" si="11"/>
        <v>6856</v>
      </c>
      <c r="D116" s="168" t="s">
        <v>894</v>
      </c>
      <c r="E116" s="8" t="s">
        <v>2133</v>
      </c>
      <c r="F116" s="7">
        <v>32</v>
      </c>
      <c r="G116" s="7">
        <v>1</v>
      </c>
      <c r="H116" s="7"/>
      <c r="I116" s="9">
        <f t="shared" si="12"/>
        <v>4</v>
      </c>
      <c r="J116" s="9"/>
      <c r="K116" s="165" t="s">
        <v>397</v>
      </c>
      <c r="L116" s="11" t="s">
        <v>793</v>
      </c>
      <c r="M116" s="11"/>
      <c r="N116" s="11"/>
      <c r="O116" s="11"/>
      <c r="P116" s="136"/>
      <c r="Q116" s="10"/>
      <c r="R116" s="11"/>
      <c r="S116" s="11" t="s">
        <v>1181</v>
      </c>
      <c r="T116" s="157"/>
    </row>
    <row r="117" spans="1:20" x14ac:dyDescent="0.2">
      <c r="A117" s="33" t="s">
        <v>230</v>
      </c>
      <c r="B117" s="7">
        <f t="shared" si="13"/>
        <v>6857</v>
      </c>
      <c r="C117" s="7">
        <f t="shared" si="11"/>
        <v>6888</v>
      </c>
      <c r="D117" s="168" t="s">
        <v>894</v>
      </c>
      <c r="E117" s="179" t="s">
        <v>2158</v>
      </c>
      <c r="F117" s="7">
        <v>32</v>
      </c>
      <c r="G117" s="7">
        <v>1</v>
      </c>
      <c r="H117" s="7"/>
      <c r="I117" s="9">
        <f t="shared" si="12"/>
        <v>4</v>
      </c>
      <c r="J117" s="9"/>
      <c r="K117" s="165" t="s">
        <v>397</v>
      </c>
      <c r="L117" s="11" t="s">
        <v>793</v>
      </c>
      <c r="M117" s="11"/>
      <c r="N117" s="11"/>
      <c r="O117" s="11"/>
      <c r="P117" s="136"/>
      <c r="Q117" s="136"/>
      <c r="R117" s="11"/>
      <c r="S117" s="11" t="s">
        <v>1181</v>
      </c>
      <c r="T117" s="117"/>
    </row>
    <row r="118" spans="1:20" x14ac:dyDescent="0.2">
      <c r="A118" s="33" t="s">
        <v>230</v>
      </c>
      <c r="B118" s="7">
        <f t="shared" si="13"/>
        <v>6889</v>
      </c>
      <c r="C118" s="7">
        <f t="shared" si="11"/>
        <v>6920</v>
      </c>
      <c r="D118" s="168" t="s">
        <v>894</v>
      </c>
      <c r="E118" s="8" t="s">
        <v>2183</v>
      </c>
      <c r="F118" s="7">
        <v>32</v>
      </c>
      <c r="G118" s="7">
        <v>1</v>
      </c>
      <c r="H118" s="7"/>
      <c r="I118" s="9">
        <f t="shared" si="12"/>
        <v>4</v>
      </c>
      <c r="J118" s="9"/>
      <c r="K118" s="165" t="s">
        <v>397</v>
      </c>
      <c r="L118" s="11" t="s">
        <v>793</v>
      </c>
      <c r="M118" s="11"/>
      <c r="N118" s="11"/>
      <c r="O118" s="11"/>
      <c r="P118" s="136"/>
      <c r="Q118" s="10"/>
      <c r="R118" s="11"/>
      <c r="S118" s="11" t="s">
        <v>1181</v>
      </c>
      <c r="T118" s="157"/>
    </row>
    <row r="119" spans="1:20" x14ac:dyDescent="0.2">
      <c r="A119" s="33" t="s">
        <v>230</v>
      </c>
      <c r="B119" s="7">
        <f t="shared" si="13"/>
        <v>6921</v>
      </c>
      <c r="C119" s="7">
        <f t="shared" si="11"/>
        <v>6952</v>
      </c>
      <c r="D119" s="168" t="s">
        <v>894</v>
      </c>
      <c r="E119" s="179" t="s">
        <v>2213</v>
      </c>
      <c r="F119" s="7">
        <v>32</v>
      </c>
      <c r="G119" s="7">
        <v>1</v>
      </c>
      <c r="H119" s="7"/>
      <c r="I119" s="9">
        <f t="shared" si="12"/>
        <v>4</v>
      </c>
      <c r="J119" s="9"/>
      <c r="K119" s="165" t="s">
        <v>397</v>
      </c>
      <c r="L119" s="11" t="s">
        <v>793</v>
      </c>
      <c r="M119" s="11"/>
      <c r="N119" s="11"/>
      <c r="O119" s="11"/>
      <c r="P119" s="136"/>
      <c r="Q119" s="136"/>
      <c r="R119" s="11"/>
      <c r="S119" s="11" t="s">
        <v>1181</v>
      </c>
      <c r="T119" s="117"/>
    </row>
    <row r="120" spans="1:20" x14ac:dyDescent="0.2">
      <c r="A120" s="33" t="s">
        <v>230</v>
      </c>
      <c r="B120" s="7">
        <f t="shared" si="13"/>
        <v>6953</v>
      </c>
      <c r="C120" s="7">
        <f t="shared" si="11"/>
        <v>6984</v>
      </c>
      <c r="D120" s="168" t="s">
        <v>894</v>
      </c>
      <c r="E120" s="8" t="s">
        <v>2214</v>
      </c>
      <c r="F120" s="7">
        <v>32</v>
      </c>
      <c r="G120" s="7">
        <v>1</v>
      </c>
      <c r="H120" s="7"/>
      <c r="I120" s="9">
        <f t="shared" si="12"/>
        <v>4</v>
      </c>
      <c r="J120" s="9"/>
      <c r="K120" s="165" t="s">
        <v>397</v>
      </c>
      <c r="L120" s="11" t="s">
        <v>793</v>
      </c>
      <c r="M120" s="11"/>
      <c r="N120" s="11"/>
      <c r="O120" s="11"/>
      <c r="P120" s="136"/>
      <c r="Q120" s="10"/>
      <c r="R120" s="11"/>
      <c r="S120" s="11" t="s">
        <v>1181</v>
      </c>
      <c r="T120" s="157"/>
    </row>
    <row r="121" spans="1:20" x14ac:dyDescent="0.2">
      <c r="A121" s="33" t="s">
        <v>230</v>
      </c>
      <c r="B121" s="7">
        <f t="shared" si="13"/>
        <v>6985</v>
      </c>
      <c r="C121" s="7">
        <f t="shared" si="11"/>
        <v>7016</v>
      </c>
      <c r="D121" s="168" t="s">
        <v>894</v>
      </c>
      <c r="E121" s="179" t="s">
        <v>2215</v>
      </c>
      <c r="F121" s="7">
        <v>32</v>
      </c>
      <c r="G121" s="7">
        <v>1</v>
      </c>
      <c r="H121" s="7"/>
      <c r="I121" s="9">
        <f t="shared" si="12"/>
        <v>4</v>
      </c>
      <c r="J121" s="9"/>
      <c r="K121" s="165" t="s">
        <v>397</v>
      </c>
      <c r="L121" s="11" t="s">
        <v>793</v>
      </c>
      <c r="M121" s="11"/>
      <c r="N121" s="11"/>
      <c r="O121" s="11"/>
      <c r="P121" s="136"/>
      <c r="Q121" s="136"/>
      <c r="R121" s="11"/>
      <c r="S121" s="11" t="s">
        <v>1181</v>
      </c>
      <c r="T121" s="117"/>
    </row>
    <row r="122" spans="1:20" x14ac:dyDescent="0.2">
      <c r="A122" s="33" t="s">
        <v>230</v>
      </c>
      <c r="B122" s="7">
        <f t="shared" si="13"/>
        <v>7017</v>
      </c>
      <c r="C122" s="7">
        <f t="shared" si="11"/>
        <v>7048</v>
      </c>
      <c r="D122" s="168" t="s">
        <v>894</v>
      </c>
      <c r="E122" s="8" t="s">
        <v>2216</v>
      </c>
      <c r="F122" s="7">
        <v>32</v>
      </c>
      <c r="G122" s="7">
        <v>1</v>
      </c>
      <c r="H122" s="7"/>
      <c r="I122" s="9">
        <f t="shared" si="12"/>
        <v>4</v>
      </c>
      <c r="J122" s="9"/>
      <c r="K122" s="165" t="s">
        <v>397</v>
      </c>
      <c r="L122" s="11" t="s">
        <v>793</v>
      </c>
      <c r="M122" s="11"/>
      <c r="N122" s="11"/>
      <c r="O122" s="11"/>
      <c r="P122" s="136"/>
      <c r="Q122" s="10"/>
      <c r="R122" s="11"/>
      <c r="S122" s="11" t="s">
        <v>1181</v>
      </c>
      <c r="T122" s="157"/>
    </row>
    <row r="123" spans="1:20" x14ac:dyDescent="0.2">
      <c r="A123" s="33" t="s">
        <v>230</v>
      </c>
      <c r="B123" s="7">
        <f t="shared" si="13"/>
        <v>7049</v>
      </c>
      <c r="C123" s="7">
        <f t="shared" si="11"/>
        <v>7080</v>
      </c>
      <c r="D123" s="168" t="s">
        <v>894</v>
      </c>
      <c r="E123" s="179" t="s">
        <v>2217</v>
      </c>
      <c r="F123" s="7">
        <v>32</v>
      </c>
      <c r="G123" s="7">
        <v>1</v>
      </c>
      <c r="H123" s="7"/>
      <c r="I123" s="9">
        <f t="shared" si="12"/>
        <v>4</v>
      </c>
      <c r="J123" s="9"/>
      <c r="K123" s="165" t="s">
        <v>397</v>
      </c>
      <c r="L123" s="11" t="s">
        <v>793</v>
      </c>
      <c r="M123" s="11"/>
      <c r="N123" s="11"/>
      <c r="O123" s="11"/>
      <c r="P123" s="136"/>
      <c r="Q123" s="136"/>
      <c r="R123" s="11"/>
      <c r="S123" s="11" t="s">
        <v>1181</v>
      </c>
      <c r="T123" s="117"/>
    </row>
    <row r="124" spans="1:20" x14ac:dyDescent="0.2">
      <c r="A124" s="33" t="s">
        <v>230</v>
      </c>
      <c r="B124" s="7">
        <f t="shared" si="13"/>
        <v>7081</v>
      </c>
      <c r="C124" s="7">
        <f t="shared" si="11"/>
        <v>7112</v>
      </c>
      <c r="D124" s="168" t="s">
        <v>894</v>
      </c>
      <c r="E124" s="8" t="s">
        <v>2218</v>
      </c>
      <c r="F124" s="7">
        <v>32</v>
      </c>
      <c r="G124" s="7">
        <v>1</v>
      </c>
      <c r="H124" s="7"/>
      <c r="I124" s="9">
        <f t="shared" si="12"/>
        <v>4</v>
      </c>
      <c r="J124" s="9"/>
      <c r="K124" s="165" t="s">
        <v>397</v>
      </c>
      <c r="L124" s="11" t="s">
        <v>793</v>
      </c>
      <c r="M124" s="11"/>
      <c r="N124" s="11"/>
      <c r="O124" s="11"/>
      <c r="P124" s="10"/>
      <c r="Q124" s="10"/>
      <c r="R124" s="11"/>
      <c r="S124" s="11" t="s">
        <v>1181</v>
      </c>
      <c r="T124" s="157"/>
    </row>
    <row r="125" spans="1:20" x14ac:dyDescent="0.2">
      <c r="A125" s="33"/>
      <c r="B125" s="47">
        <f>B126</f>
        <v>7501</v>
      </c>
      <c r="C125" s="46"/>
      <c r="D125" s="48"/>
      <c r="E125" s="26" t="s">
        <v>0</v>
      </c>
      <c r="F125" s="46"/>
      <c r="G125" s="46"/>
      <c r="H125" s="46"/>
      <c r="I125" s="48"/>
      <c r="J125" s="48"/>
      <c r="K125" s="49"/>
      <c r="L125" s="32"/>
      <c r="M125" s="32"/>
      <c r="N125" s="32"/>
      <c r="O125" s="32"/>
      <c r="R125" s="143"/>
      <c r="S125" s="143"/>
      <c r="T125" s="156"/>
    </row>
    <row r="126" spans="1:20" x14ac:dyDescent="0.2">
      <c r="A126" s="33" t="s">
        <v>230</v>
      </c>
      <c r="B126" s="7">
        <v>7501</v>
      </c>
      <c r="C126" s="7">
        <f>B126+($F126*$G126)-1</f>
        <v>7564</v>
      </c>
      <c r="D126" s="168" t="s">
        <v>651</v>
      </c>
      <c r="E126" s="179" t="s">
        <v>1</v>
      </c>
      <c r="F126" s="7">
        <v>64</v>
      </c>
      <c r="G126" s="7">
        <v>1</v>
      </c>
      <c r="H126" s="7"/>
      <c r="I126" s="9">
        <f>(F126*G126)/8</f>
        <v>8</v>
      </c>
      <c r="J126" s="9"/>
      <c r="K126" s="165" t="s">
        <v>1407</v>
      </c>
      <c r="L126" s="11" t="s">
        <v>797</v>
      </c>
      <c r="M126" s="11"/>
      <c r="N126" s="11"/>
      <c r="O126" s="11"/>
      <c r="P126" s="136"/>
      <c r="Q126" s="136"/>
      <c r="R126" s="11"/>
      <c r="S126" s="11" t="s">
        <v>1181</v>
      </c>
      <c r="T126" s="117"/>
    </row>
    <row r="127" spans="1:20" x14ac:dyDescent="0.2">
      <c r="A127" s="33"/>
      <c r="B127" s="47">
        <f>B128</f>
        <v>7601</v>
      </c>
      <c r="C127" s="46"/>
      <c r="D127" s="48"/>
      <c r="E127" s="26" t="s">
        <v>494</v>
      </c>
      <c r="F127" s="46"/>
      <c r="G127" s="46"/>
      <c r="H127" s="46"/>
      <c r="I127" s="48"/>
      <c r="J127" s="48"/>
      <c r="K127" s="49"/>
      <c r="L127" s="32"/>
      <c r="M127" s="32"/>
      <c r="N127" s="32"/>
      <c r="O127" s="32"/>
      <c r="R127" s="143"/>
      <c r="S127" s="143"/>
      <c r="T127" s="156"/>
    </row>
    <row r="128" spans="1:20" x14ac:dyDescent="0.2">
      <c r="A128" s="33" t="s">
        <v>230</v>
      </c>
      <c r="B128" s="7">
        <v>7601</v>
      </c>
      <c r="C128" s="7">
        <f>B128+($F128*$G128)-1</f>
        <v>7664</v>
      </c>
      <c r="D128" s="168" t="s">
        <v>651</v>
      </c>
      <c r="E128" s="179" t="s">
        <v>2</v>
      </c>
      <c r="F128" s="7">
        <v>64</v>
      </c>
      <c r="G128" s="7">
        <v>1</v>
      </c>
      <c r="H128" s="7"/>
      <c r="I128" s="9">
        <f>(F128*G128)/8</f>
        <v>8</v>
      </c>
      <c r="J128" s="9"/>
      <c r="K128" s="165" t="s">
        <v>1408</v>
      </c>
      <c r="L128" s="11" t="s">
        <v>797</v>
      </c>
      <c r="M128" s="11"/>
      <c r="N128" s="11"/>
      <c r="O128" s="11"/>
      <c r="P128" s="136"/>
      <c r="Q128" s="136"/>
      <c r="R128" s="11"/>
      <c r="S128" s="11" t="s">
        <v>1181</v>
      </c>
      <c r="T128" s="117"/>
    </row>
    <row r="129" spans="1:20" ht="11.45" customHeight="1" x14ac:dyDescent="0.2">
      <c r="A129" s="33"/>
      <c r="B129" s="47">
        <f>B131</f>
        <v>8801</v>
      </c>
      <c r="C129" s="46"/>
      <c r="D129" s="48"/>
      <c r="E129" s="26" t="s">
        <v>1443</v>
      </c>
      <c r="F129" s="46"/>
      <c r="G129" s="46"/>
      <c r="H129" s="46"/>
      <c r="I129" s="48"/>
      <c r="J129" s="48"/>
      <c r="K129" s="49"/>
      <c r="L129" s="32"/>
      <c r="M129" s="32"/>
      <c r="N129" s="32"/>
      <c r="O129" s="32"/>
      <c r="R129" s="143"/>
      <c r="S129" s="143"/>
      <c r="T129" s="156"/>
    </row>
    <row r="130" spans="1:20" x14ac:dyDescent="0.2">
      <c r="A130" s="33" t="s">
        <v>230</v>
      </c>
      <c r="B130" s="7">
        <v>7701</v>
      </c>
      <c r="C130" s="7">
        <f>B130+($F130*$G130)-1</f>
        <v>8724</v>
      </c>
      <c r="D130" s="168" t="s">
        <v>651</v>
      </c>
      <c r="E130" s="179" t="s">
        <v>1445</v>
      </c>
      <c r="F130" s="7">
        <v>1024</v>
      </c>
      <c r="G130" s="7">
        <v>1</v>
      </c>
      <c r="H130" s="7"/>
      <c r="I130" s="9">
        <f>(F130*G130)/8</f>
        <v>128</v>
      </c>
      <c r="J130" s="9"/>
      <c r="K130" s="165" t="s">
        <v>1407</v>
      </c>
      <c r="L130" s="11" t="s">
        <v>797</v>
      </c>
      <c r="M130" s="11"/>
      <c r="N130" s="11"/>
      <c r="O130" s="11"/>
      <c r="P130" s="10"/>
      <c r="Q130" s="10"/>
      <c r="R130" s="11"/>
      <c r="S130" s="11" t="s">
        <v>1181</v>
      </c>
      <c r="T130" s="117"/>
    </row>
    <row r="131" spans="1:20" x14ac:dyDescent="0.2">
      <c r="A131" s="33"/>
      <c r="B131" s="47">
        <f>B132</f>
        <v>8801</v>
      </c>
      <c r="C131" s="46"/>
      <c r="D131" s="48"/>
      <c r="E131" s="26" t="s">
        <v>1444</v>
      </c>
      <c r="F131" s="46"/>
      <c r="G131" s="46"/>
      <c r="H131" s="46"/>
      <c r="I131" s="48"/>
      <c r="J131" s="48"/>
      <c r="K131" s="49"/>
      <c r="L131" s="32"/>
      <c r="M131" s="32"/>
      <c r="N131" s="32"/>
      <c r="O131" s="32"/>
      <c r="R131" s="143"/>
      <c r="S131" s="143"/>
      <c r="T131" s="156"/>
    </row>
    <row r="132" spans="1:20" x14ac:dyDescent="0.2">
      <c r="A132" s="33" t="s">
        <v>230</v>
      </c>
      <c r="B132" s="7">
        <v>8801</v>
      </c>
      <c r="C132" s="7">
        <f>B132+($F132*$G132)-1</f>
        <v>9824</v>
      </c>
      <c r="D132" s="168" t="s">
        <v>651</v>
      </c>
      <c r="E132" s="179" t="s">
        <v>1446</v>
      </c>
      <c r="F132" s="7">
        <v>1024</v>
      </c>
      <c r="G132" s="7">
        <v>1</v>
      </c>
      <c r="H132" s="7"/>
      <c r="I132" s="9">
        <f>(F132*G132)/8</f>
        <v>128</v>
      </c>
      <c r="J132" s="9"/>
      <c r="K132" s="165" t="s">
        <v>1408</v>
      </c>
      <c r="L132" s="11" t="s">
        <v>797</v>
      </c>
      <c r="M132" s="11"/>
      <c r="N132" s="10"/>
      <c r="O132" s="11"/>
      <c r="P132" s="10"/>
      <c r="Q132" s="10"/>
      <c r="R132" s="11"/>
      <c r="S132" s="11" t="s">
        <v>1181</v>
      </c>
      <c r="T132" s="117"/>
    </row>
    <row r="133" spans="1:20" x14ac:dyDescent="0.2">
      <c r="A133" s="33"/>
      <c r="B133" s="47">
        <f>B135</f>
        <v>10101</v>
      </c>
      <c r="C133" s="46"/>
      <c r="D133" s="48"/>
      <c r="E133" s="26" t="s">
        <v>1539</v>
      </c>
      <c r="F133" s="46"/>
      <c r="G133" s="46"/>
      <c r="H133" s="46"/>
      <c r="I133" s="48"/>
      <c r="J133" s="48"/>
      <c r="K133" s="49"/>
      <c r="L133" s="32"/>
      <c r="M133" s="32"/>
      <c r="N133" s="32"/>
      <c r="O133" s="32"/>
      <c r="R133" s="143"/>
      <c r="S133" s="143"/>
      <c r="T133" s="156"/>
    </row>
    <row r="134" spans="1:20" ht="11.45" customHeight="1" x14ac:dyDescent="0.2">
      <c r="A134" s="33" t="s">
        <v>230</v>
      </c>
      <c r="B134" s="7">
        <v>10001</v>
      </c>
      <c r="C134" s="7">
        <f>B134+($F134*$G134)-1</f>
        <v>10096</v>
      </c>
      <c r="D134" s="168" t="s">
        <v>651</v>
      </c>
      <c r="E134" s="179" t="s">
        <v>1541</v>
      </c>
      <c r="F134" s="7">
        <v>96</v>
      </c>
      <c r="G134" s="7">
        <v>1</v>
      </c>
      <c r="H134" s="7"/>
      <c r="I134" s="9">
        <f>(F134*G134)/8</f>
        <v>12</v>
      </c>
      <c r="J134" s="9"/>
      <c r="K134" s="165" t="s">
        <v>1407</v>
      </c>
      <c r="L134" s="11" t="s">
        <v>797</v>
      </c>
      <c r="M134" s="11"/>
      <c r="N134" s="11"/>
      <c r="O134" s="11"/>
      <c r="P134" s="10"/>
      <c r="Q134" s="10"/>
      <c r="R134" s="11"/>
      <c r="S134" s="11" t="s">
        <v>1181</v>
      </c>
      <c r="T134" s="117"/>
    </row>
    <row r="135" spans="1:20" x14ac:dyDescent="0.2">
      <c r="A135" s="33"/>
      <c r="B135" s="47">
        <f>B136</f>
        <v>10101</v>
      </c>
      <c r="C135" s="46"/>
      <c r="D135" s="48"/>
      <c r="E135" s="26" t="s">
        <v>1540</v>
      </c>
      <c r="F135" s="46"/>
      <c r="G135" s="46"/>
      <c r="H135" s="46"/>
      <c r="I135" s="48"/>
      <c r="J135" s="48"/>
      <c r="K135" s="49"/>
      <c r="L135" s="32"/>
      <c r="M135" s="32"/>
      <c r="N135" s="32"/>
      <c r="O135" s="32"/>
      <c r="R135" s="143"/>
      <c r="S135" s="143"/>
      <c r="T135" s="156"/>
    </row>
    <row r="136" spans="1:20" x14ac:dyDescent="0.2">
      <c r="A136" s="33" t="s">
        <v>230</v>
      </c>
      <c r="B136" s="7">
        <v>10101</v>
      </c>
      <c r="C136" s="7">
        <f>B136+($F136*$G136)-1</f>
        <v>10196</v>
      </c>
      <c r="D136" s="168" t="s">
        <v>651</v>
      </c>
      <c r="E136" s="179" t="s">
        <v>1542</v>
      </c>
      <c r="F136" s="7">
        <v>96</v>
      </c>
      <c r="G136" s="7">
        <v>1</v>
      </c>
      <c r="H136" s="7"/>
      <c r="I136" s="9">
        <f>(F136*G136)/8</f>
        <v>12</v>
      </c>
      <c r="J136" s="9"/>
      <c r="K136" s="165" t="s">
        <v>1408</v>
      </c>
      <c r="L136" s="11" t="s">
        <v>797</v>
      </c>
      <c r="M136" s="11"/>
      <c r="N136" s="10"/>
      <c r="O136" s="11"/>
      <c r="P136" s="10"/>
      <c r="Q136" s="10"/>
      <c r="R136" s="11"/>
      <c r="S136" s="11" t="s">
        <v>1181</v>
      </c>
      <c r="T136" s="117"/>
    </row>
    <row r="137" spans="1:20" x14ac:dyDescent="0.2">
      <c r="A137" s="33"/>
      <c r="B137" s="47">
        <f>B138</f>
        <v>10201</v>
      </c>
      <c r="C137" s="46"/>
      <c r="D137" s="48"/>
      <c r="E137" s="26" t="s">
        <v>1664</v>
      </c>
      <c r="F137" s="46"/>
      <c r="G137" s="46"/>
      <c r="H137" s="46"/>
      <c r="I137" s="48"/>
      <c r="J137" s="48"/>
      <c r="K137" s="49"/>
      <c r="L137" s="32"/>
      <c r="M137" s="32"/>
      <c r="N137" s="32"/>
      <c r="O137" s="32"/>
      <c r="R137" s="143"/>
      <c r="S137" s="143"/>
      <c r="T137" s="156"/>
    </row>
    <row r="138" spans="1:20" x14ac:dyDescent="0.2">
      <c r="A138" s="33" t="s">
        <v>230</v>
      </c>
      <c r="B138" s="7">
        <v>10201</v>
      </c>
      <c r="C138" s="7">
        <f>B138+($F138*$G138)-1</f>
        <v>10456</v>
      </c>
      <c r="D138" s="168" t="s">
        <v>894</v>
      </c>
      <c r="E138" s="179" t="s">
        <v>1666</v>
      </c>
      <c r="F138" s="7">
        <v>256</v>
      </c>
      <c r="G138" s="7">
        <v>1</v>
      </c>
      <c r="H138" s="7"/>
      <c r="I138" s="9">
        <f>(F138*G138)/8</f>
        <v>32</v>
      </c>
      <c r="J138" s="9"/>
      <c r="K138" s="165" t="s">
        <v>1407</v>
      </c>
      <c r="L138" s="11" t="s">
        <v>797</v>
      </c>
      <c r="M138" s="11"/>
      <c r="N138" s="11"/>
      <c r="O138" s="11"/>
      <c r="P138" s="136"/>
      <c r="Q138" s="136"/>
      <c r="R138" s="11"/>
      <c r="S138" s="11" t="s">
        <v>1181</v>
      </c>
      <c r="T138" s="117"/>
    </row>
    <row r="139" spans="1:20" x14ac:dyDescent="0.2">
      <c r="A139" s="33"/>
      <c r="B139" s="47">
        <f>B140</f>
        <v>10501</v>
      </c>
      <c r="C139" s="46"/>
      <c r="D139" s="48"/>
      <c r="E139" s="26" t="s">
        <v>1665</v>
      </c>
      <c r="F139" s="46"/>
      <c r="G139" s="46"/>
      <c r="H139" s="46"/>
      <c r="I139" s="48"/>
      <c r="J139" s="48"/>
      <c r="K139" s="49"/>
      <c r="L139" s="32"/>
      <c r="M139" s="32"/>
      <c r="N139" s="32"/>
      <c r="O139" s="32"/>
      <c r="R139" s="143"/>
      <c r="S139" s="143"/>
      <c r="T139" s="156"/>
    </row>
    <row r="140" spans="1:20" x14ac:dyDescent="0.2">
      <c r="A140" s="33" t="s">
        <v>230</v>
      </c>
      <c r="B140" s="7">
        <v>10501</v>
      </c>
      <c r="C140" s="7">
        <f>B140+($F140*$G140)-1</f>
        <v>10756</v>
      </c>
      <c r="D140" s="168" t="s">
        <v>894</v>
      </c>
      <c r="E140" s="179" t="s">
        <v>1667</v>
      </c>
      <c r="F140" s="7">
        <v>256</v>
      </c>
      <c r="G140" s="7">
        <v>1</v>
      </c>
      <c r="H140" s="7"/>
      <c r="I140" s="9">
        <f>(F140*G140)/8</f>
        <v>32</v>
      </c>
      <c r="J140" s="9"/>
      <c r="K140" s="165" t="s">
        <v>1408</v>
      </c>
      <c r="L140" s="11" t="s">
        <v>797</v>
      </c>
      <c r="M140" s="11"/>
      <c r="N140" s="11"/>
      <c r="O140" s="11"/>
      <c r="P140" s="136"/>
      <c r="Q140" s="136"/>
      <c r="R140" s="11"/>
      <c r="S140" s="11" t="s">
        <v>1181</v>
      </c>
      <c r="T140" s="117"/>
    </row>
    <row r="141" spans="1:20" ht="11.25" customHeight="1" x14ac:dyDescent="0.2">
      <c r="A141" s="33"/>
      <c r="B141" s="36"/>
      <c r="C141" s="36"/>
      <c r="D141" s="37"/>
      <c r="E141" s="470" t="s">
        <v>573</v>
      </c>
      <c r="F141" s="33"/>
      <c r="G141" s="36"/>
      <c r="H141" s="36"/>
      <c r="I141" s="37"/>
      <c r="J141" s="37"/>
      <c r="K141" s="34"/>
      <c r="L141" s="34"/>
      <c r="M141" s="34"/>
      <c r="N141" s="34"/>
      <c r="O141" s="108"/>
      <c r="P141" s="120"/>
      <c r="Q141" s="120"/>
      <c r="R141" s="142"/>
      <c r="S141" s="142"/>
      <c r="T141" s="155"/>
    </row>
    <row r="142" spans="1:20" ht="11.25" customHeight="1" x14ac:dyDescent="0.2">
      <c r="A142" s="33"/>
      <c r="B142" s="36"/>
      <c r="C142" s="36"/>
      <c r="D142" s="37"/>
      <c r="E142" s="470"/>
      <c r="F142" s="33"/>
      <c r="G142" s="36"/>
      <c r="H142" s="36"/>
      <c r="I142" s="37"/>
      <c r="J142" s="37"/>
      <c r="K142" s="34"/>
      <c r="L142" s="34"/>
      <c r="M142" s="34"/>
      <c r="N142" s="34"/>
      <c r="O142" s="108"/>
      <c r="P142" s="120"/>
      <c r="Q142" s="120"/>
      <c r="R142" s="142"/>
      <c r="S142" s="142"/>
      <c r="T142" s="155"/>
    </row>
    <row r="143" spans="1:20" x14ac:dyDescent="0.2">
      <c r="A143" s="33"/>
      <c r="B143" s="47">
        <f>B144</f>
        <v>20001</v>
      </c>
      <c r="C143" s="46"/>
      <c r="D143" s="48"/>
      <c r="E143" s="26" t="s">
        <v>1051</v>
      </c>
      <c r="F143" s="46"/>
      <c r="G143" s="46"/>
      <c r="H143" s="46"/>
      <c r="I143" s="48"/>
      <c r="J143" s="48"/>
      <c r="K143" s="49"/>
      <c r="L143" s="32"/>
      <c r="M143" s="32"/>
      <c r="N143" s="32"/>
      <c r="O143" s="32"/>
      <c r="P143" s="122"/>
      <c r="R143" s="143"/>
      <c r="S143" s="143"/>
      <c r="T143" s="156"/>
    </row>
    <row r="144" spans="1:20" ht="11.45" customHeight="1" x14ac:dyDescent="0.2">
      <c r="A144" s="33" t="s">
        <v>231</v>
      </c>
      <c r="B144" s="7">
        <v>20001</v>
      </c>
      <c r="C144" s="7">
        <f>B144+($F144*$G144)-1</f>
        <v>20016</v>
      </c>
      <c r="D144" s="168" t="s">
        <v>894</v>
      </c>
      <c r="E144" s="8" t="s">
        <v>1052</v>
      </c>
      <c r="F144" s="7">
        <v>16</v>
      </c>
      <c r="G144" s="248">
        <v>1</v>
      </c>
      <c r="H144" s="7"/>
      <c r="I144" s="9">
        <f>F144*2*G144</f>
        <v>32</v>
      </c>
      <c r="J144" s="9" t="s">
        <v>387</v>
      </c>
      <c r="K144" s="165" t="s">
        <v>397</v>
      </c>
      <c r="L144" s="9" t="s">
        <v>234</v>
      </c>
      <c r="M144" s="154"/>
      <c r="N144" s="7"/>
      <c r="O144" s="11"/>
      <c r="P144" s="10"/>
      <c r="Q144" s="10"/>
      <c r="R144" s="11"/>
      <c r="S144" s="11" t="s">
        <v>1181</v>
      </c>
      <c r="T144" s="157"/>
    </row>
    <row r="145" spans="1:20" x14ac:dyDescent="0.2">
      <c r="A145" s="33"/>
      <c r="B145" s="47">
        <f>B146</f>
        <v>20021</v>
      </c>
      <c r="C145" s="46"/>
      <c r="D145" s="48"/>
      <c r="E145" s="26" t="s">
        <v>1059</v>
      </c>
      <c r="F145" s="46"/>
      <c r="G145" s="46"/>
      <c r="H145" s="46"/>
      <c r="I145" s="48"/>
      <c r="J145" s="48"/>
      <c r="K145" s="49"/>
      <c r="L145" s="32"/>
      <c r="M145" s="32"/>
      <c r="N145" s="32"/>
      <c r="O145" s="32"/>
      <c r="P145" s="122"/>
      <c r="R145" s="143"/>
      <c r="S145" s="143"/>
      <c r="T145" s="156"/>
    </row>
    <row r="146" spans="1:20" ht="11.45" customHeight="1" x14ac:dyDescent="0.2">
      <c r="A146" s="33" t="s">
        <v>231</v>
      </c>
      <c r="B146" s="383">
        <v>20021</v>
      </c>
      <c r="C146" s="383">
        <f>B146+($F146*$G146)-1</f>
        <v>20036</v>
      </c>
      <c r="D146" s="384" t="s">
        <v>894</v>
      </c>
      <c r="E146" s="405" t="s">
        <v>1053</v>
      </c>
      <c r="F146" s="383">
        <v>16</v>
      </c>
      <c r="G146" s="406">
        <v>1</v>
      </c>
      <c r="H146" s="383"/>
      <c r="I146" s="388">
        <f>F146*2*G146</f>
        <v>32</v>
      </c>
      <c r="J146" s="388" t="s">
        <v>387</v>
      </c>
      <c r="K146" s="407" t="s">
        <v>397</v>
      </c>
      <c r="L146" s="388" t="s">
        <v>234</v>
      </c>
      <c r="M146" s="408"/>
      <c r="N146" s="383"/>
      <c r="O146" s="390"/>
      <c r="P146" s="394"/>
      <c r="Q146" s="394"/>
      <c r="R146" s="390"/>
      <c r="S146" s="390" t="s">
        <v>1181</v>
      </c>
      <c r="T146" s="395"/>
    </row>
    <row r="147" spans="1:20" ht="11.45" customHeight="1" x14ac:dyDescent="0.2">
      <c r="A147" s="33"/>
      <c r="B147" s="47">
        <f>B148</f>
        <v>20041</v>
      </c>
      <c r="C147" s="46"/>
      <c r="D147" s="48"/>
      <c r="E147" s="26" t="s">
        <v>1060</v>
      </c>
      <c r="F147" s="46"/>
      <c r="G147" s="46"/>
      <c r="H147" s="46"/>
      <c r="I147" s="48"/>
      <c r="J147" s="48"/>
      <c r="K147" s="49"/>
      <c r="L147" s="32"/>
      <c r="M147" s="32"/>
      <c r="N147" s="32"/>
      <c r="O147" s="32"/>
      <c r="P147" s="122"/>
      <c r="R147" s="143"/>
      <c r="S147" s="143"/>
      <c r="T147" s="156"/>
    </row>
    <row r="148" spans="1:20" ht="11.45" customHeight="1" x14ac:dyDescent="0.2">
      <c r="A148" s="33" t="s">
        <v>231</v>
      </c>
      <c r="B148" s="383">
        <v>20041</v>
      </c>
      <c r="C148" s="383">
        <f>B148+($F148*$G148)-1</f>
        <v>20056</v>
      </c>
      <c r="D148" s="384" t="s">
        <v>894</v>
      </c>
      <c r="E148" s="405" t="s">
        <v>1056</v>
      </c>
      <c r="F148" s="383">
        <v>16</v>
      </c>
      <c r="G148" s="406">
        <v>1</v>
      </c>
      <c r="H148" s="383"/>
      <c r="I148" s="388">
        <f>F148*2*G148</f>
        <v>32</v>
      </c>
      <c r="J148" s="388" t="s">
        <v>387</v>
      </c>
      <c r="K148" s="389" t="s">
        <v>1412</v>
      </c>
      <c r="L148" s="388" t="s">
        <v>234</v>
      </c>
      <c r="M148" s="408"/>
      <c r="N148" s="383"/>
      <c r="O148" s="390"/>
      <c r="P148" s="394"/>
      <c r="Q148" s="394"/>
      <c r="R148" s="390"/>
      <c r="S148" s="390" t="s">
        <v>1181</v>
      </c>
      <c r="T148" s="395"/>
    </row>
    <row r="149" spans="1:20" ht="11.45" customHeight="1" x14ac:dyDescent="0.2">
      <c r="A149" s="33"/>
      <c r="B149" s="47">
        <f>B150</f>
        <v>20061</v>
      </c>
      <c r="C149" s="46"/>
      <c r="D149" s="48"/>
      <c r="E149" s="26" t="s">
        <v>1061</v>
      </c>
      <c r="F149" s="46"/>
      <c r="G149" s="46"/>
      <c r="H149" s="46"/>
      <c r="I149" s="48"/>
      <c r="J149" s="48"/>
      <c r="K149" s="49"/>
      <c r="L149" s="32"/>
      <c r="M149" s="32"/>
      <c r="N149" s="32"/>
      <c r="O149" s="32"/>
      <c r="P149" s="122"/>
      <c r="R149" s="143"/>
      <c r="S149" s="143"/>
      <c r="T149" s="156"/>
    </row>
    <row r="150" spans="1:20" ht="11.45" customHeight="1" x14ac:dyDescent="0.2">
      <c r="A150" s="33" t="s">
        <v>231</v>
      </c>
      <c r="B150" s="383">
        <v>20061</v>
      </c>
      <c r="C150" s="383">
        <f>B150+($F150*$G150)-1</f>
        <v>20076</v>
      </c>
      <c r="D150" s="384" t="s">
        <v>894</v>
      </c>
      <c r="E150" s="405" t="s">
        <v>1054</v>
      </c>
      <c r="F150" s="383">
        <v>16</v>
      </c>
      <c r="G150" s="406">
        <v>1</v>
      </c>
      <c r="H150" s="383"/>
      <c r="I150" s="388">
        <f>F150*2*G150</f>
        <v>32</v>
      </c>
      <c r="J150" s="388" t="s">
        <v>387</v>
      </c>
      <c r="K150" s="407" t="s">
        <v>397</v>
      </c>
      <c r="L150" s="388" t="s">
        <v>234</v>
      </c>
      <c r="M150" s="408"/>
      <c r="N150" s="383"/>
      <c r="O150" s="390"/>
      <c r="P150" s="394"/>
      <c r="Q150" s="394"/>
      <c r="R150" s="390"/>
      <c r="S150" s="390" t="s">
        <v>1181</v>
      </c>
      <c r="T150" s="395"/>
    </row>
    <row r="151" spans="1:20" ht="11.45" customHeight="1" x14ac:dyDescent="0.2">
      <c r="A151" s="33"/>
      <c r="B151" s="47">
        <f>B152</f>
        <v>20081</v>
      </c>
      <c r="C151" s="46"/>
      <c r="D151" s="48"/>
      <c r="E151" s="26" t="s">
        <v>1062</v>
      </c>
      <c r="F151" s="46"/>
      <c r="G151" s="46"/>
      <c r="H151" s="46"/>
      <c r="I151" s="48"/>
      <c r="J151" s="48"/>
      <c r="K151" s="49"/>
      <c r="L151" s="32"/>
      <c r="M151" s="32"/>
      <c r="N151" s="32"/>
      <c r="O151" s="32"/>
      <c r="P151" s="122"/>
      <c r="R151" s="143"/>
      <c r="S151" s="143"/>
      <c r="T151" s="156"/>
    </row>
    <row r="152" spans="1:20" ht="11.45" customHeight="1" x14ac:dyDescent="0.2">
      <c r="A152" s="33" t="s">
        <v>231</v>
      </c>
      <c r="B152" s="383">
        <v>20081</v>
      </c>
      <c r="C152" s="383">
        <f>B152+($F152*$G152)-1</f>
        <v>20096</v>
      </c>
      <c r="D152" s="384" t="s">
        <v>894</v>
      </c>
      <c r="E152" s="405" t="s">
        <v>1055</v>
      </c>
      <c r="F152" s="383">
        <v>16</v>
      </c>
      <c r="G152" s="406">
        <v>1</v>
      </c>
      <c r="H152" s="383"/>
      <c r="I152" s="388">
        <f>F152*2*G152</f>
        <v>32</v>
      </c>
      <c r="J152" s="388" t="s">
        <v>387</v>
      </c>
      <c r="K152" s="389" t="s">
        <v>1412</v>
      </c>
      <c r="L152" s="388" t="s">
        <v>234</v>
      </c>
      <c r="M152" s="408"/>
      <c r="N152" s="383"/>
      <c r="O152" s="390"/>
      <c r="P152" s="394"/>
      <c r="Q152" s="394"/>
      <c r="R152" s="390"/>
      <c r="S152" s="390" t="s">
        <v>1181</v>
      </c>
      <c r="T152" s="395"/>
    </row>
    <row r="153" spans="1:20" ht="11.45" customHeight="1" x14ac:dyDescent="0.2">
      <c r="A153" s="33"/>
      <c r="B153" s="47">
        <f>B154</f>
        <v>20101</v>
      </c>
      <c r="C153" s="46"/>
      <c r="D153" s="48"/>
      <c r="E153" s="26" t="s">
        <v>1063</v>
      </c>
      <c r="F153" s="46"/>
      <c r="G153" s="46"/>
      <c r="H153" s="46"/>
      <c r="I153" s="48"/>
      <c r="J153" s="48"/>
      <c r="K153" s="49"/>
      <c r="L153" s="32"/>
      <c r="M153" s="32"/>
      <c r="N153" s="32"/>
      <c r="O153" s="32"/>
      <c r="P153" s="122"/>
      <c r="R153" s="143"/>
      <c r="S153" s="143"/>
      <c r="T153" s="156"/>
    </row>
    <row r="154" spans="1:20" ht="11.45" customHeight="1" x14ac:dyDescent="0.2">
      <c r="A154" s="33" t="s">
        <v>231</v>
      </c>
      <c r="B154" s="7">
        <v>20101</v>
      </c>
      <c r="C154" s="7">
        <f>B154+($F154*$G154)-1</f>
        <v>20116</v>
      </c>
      <c r="D154" s="168" t="s">
        <v>894</v>
      </c>
      <c r="E154" s="8" t="s">
        <v>1057</v>
      </c>
      <c r="F154" s="7">
        <v>16</v>
      </c>
      <c r="G154" s="248">
        <v>1</v>
      </c>
      <c r="H154" s="7"/>
      <c r="I154" s="9">
        <f>F154*2*G154</f>
        <v>32</v>
      </c>
      <c r="J154" s="9" t="s">
        <v>387</v>
      </c>
      <c r="K154" s="1" t="s">
        <v>1413</v>
      </c>
      <c r="L154" s="9" t="s">
        <v>234</v>
      </c>
      <c r="M154" s="154"/>
      <c r="N154" s="7"/>
      <c r="O154" s="11"/>
      <c r="P154" s="10"/>
      <c r="Q154" s="10"/>
      <c r="R154" s="11"/>
      <c r="S154" s="11" t="s">
        <v>1181</v>
      </c>
      <c r="T154" s="157"/>
    </row>
    <row r="155" spans="1:20" ht="11.45" customHeight="1" x14ac:dyDescent="0.2">
      <c r="A155" s="33"/>
      <c r="B155" s="47">
        <f>B156</f>
        <v>20201</v>
      </c>
      <c r="C155" s="46"/>
      <c r="D155" s="48"/>
      <c r="E155" s="26" t="s">
        <v>459</v>
      </c>
      <c r="F155" s="46"/>
      <c r="G155" s="46"/>
      <c r="H155" s="46"/>
      <c r="I155" s="48"/>
      <c r="J155" s="48"/>
      <c r="K155" s="49"/>
      <c r="L155" s="32"/>
      <c r="M155" s="32"/>
      <c r="N155" s="32"/>
      <c r="O155" s="32"/>
      <c r="R155" s="143"/>
      <c r="S155" s="143"/>
      <c r="T155" s="156"/>
    </row>
    <row r="156" spans="1:20" ht="11.45" customHeight="1" x14ac:dyDescent="0.2">
      <c r="A156" s="33" t="s">
        <v>231</v>
      </c>
      <c r="B156" s="7">
        <v>20201</v>
      </c>
      <c r="C156" s="7">
        <f>B156+($F156*$G156)-1</f>
        <v>20456</v>
      </c>
      <c r="D156" s="168" t="s">
        <v>894</v>
      </c>
      <c r="E156" s="179" t="s">
        <v>410</v>
      </c>
      <c r="F156" s="7">
        <v>256</v>
      </c>
      <c r="G156" s="7">
        <v>1</v>
      </c>
      <c r="H156" s="7"/>
      <c r="I156" s="9">
        <f>(F156*G156)/8</f>
        <v>32</v>
      </c>
      <c r="J156" s="9"/>
      <c r="K156" s="165" t="s">
        <v>397</v>
      </c>
      <c r="L156" s="11" t="s">
        <v>234</v>
      </c>
      <c r="M156" s="11"/>
      <c r="N156" s="11"/>
      <c r="O156" s="11"/>
      <c r="P156" s="136"/>
      <c r="Q156" s="136"/>
      <c r="R156" s="11"/>
      <c r="S156" s="11" t="s">
        <v>1181</v>
      </c>
      <c r="T156" s="117"/>
    </row>
    <row r="157" spans="1:20" ht="11.45" customHeight="1" x14ac:dyDescent="0.2">
      <c r="A157" s="33"/>
      <c r="B157" s="47">
        <f>B158</f>
        <v>20501</v>
      </c>
      <c r="C157" s="46"/>
      <c r="D157" s="48"/>
      <c r="E157" s="26" t="s">
        <v>1703</v>
      </c>
      <c r="F157" s="46"/>
      <c r="G157" s="46"/>
      <c r="H157" s="46"/>
      <c r="I157" s="48"/>
      <c r="J157" s="48"/>
      <c r="K157" s="49"/>
      <c r="L157" s="32"/>
      <c r="M157" s="32"/>
      <c r="N157" s="32"/>
      <c r="O157" s="32"/>
      <c r="R157" s="143"/>
      <c r="S157" s="143"/>
      <c r="T157" s="156"/>
    </row>
    <row r="158" spans="1:20" ht="11.45" customHeight="1" x14ac:dyDescent="0.2">
      <c r="A158" s="33" t="s">
        <v>231</v>
      </c>
      <c r="B158" s="7">
        <v>20501</v>
      </c>
      <c r="C158" s="7">
        <f>B158+($F158*$G158)-1</f>
        <v>20756</v>
      </c>
      <c r="D158" s="168" t="s">
        <v>894</v>
      </c>
      <c r="E158" s="179" t="s">
        <v>1701</v>
      </c>
      <c r="F158" s="7">
        <v>256</v>
      </c>
      <c r="G158" s="7">
        <v>1</v>
      </c>
      <c r="H158" s="7"/>
      <c r="I158" s="9">
        <f>(F158*G158)/8</f>
        <v>32</v>
      </c>
      <c r="J158" s="9"/>
      <c r="K158" s="165" t="s">
        <v>397</v>
      </c>
      <c r="L158" s="11" t="s">
        <v>234</v>
      </c>
      <c r="M158" s="11"/>
      <c r="N158" s="11"/>
      <c r="O158" s="11"/>
      <c r="P158" s="136"/>
      <c r="Q158" s="136"/>
      <c r="R158" s="11"/>
      <c r="S158" s="11" t="s">
        <v>1181</v>
      </c>
      <c r="T158" s="117"/>
    </row>
    <row r="159" spans="1:20" ht="11.45" customHeight="1" x14ac:dyDescent="0.2">
      <c r="A159" s="33"/>
      <c r="B159" s="47">
        <f>B160</f>
        <v>20801</v>
      </c>
      <c r="C159" s="46"/>
      <c r="D159" s="48"/>
      <c r="E159" s="26" t="s">
        <v>1700</v>
      </c>
      <c r="F159" s="46"/>
      <c r="G159" s="46"/>
      <c r="H159" s="46"/>
      <c r="I159" s="48"/>
      <c r="J159" s="48"/>
      <c r="K159" s="49"/>
      <c r="L159" s="32"/>
      <c r="M159" s="32"/>
      <c r="N159" s="32"/>
      <c r="O159" s="32"/>
      <c r="R159" s="143"/>
      <c r="S159" s="143"/>
      <c r="T159" s="156"/>
    </row>
    <row r="160" spans="1:20" ht="11.45" customHeight="1" x14ac:dyDescent="0.2">
      <c r="A160" s="33" t="s">
        <v>231</v>
      </c>
      <c r="B160" s="7">
        <v>20801</v>
      </c>
      <c r="C160" s="7">
        <f>B160+($F160*$G160)-1</f>
        <v>21056</v>
      </c>
      <c r="D160" s="168" t="s">
        <v>894</v>
      </c>
      <c r="E160" s="179" t="s">
        <v>1702</v>
      </c>
      <c r="F160" s="7">
        <v>256</v>
      </c>
      <c r="G160" s="7">
        <v>1</v>
      </c>
      <c r="H160" s="7"/>
      <c r="I160" s="9">
        <f>(F160*G160)/8</f>
        <v>32</v>
      </c>
      <c r="J160" s="9"/>
      <c r="K160" s="165" t="s">
        <v>397</v>
      </c>
      <c r="L160" s="11" t="s">
        <v>234</v>
      </c>
      <c r="M160" s="11"/>
      <c r="N160" s="11"/>
      <c r="O160" s="11"/>
      <c r="P160" s="10"/>
      <c r="Q160" s="10"/>
      <c r="R160" s="11"/>
      <c r="S160" s="11" t="s">
        <v>1181</v>
      </c>
      <c r="T160" s="178"/>
    </row>
    <row r="161" spans="1:20" ht="11.45" customHeight="1" x14ac:dyDescent="0.2">
      <c r="A161" s="33"/>
      <c r="B161" s="47">
        <f>B162</f>
        <v>21801</v>
      </c>
      <c r="C161" s="46"/>
      <c r="D161" s="48"/>
      <c r="E161" s="26" t="s">
        <v>460</v>
      </c>
      <c r="F161" s="46"/>
      <c r="G161" s="46"/>
      <c r="H161" s="46"/>
      <c r="I161" s="48"/>
      <c r="J161" s="48"/>
      <c r="K161" s="49"/>
      <c r="L161" s="32"/>
      <c r="M161" s="32"/>
      <c r="N161" s="32"/>
      <c r="O161" s="32"/>
      <c r="R161" s="143"/>
      <c r="S161" s="143"/>
      <c r="T161" s="156"/>
    </row>
    <row r="162" spans="1:20" ht="11.45" customHeight="1" x14ac:dyDescent="0.2">
      <c r="A162" s="33" t="s">
        <v>231</v>
      </c>
      <c r="B162" s="7">
        <v>21801</v>
      </c>
      <c r="C162" s="7">
        <f>B162+($F162*$G162)-1</f>
        <v>22056</v>
      </c>
      <c r="D162" s="168" t="s">
        <v>894</v>
      </c>
      <c r="E162" s="179" t="s">
        <v>411</v>
      </c>
      <c r="F162" s="7">
        <v>256</v>
      </c>
      <c r="G162" s="7">
        <v>1</v>
      </c>
      <c r="H162" s="7"/>
      <c r="I162" s="9">
        <f>(F162*G162)/8</f>
        <v>32</v>
      </c>
      <c r="J162" s="9"/>
      <c r="K162" s="1" t="s">
        <v>1411</v>
      </c>
      <c r="L162" s="11" t="s">
        <v>234</v>
      </c>
      <c r="M162" s="11"/>
      <c r="N162" s="11"/>
      <c r="O162" s="11"/>
      <c r="P162" s="136"/>
      <c r="Q162" s="136"/>
      <c r="R162" s="11"/>
      <c r="S162" s="11" t="s">
        <v>1181</v>
      </c>
      <c r="T162" s="117"/>
    </row>
    <row r="163" spans="1:20" ht="11.45" customHeight="1" x14ac:dyDescent="0.2">
      <c r="A163" s="33"/>
      <c r="B163" s="47">
        <f>B164</f>
        <v>22101</v>
      </c>
      <c r="C163" s="46"/>
      <c r="D163" s="48"/>
      <c r="E163" s="26" t="s">
        <v>461</v>
      </c>
      <c r="F163" s="46"/>
      <c r="G163" s="46"/>
      <c r="H163" s="46"/>
      <c r="I163" s="48"/>
      <c r="J163" s="48"/>
      <c r="K163" s="49"/>
      <c r="L163" s="32"/>
      <c r="M163" s="32"/>
      <c r="N163" s="32"/>
      <c r="O163" s="32"/>
      <c r="P163" s="121"/>
      <c r="Q163" s="121"/>
      <c r="R163" s="143"/>
      <c r="S163" s="143"/>
      <c r="T163" s="156"/>
    </row>
    <row r="164" spans="1:20" ht="11.25" customHeight="1" x14ac:dyDescent="0.2">
      <c r="A164" s="33" t="s">
        <v>231</v>
      </c>
      <c r="B164" s="7">
        <v>22101</v>
      </c>
      <c r="C164" s="7">
        <f>B164+($F164*$G164)-1</f>
        <v>22356</v>
      </c>
      <c r="D164" s="168" t="s">
        <v>894</v>
      </c>
      <c r="E164" s="179" t="s">
        <v>408</v>
      </c>
      <c r="F164" s="7">
        <v>256</v>
      </c>
      <c r="G164" s="7">
        <v>1</v>
      </c>
      <c r="H164" s="7"/>
      <c r="I164" s="9">
        <f>(F164*G164)/8</f>
        <v>32</v>
      </c>
      <c r="J164" s="9"/>
      <c r="K164" s="165" t="s">
        <v>397</v>
      </c>
      <c r="L164" s="11" t="s">
        <v>234</v>
      </c>
      <c r="M164" s="11"/>
      <c r="N164" s="11"/>
      <c r="O164" s="11"/>
      <c r="P164" s="136"/>
      <c r="Q164" s="136"/>
      <c r="R164" s="11"/>
      <c r="S164" s="11" t="s">
        <v>1181</v>
      </c>
      <c r="T164" s="117"/>
    </row>
    <row r="165" spans="1:20" x14ac:dyDescent="0.2">
      <c r="A165" s="33"/>
      <c r="B165" s="47">
        <f>B166</f>
        <v>22401</v>
      </c>
      <c r="C165" s="46"/>
      <c r="D165" s="48"/>
      <c r="E165" s="26" t="s">
        <v>462</v>
      </c>
      <c r="F165" s="46"/>
      <c r="G165" s="46"/>
      <c r="H165" s="46"/>
      <c r="I165" s="48"/>
      <c r="J165" s="48"/>
      <c r="K165" s="49"/>
      <c r="L165" s="32"/>
      <c r="M165" s="32"/>
      <c r="N165" s="32"/>
      <c r="O165" s="32"/>
      <c r="P165" s="121"/>
      <c r="Q165" s="121"/>
      <c r="R165" s="143"/>
      <c r="S165" s="143"/>
      <c r="T165" s="156"/>
    </row>
    <row r="166" spans="1:20" x14ac:dyDescent="0.2">
      <c r="A166" s="33" t="s">
        <v>231</v>
      </c>
      <c r="B166" s="7">
        <v>22401</v>
      </c>
      <c r="C166" s="7">
        <f>B166+($F166*$G166)-1</f>
        <v>22656</v>
      </c>
      <c r="D166" s="9" t="s">
        <v>894</v>
      </c>
      <c r="E166" s="8" t="s">
        <v>409</v>
      </c>
      <c r="F166" s="7">
        <v>256</v>
      </c>
      <c r="G166" s="7">
        <v>1</v>
      </c>
      <c r="H166" s="7"/>
      <c r="I166" s="9">
        <f>(F166*G166)/8</f>
        <v>32</v>
      </c>
      <c r="J166" s="9"/>
      <c r="K166" s="1" t="s">
        <v>1411</v>
      </c>
      <c r="L166" s="11" t="s">
        <v>234</v>
      </c>
      <c r="M166" s="11"/>
      <c r="N166" s="11"/>
      <c r="O166" s="11"/>
      <c r="P166" s="10"/>
      <c r="Q166" s="10"/>
      <c r="R166" s="11"/>
      <c r="S166" s="11" t="s">
        <v>1181</v>
      </c>
      <c r="T166" s="157"/>
    </row>
    <row r="167" spans="1:20" ht="11.25" customHeight="1" x14ac:dyDescent="0.2">
      <c r="A167" s="33"/>
      <c r="B167" s="47">
        <f>B168</f>
        <v>22701</v>
      </c>
      <c r="C167" s="46"/>
      <c r="D167" s="48"/>
      <c r="E167" s="26" t="s">
        <v>465</v>
      </c>
      <c r="F167" s="46"/>
      <c r="G167" s="46"/>
      <c r="H167" s="46"/>
      <c r="I167" s="48"/>
      <c r="J167" s="48"/>
      <c r="K167" s="49"/>
      <c r="L167" s="32"/>
      <c r="M167" s="32"/>
      <c r="N167" s="32"/>
      <c r="O167" s="32"/>
      <c r="P167" s="121"/>
      <c r="Q167" s="121"/>
      <c r="R167" s="143"/>
      <c r="S167" s="143"/>
      <c r="T167" s="156"/>
    </row>
    <row r="168" spans="1:20" x14ac:dyDescent="0.2">
      <c r="A168" s="33" t="s">
        <v>231</v>
      </c>
      <c r="B168" s="330">
        <v>22701</v>
      </c>
      <c r="C168" s="330">
        <f>B168+($F168*$G168)-1</f>
        <v>22956</v>
      </c>
      <c r="D168" s="331" t="s">
        <v>894</v>
      </c>
      <c r="E168" s="332" t="s">
        <v>466</v>
      </c>
      <c r="F168" s="330">
        <v>256</v>
      </c>
      <c r="G168" s="330">
        <v>1</v>
      </c>
      <c r="H168" s="330"/>
      <c r="I168" s="333">
        <f>(F168*G168)/8</f>
        <v>32</v>
      </c>
      <c r="J168" s="333"/>
      <c r="K168" s="349" t="s">
        <v>397</v>
      </c>
      <c r="L168" s="335" t="s">
        <v>234</v>
      </c>
      <c r="M168" s="335"/>
      <c r="N168" s="335"/>
      <c r="O168" s="11"/>
      <c r="P168" s="336"/>
      <c r="Q168" s="336"/>
      <c r="R168" s="11"/>
      <c r="S168" s="11" t="s">
        <v>1181</v>
      </c>
      <c r="T168" s="338"/>
    </row>
    <row r="169" spans="1:20" x14ac:dyDescent="0.2">
      <c r="A169" s="33"/>
      <c r="B169" s="47">
        <f>B170</f>
        <v>23001</v>
      </c>
      <c r="C169" s="46"/>
      <c r="D169" s="48"/>
      <c r="E169" s="26" t="s">
        <v>1260</v>
      </c>
      <c r="F169" s="46"/>
      <c r="G169" s="46"/>
      <c r="H169" s="46"/>
      <c r="I169" s="48"/>
      <c r="J169" s="48"/>
      <c r="K169" s="49"/>
      <c r="L169" s="32"/>
      <c r="M169" s="32"/>
      <c r="N169" s="32"/>
      <c r="O169" s="32"/>
      <c r="P169" s="121"/>
      <c r="Q169" s="121"/>
      <c r="R169" s="143"/>
      <c r="S169" s="143"/>
      <c r="T169" s="156"/>
    </row>
    <row r="170" spans="1:20" x14ac:dyDescent="0.2">
      <c r="A170" s="33" t="s">
        <v>231</v>
      </c>
      <c r="B170" s="330">
        <v>23001</v>
      </c>
      <c r="C170" s="330">
        <f>B170+($F170*$G170)-1</f>
        <v>23256</v>
      </c>
      <c r="D170" s="331" t="s">
        <v>894</v>
      </c>
      <c r="E170" s="332" t="s">
        <v>1261</v>
      </c>
      <c r="F170" s="330">
        <v>256</v>
      </c>
      <c r="G170" s="330">
        <v>1</v>
      </c>
      <c r="H170" s="330"/>
      <c r="I170" s="333">
        <f>(F170*G170)/8</f>
        <v>32</v>
      </c>
      <c r="J170" s="333"/>
      <c r="K170" s="349" t="s">
        <v>397</v>
      </c>
      <c r="L170" s="335" t="s">
        <v>234</v>
      </c>
      <c r="M170" s="335"/>
      <c r="N170" s="335"/>
      <c r="O170" s="11"/>
      <c r="P170" s="336"/>
      <c r="Q170" s="336"/>
      <c r="R170" s="11"/>
      <c r="S170" s="11" t="s">
        <v>1181</v>
      </c>
      <c r="T170" s="338"/>
    </row>
    <row r="171" spans="1:20" x14ac:dyDescent="0.2">
      <c r="A171" s="33"/>
      <c r="B171" s="47">
        <f>B172</f>
        <v>23301</v>
      </c>
      <c r="C171" s="46"/>
      <c r="D171" s="48"/>
      <c r="E171" s="26" t="s">
        <v>463</v>
      </c>
      <c r="F171" s="46"/>
      <c r="G171" s="46"/>
      <c r="H171" s="46"/>
      <c r="I171" s="48"/>
      <c r="J171" s="48"/>
      <c r="K171" s="49"/>
      <c r="L171" s="32"/>
      <c r="M171" s="32"/>
      <c r="N171" s="32"/>
      <c r="O171" s="32"/>
      <c r="P171" s="121"/>
      <c r="Q171" s="121"/>
      <c r="R171" s="143"/>
      <c r="S171" s="143"/>
      <c r="T171" s="156"/>
    </row>
    <row r="172" spans="1:20" x14ac:dyDescent="0.2">
      <c r="A172" s="33" t="s">
        <v>231</v>
      </c>
      <c r="B172" s="7">
        <v>23301</v>
      </c>
      <c r="C172" s="7">
        <f>B172+($F172*$G172)-1</f>
        <v>23556</v>
      </c>
      <c r="D172" s="9" t="s">
        <v>894</v>
      </c>
      <c r="E172" s="179" t="s">
        <v>407</v>
      </c>
      <c r="F172" s="7">
        <v>256</v>
      </c>
      <c r="G172" s="7">
        <v>1</v>
      </c>
      <c r="H172" s="7"/>
      <c r="I172" s="9">
        <f>(F172*G172)/8</f>
        <v>32</v>
      </c>
      <c r="J172" s="9"/>
      <c r="K172" s="94" t="s">
        <v>887</v>
      </c>
      <c r="L172" s="11" t="s">
        <v>234</v>
      </c>
      <c r="M172" s="11"/>
      <c r="N172" s="11"/>
      <c r="O172" s="11"/>
      <c r="P172" s="123"/>
      <c r="Q172" s="49"/>
      <c r="R172" s="11"/>
      <c r="S172" s="11" t="s">
        <v>1181</v>
      </c>
      <c r="T172" s="181"/>
    </row>
    <row r="173" spans="1:20" x14ac:dyDescent="0.2">
      <c r="A173" s="33"/>
      <c r="B173" s="47">
        <f>B174</f>
        <v>24001</v>
      </c>
      <c r="C173" s="46"/>
      <c r="D173" s="48"/>
      <c r="E173" s="26" t="s">
        <v>361</v>
      </c>
      <c r="F173" s="46"/>
      <c r="G173" s="46"/>
      <c r="H173" s="46"/>
      <c r="I173" s="48"/>
      <c r="J173" s="48"/>
      <c r="K173" s="49"/>
      <c r="L173" s="32"/>
      <c r="M173" s="32"/>
      <c r="N173" s="32"/>
      <c r="O173" s="32"/>
      <c r="R173" s="143"/>
      <c r="S173" s="143"/>
      <c r="T173" s="156"/>
    </row>
    <row r="174" spans="1:20" x14ac:dyDescent="0.2">
      <c r="A174" s="33" t="s">
        <v>231</v>
      </c>
      <c r="B174" s="7">
        <v>24001</v>
      </c>
      <c r="C174" s="7">
        <f>B174+($F174*$G174)-1</f>
        <v>24064</v>
      </c>
      <c r="D174" s="168" t="s">
        <v>894</v>
      </c>
      <c r="E174" s="179" t="s">
        <v>496</v>
      </c>
      <c r="F174" s="7">
        <v>64</v>
      </c>
      <c r="G174" s="7">
        <v>1</v>
      </c>
      <c r="H174" s="7"/>
      <c r="I174" s="9">
        <f>(F174*G174)/8</f>
        <v>8</v>
      </c>
      <c r="J174" s="9"/>
      <c r="K174" s="165" t="s">
        <v>397</v>
      </c>
      <c r="L174" s="11" t="s">
        <v>234</v>
      </c>
      <c r="M174" s="11"/>
      <c r="N174" s="11"/>
      <c r="O174" s="11"/>
      <c r="P174" s="136"/>
      <c r="Q174" s="136"/>
      <c r="R174" s="11"/>
      <c r="S174" s="11" t="s">
        <v>1181</v>
      </c>
      <c r="T174" s="117"/>
    </row>
    <row r="175" spans="1:20" x14ac:dyDescent="0.2">
      <c r="A175" s="33"/>
      <c r="B175" s="47">
        <f>B176</f>
        <v>24101</v>
      </c>
      <c r="C175" s="46"/>
      <c r="D175" s="48"/>
      <c r="E175" s="26" t="s">
        <v>1846</v>
      </c>
      <c r="F175" s="46"/>
      <c r="G175" s="46"/>
      <c r="H175" s="46"/>
      <c r="I175" s="48"/>
      <c r="J175" s="48"/>
      <c r="K175" s="49"/>
      <c r="L175" s="32"/>
      <c r="M175" s="32"/>
      <c r="N175" s="32"/>
      <c r="O175" s="32"/>
      <c r="R175" s="143"/>
      <c r="S175" s="143"/>
      <c r="T175" s="156"/>
    </row>
    <row r="176" spans="1:20" x14ac:dyDescent="0.2">
      <c r="A176" s="33" t="s">
        <v>231</v>
      </c>
      <c r="B176" s="7">
        <v>24101</v>
      </c>
      <c r="C176" s="7">
        <f>B176+($F176*$G176)-1</f>
        <v>24164</v>
      </c>
      <c r="D176" s="168" t="s">
        <v>894</v>
      </c>
      <c r="E176" s="179" t="s">
        <v>1847</v>
      </c>
      <c r="F176" s="7">
        <v>64</v>
      </c>
      <c r="G176" s="7">
        <v>1</v>
      </c>
      <c r="H176" s="7"/>
      <c r="I176" s="9">
        <f>(F176*G176)/8</f>
        <v>8</v>
      </c>
      <c r="J176" s="9"/>
      <c r="K176" s="165" t="s">
        <v>397</v>
      </c>
      <c r="L176" s="11" t="s">
        <v>234</v>
      </c>
      <c r="M176" s="11"/>
      <c r="N176" s="11"/>
      <c r="O176" s="11"/>
      <c r="P176" s="136"/>
      <c r="Q176" s="136"/>
      <c r="R176" s="11"/>
      <c r="S176" s="11" t="s">
        <v>1181</v>
      </c>
      <c r="T176" s="117"/>
    </row>
    <row r="177" spans="1:20" x14ac:dyDescent="0.2">
      <c r="A177" s="33"/>
      <c r="B177" s="47">
        <f>B178</f>
        <v>24201</v>
      </c>
      <c r="C177" s="46"/>
      <c r="D177" s="48"/>
      <c r="E177" s="26" t="s">
        <v>1264</v>
      </c>
      <c r="F177" s="46"/>
      <c r="G177" s="46"/>
      <c r="H177" s="46"/>
      <c r="I177" s="48"/>
      <c r="J177" s="48"/>
      <c r="K177" s="49"/>
      <c r="L177" s="32"/>
      <c r="M177" s="32"/>
      <c r="N177" s="32"/>
      <c r="O177" s="32"/>
      <c r="P177" s="122"/>
      <c r="R177" s="143"/>
      <c r="S177" s="143"/>
      <c r="T177" s="156"/>
    </row>
    <row r="178" spans="1:20" x14ac:dyDescent="0.2">
      <c r="A178" s="33" t="s">
        <v>231</v>
      </c>
      <c r="B178" s="7">
        <v>24201</v>
      </c>
      <c r="C178" s="7">
        <f>B178+($F178*$G178)-1</f>
        <v>24296</v>
      </c>
      <c r="D178" s="168" t="s">
        <v>894</v>
      </c>
      <c r="E178" s="179" t="s">
        <v>1381</v>
      </c>
      <c r="F178" s="7">
        <v>96</v>
      </c>
      <c r="G178" s="7">
        <v>1</v>
      </c>
      <c r="H178" s="7"/>
      <c r="I178" s="9">
        <f>(F178*G178)/8</f>
        <v>12</v>
      </c>
      <c r="J178" s="9"/>
      <c r="K178" s="165" t="s">
        <v>397</v>
      </c>
      <c r="L178" s="11" t="s">
        <v>234</v>
      </c>
      <c r="M178" s="11"/>
      <c r="N178" s="11"/>
      <c r="O178" s="11"/>
      <c r="P178" s="136"/>
      <c r="Q178" s="136"/>
      <c r="R178" s="11"/>
      <c r="S178" s="11" t="s">
        <v>1181</v>
      </c>
      <c r="T178" s="117"/>
    </row>
    <row r="179" spans="1:20" x14ac:dyDescent="0.2">
      <c r="A179" s="33"/>
      <c r="B179" s="47">
        <f>B180</f>
        <v>24301</v>
      </c>
      <c r="C179" s="46"/>
      <c r="D179" s="48"/>
      <c r="E179" s="26" t="s">
        <v>1380</v>
      </c>
      <c r="F179" s="46"/>
      <c r="G179" s="46"/>
      <c r="H179" s="46"/>
      <c r="I179" s="48"/>
      <c r="J179" s="48"/>
      <c r="K179" s="49"/>
      <c r="L179" s="32"/>
      <c r="M179" s="32"/>
      <c r="N179" s="32"/>
      <c r="O179" s="32"/>
      <c r="P179" s="122"/>
      <c r="R179" s="143"/>
      <c r="S179" s="143"/>
      <c r="T179" s="156"/>
    </row>
    <row r="180" spans="1:20" x14ac:dyDescent="0.2">
      <c r="A180" s="33" t="s">
        <v>231</v>
      </c>
      <c r="B180" s="7">
        <v>24301</v>
      </c>
      <c r="C180" s="7">
        <f>B180+($F180*$G180)-1</f>
        <v>24396</v>
      </c>
      <c r="D180" s="168" t="s">
        <v>894</v>
      </c>
      <c r="E180" s="179" t="s">
        <v>1382</v>
      </c>
      <c r="F180" s="7">
        <v>96</v>
      </c>
      <c r="G180" s="7">
        <v>1</v>
      </c>
      <c r="H180" s="7"/>
      <c r="I180" s="9">
        <f>(F180*G180)/8</f>
        <v>12</v>
      </c>
      <c r="J180" s="9"/>
      <c r="K180" s="165" t="s">
        <v>397</v>
      </c>
      <c r="L180" s="11" t="s">
        <v>234</v>
      </c>
      <c r="M180" s="11"/>
      <c r="N180" s="11"/>
      <c r="O180" s="11"/>
      <c r="P180" s="10"/>
      <c r="Q180" s="10"/>
      <c r="R180" s="11"/>
      <c r="S180" s="11" t="s">
        <v>1181</v>
      </c>
      <c r="T180" s="117"/>
    </row>
    <row r="181" spans="1:20" ht="11.25" customHeight="1" x14ac:dyDescent="0.2">
      <c r="A181" s="33" t="s">
        <v>231</v>
      </c>
      <c r="B181" s="7">
        <f>C180+1</f>
        <v>24397</v>
      </c>
      <c r="C181" s="7">
        <f>B181+($F181*$G181)-1</f>
        <v>24492</v>
      </c>
      <c r="D181" s="9" t="s">
        <v>894</v>
      </c>
      <c r="E181" s="8" t="s">
        <v>1383</v>
      </c>
      <c r="F181" s="7">
        <v>96</v>
      </c>
      <c r="G181" s="7">
        <v>1</v>
      </c>
      <c r="H181" s="7"/>
      <c r="I181" s="9">
        <f>(F181*G181)/8</f>
        <v>12</v>
      </c>
      <c r="J181" s="9"/>
      <c r="K181" s="165" t="s">
        <v>397</v>
      </c>
      <c r="L181" s="11" t="s">
        <v>234</v>
      </c>
      <c r="M181" s="11"/>
      <c r="N181" s="11"/>
      <c r="O181" s="11"/>
      <c r="P181" s="116"/>
      <c r="Q181" s="116"/>
      <c r="R181" s="11"/>
      <c r="S181" s="11" t="s">
        <v>1181</v>
      </c>
      <c r="T181" s="157"/>
    </row>
    <row r="182" spans="1:20" x14ac:dyDescent="0.2">
      <c r="A182" s="33" t="s">
        <v>231</v>
      </c>
      <c r="B182" s="7">
        <f>C181+1</f>
        <v>24493</v>
      </c>
      <c r="C182" s="7">
        <f>B182+($F182*$G182)-1</f>
        <v>24588</v>
      </c>
      <c r="D182" s="168" t="s">
        <v>894</v>
      </c>
      <c r="E182" s="179" t="s">
        <v>1384</v>
      </c>
      <c r="F182" s="7">
        <v>96</v>
      </c>
      <c r="G182" s="7">
        <v>1</v>
      </c>
      <c r="H182" s="7"/>
      <c r="I182" s="9">
        <f>(F182*G182)/8</f>
        <v>12</v>
      </c>
      <c r="J182" s="9"/>
      <c r="K182" s="165" t="s">
        <v>397</v>
      </c>
      <c r="L182" s="11" t="s">
        <v>234</v>
      </c>
      <c r="M182" s="11"/>
      <c r="N182" s="11"/>
      <c r="O182" s="11"/>
      <c r="P182" s="10"/>
      <c r="Q182" s="10"/>
      <c r="R182" s="11"/>
      <c r="S182" s="11" t="s">
        <v>1181</v>
      </c>
      <c r="T182" s="117"/>
    </row>
    <row r="183" spans="1:20" x14ac:dyDescent="0.2">
      <c r="A183" s="33"/>
      <c r="B183" s="47">
        <f>B184</f>
        <v>26301</v>
      </c>
      <c r="C183" s="46"/>
      <c r="D183" s="48"/>
      <c r="E183" s="26" t="s">
        <v>281</v>
      </c>
      <c r="F183" s="46"/>
      <c r="G183" s="46"/>
      <c r="H183" s="46"/>
      <c r="I183" s="48"/>
      <c r="J183" s="48"/>
      <c r="K183" s="49"/>
      <c r="L183" s="32"/>
      <c r="M183" s="32"/>
      <c r="N183" s="32"/>
      <c r="O183" s="32"/>
      <c r="R183" s="143"/>
      <c r="S183" s="143"/>
      <c r="T183" s="156"/>
    </row>
    <row r="184" spans="1:20" ht="11.25" customHeight="1" x14ac:dyDescent="0.2">
      <c r="A184" s="33" t="s">
        <v>231</v>
      </c>
      <c r="B184" s="7">
        <v>26301</v>
      </c>
      <c r="C184" s="7">
        <f>B184+(16)-1</f>
        <v>26316</v>
      </c>
      <c r="D184" s="168" t="s">
        <v>894</v>
      </c>
      <c r="E184" s="179" t="s">
        <v>2003</v>
      </c>
      <c r="F184" s="7">
        <v>1</v>
      </c>
      <c r="G184" s="7">
        <v>1</v>
      </c>
      <c r="H184" s="7"/>
      <c r="I184" s="9">
        <f>(F184*G184)/8</f>
        <v>0.125</v>
      </c>
      <c r="J184" s="9"/>
      <c r="K184" s="1" t="s">
        <v>885</v>
      </c>
      <c r="L184" s="11" t="s">
        <v>234</v>
      </c>
      <c r="M184" s="11"/>
      <c r="N184" s="11"/>
      <c r="O184" s="11"/>
      <c r="P184" s="136"/>
      <c r="Q184" s="136"/>
      <c r="R184" s="11"/>
      <c r="S184" s="11" t="s">
        <v>1181</v>
      </c>
      <c r="T184" s="117"/>
    </row>
    <row r="185" spans="1:20" x14ac:dyDescent="0.2">
      <c r="A185" s="33"/>
      <c r="B185" s="47">
        <f>B186</f>
        <v>26321</v>
      </c>
      <c r="C185" s="46"/>
      <c r="D185" s="48"/>
      <c r="E185" s="26" t="s">
        <v>464</v>
      </c>
      <c r="F185" s="46"/>
      <c r="G185" s="46"/>
      <c r="H185" s="46"/>
      <c r="I185" s="48"/>
      <c r="J185" s="48"/>
      <c r="K185" s="32"/>
      <c r="L185" s="32"/>
      <c r="M185" s="32"/>
      <c r="N185" s="32"/>
      <c r="O185" s="32"/>
      <c r="R185" s="143"/>
      <c r="S185" s="143"/>
      <c r="T185" s="156"/>
    </row>
    <row r="186" spans="1:20" x14ac:dyDescent="0.2">
      <c r="A186" s="33" t="s">
        <v>231</v>
      </c>
      <c r="B186" s="7">
        <v>26321</v>
      </c>
      <c r="C186" s="7">
        <f>B186+($F186*$G186)-1</f>
        <v>26336</v>
      </c>
      <c r="D186" s="9" t="s">
        <v>894</v>
      </c>
      <c r="E186" s="8" t="s">
        <v>258</v>
      </c>
      <c r="F186" s="7">
        <v>16</v>
      </c>
      <c r="G186" s="7">
        <v>1</v>
      </c>
      <c r="H186" s="7"/>
      <c r="I186" s="9">
        <v>0.125</v>
      </c>
      <c r="J186" s="9"/>
      <c r="K186" s="1" t="s">
        <v>884</v>
      </c>
      <c r="L186" s="11" t="s">
        <v>234</v>
      </c>
      <c r="M186" s="11"/>
      <c r="N186" s="11"/>
      <c r="O186" s="11"/>
      <c r="P186" s="10"/>
      <c r="Q186" s="10"/>
      <c r="R186" s="11"/>
      <c r="S186" s="11" t="s">
        <v>1181</v>
      </c>
      <c r="T186" s="117"/>
    </row>
    <row r="187" spans="1:20" x14ac:dyDescent="0.2">
      <c r="A187" s="33"/>
      <c r="B187" s="47">
        <f>B188</f>
        <v>26341</v>
      </c>
      <c r="C187" s="46"/>
      <c r="D187" s="48"/>
      <c r="E187" s="26" t="s">
        <v>451</v>
      </c>
      <c r="F187" s="46"/>
      <c r="G187" s="46"/>
      <c r="H187" s="46"/>
      <c r="I187" s="48"/>
      <c r="J187" s="48"/>
      <c r="K187" s="32"/>
      <c r="L187" s="49"/>
      <c r="M187" s="49"/>
      <c r="N187" s="49"/>
      <c r="O187" s="32"/>
      <c r="P187" s="120"/>
      <c r="Q187" s="120"/>
      <c r="R187" s="143"/>
      <c r="S187" s="143"/>
      <c r="T187" s="156"/>
    </row>
    <row r="188" spans="1:20" x14ac:dyDescent="0.2">
      <c r="A188" s="33" t="s">
        <v>231</v>
      </c>
      <c r="B188" s="7">
        <v>26341</v>
      </c>
      <c r="C188" s="7">
        <f>B188+($F188*$G188)-1</f>
        <v>26341</v>
      </c>
      <c r="D188" s="9" t="s">
        <v>894</v>
      </c>
      <c r="E188" s="8" t="s">
        <v>810</v>
      </c>
      <c r="F188" s="7">
        <v>1</v>
      </c>
      <c r="G188" s="7">
        <v>1</v>
      </c>
      <c r="H188" s="7"/>
      <c r="I188" s="9">
        <f>(F188*G188)/8</f>
        <v>0.125</v>
      </c>
      <c r="J188" s="9"/>
      <c r="K188" s="94" t="s">
        <v>884</v>
      </c>
      <c r="L188" s="11" t="s">
        <v>234</v>
      </c>
      <c r="M188" s="11"/>
      <c r="N188" s="11"/>
      <c r="O188" s="11"/>
      <c r="P188" s="10"/>
      <c r="Q188" s="10"/>
      <c r="R188" s="11"/>
      <c r="S188" s="11" t="s">
        <v>1181</v>
      </c>
      <c r="T188" s="157"/>
    </row>
    <row r="189" spans="1:20" x14ac:dyDescent="0.2">
      <c r="A189" s="33"/>
      <c r="B189" s="47">
        <f>B190</f>
        <v>26351</v>
      </c>
      <c r="C189" s="26"/>
      <c r="D189" s="48"/>
      <c r="E189" s="26" t="s">
        <v>5</v>
      </c>
      <c r="F189" s="26"/>
      <c r="G189" s="26"/>
      <c r="H189" s="26"/>
      <c r="I189" s="28"/>
      <c r="J189" s="28"/>
      <c r="K189" s="32"/>
      <c r="L189" s="50"/>
      <c r="M189" s="50"/>
      <c r="N189" s="50"/>
      <c r="O189" s="50"/>
      <c r="P189" s="124"/>
      <c r="Q189" s="124"/>
      <c r="R189" s="146"/>
      <c r="S189" s="146"/>
      <c r="T189" s="158"/>
    </row>
    <row r="190" spans="1:20" x14ac:dyDescent="0.2">
      <c r="A190" s="33" t="s">
        <v>231</v>
      </c>
      <c r="B190" s="7">
        <v>26351</v>
      </c>
      <c r="C190" s="7">
        <f>B190+($F190*$G190)-1</f>
        <v>26606</v>
      </c>
      <c r="D190" s="168" t="s">
        <v>894</v>
      </c>
      <c r="E190" s="179" t="s">
        <v>755</v>
      </c>
      <c r="F190" s="7">
        <v>256</v>
      </c>
      <c r="G190" s="7">
        <v>1</v>
      </c>
      <c r="H190" s="7"/>
      <c r="I190" s="9">
        <f>(F190*G190)/8</f>
        <v>32</v>
      </c>
      <c r="J190" s="9"/>
      <c r="K190" s="94" t="s">
        <v>884</v>
      </c>
      <c r="L190" s="11" t="s">
        <v>234</v>
      </c>
      <c r="M190" s="11"/>
      <c r="N190" s="11"/>
      <c r="O190" s="11"/>
      <c r="P190" s="136"/>
      <c r="Q190" s="136"/>
      <c r="R190" s="11"/>
      <c r="S190" s="11" t="s">
        <v>1181</v>
      </c>
      <c r="T190" s="117"/>
    </row>
    <row r="191" spans="1:20" x14ac:dyDescent="0.2">
      <c r="A191" s="33"/>
      <c r="B191" s="47">
        <f>B192</f>
        <v>26611</v>
      </c>
      <c r="C191" s="26"/>
      <c r="D191" s="48"/>
      <c r="E191" s="26" t="s">
        <v>1453</v>
      </c>
      <c r="F191" s="26"/>
      <c r="G191" s="26"/>
      <c r="H191" s="26"/>
      <c r="I191" s="28"/>
      <c r="J191" s="28"/>
      <c r="K191" s="32"/>
      <c r="L191" s="50"/>
      <c r="M191" s="50"/>
      <c r="N191" s="50"/>
      <c r="O191" s="50"/>
      <c r="P191" s="124"/>
      <c r="Q191" s="124"/>
      <c r="R191" s="146"/>
      <c r="S191" s="146"/>
      <c r="T191" s="158"/>
    </row>
    <row r="192" spans="1:20" x14ac:dyDescent="0.2">
      <c r="A192" s="33" t="s">
        <v>231</v>
      </c>
      <c r="B192" s="7">
        <v>26611</v>
      </c>
      <c r="C192" s="7">
        <f>B192+($F192*$G192)-1</f>
        <v>26626</v>
      </c>
      <c r="D192" s="168" t="s">
        <v>894</v>
      </c>
      <c r="E192" s="179" t="s">
        <v>219</v>
      </c>
      <c r="F192" s="7">
        <v>16</v>
      </c>
      <c r="G192" s="7">
        <v>1</v>
      </c>
      <c r="H192" s="7"/>
      <c r="I192" s="9">
        <f>(F192*G192)/8</f>
        <v>2</v>
      </c>
      <c r="J192" s="9"/>
      <c r="K192" s="94" t="s">
        <v>393</v>
      </c>
      <c r="L192" s="11" t="s">
        <v>234</v>
      </c>
      <c r="M192" s="11"/>
      <c r="N192" s="11"/>
      <c r="O192" s="11"/>
      <c r="P192" s="136"/>
      <c r="Q192" s="136"/>
      <c r="R192" s="11"/>
      <c r="S192" s="11" t="s">
        <v>1181</v>
      </c>
      <c r="T192" s="117"/>
    </row>
    <row r="193" spans="1:20" x14ac:dyDescent="0.2">
      <c r="A193" s="33"/>
      <c r="B193" s="47">
        <f>B194</f>
        <v>26701</v>
      </c>
      <c r="C193" s="46"/>
      <c r="D193" s="48"/>
      <c r="E193" s="26" t="s">
        <v>1423</v>
      </c>
      <c r="F193" s="46"/>
      <c r="G193" s="46"/>
      <c r="H193" s="46"/>
      <c r="I193" s="48"/>
      <c r="J193" s="48"/>
      <c r="K193" s="32"/>
      <c r="L193" s="49"/>
      <c r="M193" s="49"/>
      <c r="N193" s="49"/>
      <c r="O193" s="32"/>
      <c r="P193" s="120"/>
      <c r="Q193" s="120"/>
      <c r="R193" s="143"/>
      <c r="S193" s="143"/>
      <c r="T193" s="156"/>
    </row>
    <row r="194" spans="1:20" x14ac:dyDescent="0.2">
      <c r="A194" s="33" t="s">
        <v>231</v>
      </c>
      <c r="B194" s="7">
        <v>26701</v>
      </c>
      <c r="C194" s="7">
        <f t="shared" ref="C194:C226" si="14">B194+($F194*$G194)-1</f>
        <v>26732</v>
      </c>
      <c r="D194" s="168" t="s">
        <v>894</v>
      </c>
      <c r="E194" s="179" t="s">
        <v>179</v>
      </c>
      <c r="F194" s="7">
        <v>32</v>
      </c>
      <c r="G194" s="7">
        <v>1</v>
      </c>
      <c r="H194" s="7"/>
      <c r="I194" s="9">
        <f t="shared" ref="I194:I209" si="15">(F194*G194)/8</f>
        <v>4</v>
      </c>
      <c r="J194" s="9"/>
      <c r="K194" s="1" t="s">
        <v>579</v>
      </c>
      <c r="L194" s="11" t="s">
        <v>234</v>
      </c>
      <c r="M194" s="11"/>
      <c r="N194" s="11"/>
      <c r="O194" s="11"/>
      <c r="P194" s="136"/>
      <c r="Q194" s="136"/>
      <c r="R194" s="11"/>
      <c r="S194" s="11" t="s">
        <v>1181</v>
      </c>
      <c r="T194" s="117"/>
    </row>
    <row r="195" spans="1:20" x14ac:dyDescent="0.2">
      <c r="A195" s="33" t="s">
        <v>231</v>
      </c>
      <c r="B195" s="7">
        <f t="shared" ref="B195:B226" si="16">C194+1</f>
        <v>26733</v>
      </c>
      <c r="C195" s="7">
        <f t="shared" si="14"/>
        <v>26764</v>
      </c>
      <c r="D195" s="9" t="s">
        <v>894</v>
      </c>
      <c r="E195" s="8" t="s">
        <v>180</v>
      </c>
      <c r="F195" s="7">
        <v>32</v>
      </c>
      <c r="G195" s="7">
        <v>1</v>
      </c>
      <c r="H195" s="7"/>
      <c r="I195" s="9">
        <f t="shared" si="15"/>
        <v>4</v>
      </c>
      <c r="J195" s="9"/>
      <c r="K195" s="1" t="s">
        <v>579</v>
      </c>
      <c r="L195" s="11" t="s">
        <v>234</v>
      </c>
      <c r="M195" s="11"/>
      <c r="N195" s="11"/>
      <c r="O195" s="11"/>
      <c r="P195" s="136"/>
      <c r="Q195" s="10"/>
      <c r="R195" s="11"/>
      <c r="S195" s="11" t="s">
        <v>1181</v>
      </c>
      <c r="T195" s="157"/>
    </row>
    <row r="196" spans="1:20" x14ac:dyDescent="0.2">
      <c r="A196" s="33" t="s">
        <v>231</v>
      </c>
      <c r="B196" s="7">
        <f t="shared" si="16"/>
        <v>26765</v>
      </c>
      <c r="C196" s="7">
        <f t="shared" si="14"/>
        <v>26796</v>
      </c>
      <c r="D196" s="168" t="s">
        <v>894</v>
      </c>
      <c r="E196" s="179" t="s">
        <v>181</v>
      </c>
      <c r="F196" s="7">
        <v>32</v>
      </c>
      <c r="G196" s="7">
        <v>1</v>
      </c>
      <c r="H196" s="7"/>
      <c r="I196" s="9">
        <f t="shared" si="15"/>
        <v>4</v>
      </c>
      <c r="J196" s="9"/>
      <c r="K196" s="1" t="s">
        <v>579</v>
      </c>
      <c r="L196" s="11" t="s">
        <v>234</v>
      </c>
      <c r="M196" s="11"/>
      <c r="N196" s="11"/>
      <c r="O196" s="11"/>
      <c r="P196" s="136"/>
      <c r="Q196" s="136"/>
      <c r="R196" s="11"/>
      <c r="S196" s="11" t="s">
        <v>1181</v>
      </c>
      <c r="T196" s="117"/>
    </row>
    <row r="197" spans="1:20" x14ac:dyDescent="0.2">
      <c r="A197" s="33" t="s">
        <v>231</v>
      </c>
      <c r="B197" s="7">
        <f t="shared" si="16"/>
        <v>26797</v>
      </c>
      <c r="C197" s="7">
        <f t="shared" si="14"/>
        <v>26828</v>
      </c>
      <c r="D197" s="9" t="s">
        <v>894</v>
      </c>
      <c r="E197" s="8" t="s">
        <v>182</v>
      </c>
      <c r="F197" s="7">
        <v>32</v>
      </c>
      <c r="G197" s="7">
        <v>1</v>
      </c>
      <c r="H197" s="7"/>
      <c r="I197" s="9">
        <f t="shared" si="15"/>
        <v>4</v>
      </c>
      <c r="J197" s="9"/>
      <c r="K197" s="1" t="s">
        <v>579</v>
      </c>
      <c r="L197" s="11" t="s">
        <v>234</v>
      </c>
      <c r="M197" s="11"/>
      <c r="N197" s="11"/>
      <c r="O197" s="11"/>
      <c r="P197" s="136"/>
      <c r="Q197" s="10"/>
      <c r="R197" s="11"/>
      <c r="S197" s="11" t="s">
        <v>1181</v>
      </c>
      <c r="T197" s="157"/>
    </row>
    <row r="198" spans="1:20" x14ac:dyDescent="0.2">
      <c r="A198" s="33" t="s">
        <v>231</v>
      </c>
      <c r="B198" s="7">
        <f t="shared" si="16"/>
        <v>26829</v>
      </c>
      <c r="C198" s="7">
        <f t="shared" si="14"/>
        <v>26860</v>
      </c>
      <c r="D198" s="168" t="s">
        <v>894</v>
      </c>
      <c r="E198" s="179" t="s">
        <v>183</v>
      </c>
      <c r="F198" s="7">
        <v>32</v>
      </c>
      <c r="G198" s="7">
        <v>1</v>
      </c>
      <c r="H198" s="7"/>
      <c r="I198" s="9">
        <f t="shared" si="15"/>
        <v>4</v>
      </c>
      <c r="J198" s="9"/>
      <c r="K198" s="1" t="s">
        <v>579</v>
      </c>
      <c r="L198" s="11" t="s">
        <v>234</v>
      </c>
      <c r="M198" s="11"/>
      <c r="N198" s="11"/>
      <c r="O198" s="11"/>
      <c r="P198" s="136"/>
      <c r="Q198" s="136"/>
      <c r="R198" s="11"/>
      <c r="S198" s="11" t="s">
        <v>1181</v>
      </c>
      <c r="T198" s="117"/>
    </row>
    <row r="199" spans="1:20" x14ac:dyDescent="0.2">
      <c r="A199" s="33" t="s">
        <v>231</v>
      </c>
      <c r="B199" s="7">
        <f t="shared" si="16"/>
        <v>26861</v>
      </c>
      <c r="C199" s="7">
        <f t="shared" si="14"/>
        <v>26892</v>
      </c>
      <c r="D199" s="9" t="s">
        <v>894</v>
      </c>
      <c r="E199" s="8" t="s">
        <v>184</v>
      </c>
      <c r="F199" s="7">
        <v>32</v>
      </c>
      <c r="G199" s="7">
        <v>1</v>
      </c>
      <c r="H199" s="7"/>
      <c r="I199" s="9">
        <f t="shared" si="15"/>
        <v>4</v>
      </c>
      <c r="J199" s="9"/>
      <c r="K199" s="1" t="s">
        <v>579</v>
      </c>
      <c r="L199" s="11" t="s">
        <v>234</v>
      </c>
      <c r="M199" s="11"/>
      <c r="N199" s="11"/>
      <c r="O199" s="11"/>
      <c r="P199" s="136"/>
      <c r="Q199" s="10"/>
      <c r="R199" s="11"/>
      <c r="S199" s="11" t="s">
        <v>1181</v>
      </c>
      <c r="T199" s="157"/>
    </row>
    <row r="200" spans="1:20" x14ac:dyDescent="0.2">
      <c r="A200" s="33" t="s">
        <v>231</v>
      </c>
      <c r="B200" s="7">
        <f t="shared" si="16"/>
        <v>26893</v>
      </c>
      <c r="C200" s="7">
        <f t="shared" si="14"/>
        <v>26924</v>
      </c>
      <c r="D200" s="168" t="s">
        <v>894</v>
      </c>
      <c r="E200" s="179" t="s">
        <v>2109</v>
      </c>
      <c r="F200" s="7">
        <v>32</v>
      </c>
      <c r="G200" s="7">
        <v>1</v>
      </c>
      <c r="H200" s="7"/>
      <c r="I200" s="9">
        <f t="shared" si="15"/>
        <v>4</v>
      </c>
      <c r="J200" s="9"/>
      <c r="K200" s="1" t="s">
        <v>579</v>
      </c>
      <c r="L200" s="11" t="s">
        <v>234</v>
      </c>
      <c r="M200" s="11"/>
      <c r="N200" s="11"/>
      <c r="O200" s="11"/>
      <c r="P200" s="136"/>
      <c r="Q200" s="136"/>
      <c r="R200" s="11"/>
      <c r="S200" s="11" t="s">
        <v>1181</v>
      </c>
      <c r="T200" s="117"/>
    </row>
    <row r="201" spans="1:20" x14ac:dyDescent="0.2">
      <c r="A201" s="33" t="s">
        <v>231</v>
      </c>
      <c r="B201" s="7">
        <f t="shared" si="16"/>
        <v>26925</v>
      </c>
      <c r="C201" s="7">
        <f t="shared" si="14"/>
        <v>26956</v>
      </c>
      <c r="D201" s="9" t="s">
        <v>894</v>
      </c>
      <c r="E201" s="8" t="s">
        <v>2134</v>
      </c>
      <c r="F201" s="7">
        <v>32</v>
      </c>
      <c r="G201" s="7">
        <v>1</v>
      </c>
      <c r="H201" s="7"/>
      <c r="I201" s="9">
        <f t="shared" si="15"/>
        <v>4</v>
      </c>
      <c r="J201" s="9"/>
      <c r="K201" s="1" t="s">
        <v>579</v>
      </c>
      <c r="L201" s="11" t="s">
        <v>234</v>
      </c>
      <c r="M201" s="11"/>
      <c r="N201" s="11"/>
      <c r="O201" s="11"/>
      <c r="P201" s="136"/>
      <c r="Q201" s="10"/>
      <c r="R201" s="11"/>
      <c r="S201" s="11" t="s">
        <v>1181</v>
      </c>
      <c r="T201" s="157"/>
    </row>
    <row r="202" spans="1:20" x14ac:dyDescent="0.2">
      <c r="A202" s="33" t="s">
        <v>231</v>
      </c>
      <c r="B202" s="7">
        <f t="shared" si="16"/>
        <v>26957</v>
      </c>
      <c r="C202" s="7">
        <f t="shared" si="14"/>
        <v>26988</v>
      </c>
      <c r="D202" s="168" t="s">
        <v>894</v>
      </c>
      <c r="E202" s="179" t="s">
        <v>2159</v>
      </c>
      <c r="F202" s="7">
        <v>32</v>
      </c>
      <c r="G202" s="7">
        <v>1</v>
      </c>
      <c r="H202" s="7"/>
      <c r="I202" s="9">
        <f t="shared" si="15"/>
        <v>4</v>
      </c>
      <c r="J202" s="9"/>
      <c r="K202" s="1" t="s">
        <v>579</v>
      </c>
      <c r="L202" s="11" t="s">
        <v>234</v>
      </c>
      <c r="M202" s="11"/>
      <c r="N202" s="11"/>
      <c r="O202" s="11"/>
      <c r="P202" s="136"/>
      <c r="Q202" s="136"/>
      <c r="R202" s="11"/>
      <c r="S202" s="11" t="s">
        <v>1181</v>
      </c>
      <c r="T202" s="117"/>
    </row>
    <row r="203" spans="1:20" x14ac:dyDescent="0.2">
      <c r="A203" s="33" t="s">
        <v>231</v>
      </c>
      <c r="B203" s="7">
        <f t="shared" si="16"/>
        <v>26989</v>
      </c>
      <c r="C203" s="7">
        <f t="shared" si="14"/>
        <v>27020</v>
      </c>
      <c r="D203" s="9" t="s">
        <v>894</v>
      </c>
      <c r="E203" s="8" t="s">
        <v>2184</v>
      </c>
      <c r="F203" s="7">
        <v>32</v>
      </c>
      <c r="G203" s="7">
        <v>1</v>
      </c>
      <c r="H203" s="7"/>
      <c r="I203" s="9">
        <f t="shared" si="15"/>
        <v>4</v>
      </c>
      <c r="J203" s="9"/>
      <c r="K203" s="1" t="s">
        <v>579</v>
      </c>
      <c r="L203" s="11" t="s">
        <v>234</v>
      </c>
      <c r="M203" s="11"/>
      <c r="N203" s="11"/>
      <c r="O203" s="11"/>
      <c r="P203" s="136"/>
      <c r="Q203" s="10"/>
      <c r="R203" s="11"/>
      <c r="S203" s="11" t="s">
        <v>1181</v>
      </c>
      <c r="T203" s="157"/>
    </row>
    <row r="204" spans="1:20" x14ac:dyDescent="0.2">
      <c r="A204" s="33" t="s">
        <v>231</v>
      </c>
      <c r="B204" s="7">
        <f t="shared" si="16"/>
        <v>27021</v>
      </c>
      <c r="C204" s="7">
        <f t="shared" si="14"/>
        <v>27052</v>
      </c>
      <c r="D204" s="168" t="s">
        <v>894</v>
      </c>
      <c r="E204" s="179" t="s">
        <v>2219</v>
      </c>
      <c r="F204" s="7">
        <v>32</v>
      </c>
      <c r="G204" s="7">
        <v>1</v>
      </c>
      <c r="H204" s="7"/>
      <c r="I204" s="9">
        <f t="shared" si="15"/>
        <v>4</v>
      </c>
      <c r="J204" s="9"/>
      <c r="K204" s="1" t="s">
        <v>579</v>
      </c>
      <c r="L204" s="11" t="s">
        <v>234</v>
      </c>
      <c r="M204" s="11"/>
      <c r="N204" s="11"/>
      <c r="O204" s="11"/>
      <c r="P204" s="136"/>
      <c r="Q204" s="136"/>
      <c r="R204" s="11"/>
      <c r="S204" s="11" t="s">
        <v>1181</v>
      </c>
      <c r="T204" s="117"/>
    </row>
    <row r="205" spans="1:20" x14ac:dyDescent="0.2">
      <c r="A205" s="33" t="s">
        <v>231</v>
      </c>
      <c r="B205" s="7">
        <f t="shared" si="16"/>
        <v>27053</v>
      </c>
      <c r="C205" s="7">
        <f t="shared" si="14"/>
        <v>27084</v>
      </c>
      <c r="D205" s="9" t="s">
        <v>894</v>
      </c>
      <c r="E205" s="8" t="s">
        <v>2220</v>
      </c>
      <c r="F205" s="7">
        <v>32</v>
      </c>
      <c r="G205" s="7">
        <v>1</v>
      </c>
      <c r="H205" s="7"/>
      <c r="I205" s="9">
        <f t="shared" si="15"/>
        <v>4</v>
      </c>
      <c r="J205" s="9"/>
      <c r="K205" s="1" t="s">
        <v>579</v>
      </c>
      <c r="L205" s="11" t="s">
        <v>234</v>
      </c>
      <c r="M205" s="11"/>
      <c r="N205" s="11"/>
      <c r="O205" s="11"/>
      <c r="P205" s="136"/>
      <c r="Q205" s="10"/>
      <c r="R205" s="11"/>
      <c r="S205" s="11" t="s">
        <v>1181</v>
      </c>
      <c r="T205" s="157"/>
    </row>
    <row r="206" spans="1:20" x14ac:dyDescent="0.2">
      <c r="A206" s="33" t="s">
        <v>231</v>
      </c>
      <c r="B206" s="7">
        <f t="shared" si="16"/>
        <v>27085</v>
      </c>
      <c r="C206" s="7">
        <f t="shared" si="14"/>
        <v>27116</v>
      </c>
      <c r="D206" s="168" t="s">
        <v>894</v>
      </c>
      <c r="E206" s="179" t="s">
        <v>2221</v>
      </c>
      <c r="F206" s="7">
        <v>32</v>
      </c>
      <c r="G206" s="7">
        <v>1</v>
      </c>
      <c r="H206" s="7"/>
      <c r="I206" s="9">
        <f t="shared" si="15"/>
        <v>4</v>
      </c>
      <c r="J206" s="9"/>
      <c r="K206" s="1" t="s">
        <v>579</v>
      </c>
      <c r="L206" s="11" t="s">
        <v>234</v>
      </c>
      <c r="M206" s="11"/>
      <c r="N206" s="11"/>
      <c r="O206" s="11"/>
      <c r="P206" s="136"/>
      <c r="Q206" s="136"/>
      <c r="R206" s="11"/>
      <c r="S206" s="11" t="s">
        <v>1181</v>
      </c>
      <c r="T206" s="117"/>
    </row>
    <row r="207" spans="1:20" x14ac:dyDescent="0.2">
      <c r="A207" s="33" t="s">
        <v>231</v>
      </c>
      <c r="B207" s="7">
        <f t="shared" si="16"/>
        <v>27117</v>
      </c>
      <c r="C207" s="7">
        <f t="shared" si="14"/>
        <v>27148</v>
      </c>
      <c r="D207" s="9" t="s">
        <v>894</v>
      </c>
      <c r="E207" s="8" t="s">
        <v>2222</v>
      </c>
      <c r="F207" s="7">
        <v>32</v>
      </c>
      <c r="G207" s="7">
        <v>1</v>
      </c>
      <c r="H207" s="7"/>
      <c r="I207" s="9">
        <f t="shared" si="15"/>
        <v>4</v>
      </c>
      <c r="J207" s="9"/>
      <c r="K207" s="1" t="s">
        <v>579</v>
      </c>
      <c r="L207" s="11" t="s">
        <v>234</v>
      </c>
      <c r="M207" s="11"/>
      <c r="N207" s="11"/>
      <c r="O207" s="11"/>
      <c r="P207" s="136"/>
      <c r="Q207" s="10"/>
      <c r="R207" s="11"/>
      <c r="S207" s="11" t="s">
        <v>1181</v>
      </c>
      <c r="T207" s="157"/>
    </row>
    <row r="208" spans="1:20" x14ac:dyDescent="0.2">
      <c r="A208" s="33" t="s">
        <v>231</v>
      </c>
      <c r="B208" s="7">
        <f t="shared" si="16"/>
        <v>27149</v>
      </c>
      <c r="C208" s="7">
        <f t="shared" si="14"/>
        <v>27180</v>
      </c>
      <c r="D208" s="168" t="s">
        <v>894</v>
      </c>
      <c r="E208" s="179" t="s">
        <v>2223</v>
      </c>
      <c r="F208" s="7">
        <v>32</v>
      </c>
      <c r="G208" s="7">
        <v>1</v>
      </c>
      <c r="H208" s="7"/>
      <c r="I208" s="9">
        <f t="shared" si="15"/>
        <v>4</v>
      </c>
      <c r="J208" s="9"/>
      <c r="K208" s="1" t="s">
        <v>579</v>
      </c>
      <c r="L208" s="11" t="s">
        <v>234</v>
      </c>
      <c r="M208" s="11"/>
      <c r="N208" s="11"/>
      <c r="O208" s="11"/>
      <c r="P208" s="136"/>
      <c r="Q208" s="136"/>
      <c r="R208" s="11"/>
      <c r="S208" s="11" t="s">
        <v>1181</v>
      </c>
      <c r="T208" s="117"/>
    </row>
    <row r="209" spans="1:20" x14ac:dyDescent="0.2">
      <c r="A209" s="33" t="s">
        <v>231</v>
      </c>
      <c r="B209" s="7">
        <f t="shared" si="16"/>
        <v>27181</v>
      </c>
      <c r="C209" s="7">
        <f t="shared" si="14"/>
        <v>27212</v>
      </c>
      <c r="D209" s="9" t="s">
        <v>894</v>
      </c>
      <c r="E209" s="8" t="s">
        <v>2224</v>
      </c>
      <c r="F209" s="7">
        <v>32</v>
      </c>
      <c r="G209" s="7">
        <v>1</v>
      </c>
      <c r="H209" s="7"/>
      <c r="I209" s="9">
        <f t="shared" si="15"/>
        <v>4</v>
      </c>
      <c r="J209" s="9"/>
      <c r="K209" s="1" t="s">
        <v>579</v>
      </c>
      <c r="L209" s="11" t="s">
        <v>234</v>
      </c>
      <c r="M209" s="11"/>
      <c r="N209" s="11"/>
      <c r="O209" s="11"/>
      <c r="P209" s="10"/>
      <c r="Q209" s="10"/>
      <c r="R209" s="11"/>
      <c r="S209" s="11" t="s">
        <v>1181</v>
      </c>
      <c r="T209" s="157"/>
    </row>
    <row r="210" spans="1:20" x14ac:dyDescent="0.2">
      <c r="A210" s="33"/>
      <c r="B210" s="47">
        <f>B211</f>
        <v>27301</v>
      </c>
      <c r="C210" s="46"/>
      <c r="D210" s="48"/>
      <c r="E210" s="26" t="s">
        <v>1424</v>
      </c>
      <c r="F210" s="46"/>
      <c r="G210" s="46"/>
      <c r="H210" s="46"/>
      <c r="I210" s="48"/>
      <c r="J210" s="48"/>
      <c r="K210" s="32"/>
      <c r="L210" s="49"/>
      <c r="M210" s="49"/>
      <c r="N210" s="49"/>
      <c r="O210" s="32"/>
      <c r="P210" s="120"/>
      <c r="Q210" s="120"/>
      <c r="R210" s="143"/>
      <c r="S210" s="143"/>
      <c r="T210" s="156"/>
    </row>
    <row r="211" spans="1:20" x14ac:dyDescent="0.2">
      <c r="A211" s="33" t="s">
        <v>231</v>
      </c>
      <c r="B211" s="330">
        <v>27301</v>
      </c>
      <c r="C211" s="330">
        <f t="shared" si="14"/>
        <v>27332</v>
      </c>
      <c r="D211" s="331" t="s">
        <v>894</v>
      </c>
      <c r="E211" s="332" t="s">
        <v>643</v>
      </c>
      <c r="F211" s="330">
        <v>32</v>
      </c>
      <c r="G211" s="330">
        <v>1</v>
      </c>
      <c r="H211" s="330"/>
      <c r="I211" s="333">
        <f t="shared" ref="I211:I226" si="17">(F211*G211)/8</f>
        <v>4</v>
      </c>
      <c r="J211" s="333"/>
      <c r="K211" s="334" t="s">
        <v>579</v>
      </c>
      <c r="L211" s="335" t="s">
        <v>234</v>
      </c>
      <c r="M211" s="335"/>
      <c r="N211" s="335"/>
      <c r="O211" s="11"/>
      <c r="P211" s="336"/>
      <c r="Q211" s="336"/>
      <c r="R211" s="11"/>
      <c r="S211" s="11" t="s">
        <v>1181</v>
      </c>
      <c r="T211" s="338"/>
    </row>
    <row r="212" spans="1:20" ht="11.45" customHeight="1" x14ac:dyDescent="0.2">
      <c r="A212" s="33" t="s">
        <v>231</v>
      </c>
      <c r="B212" s="330">
        <f t="shared" si="16"/>
        <v>27333</v>
      </c>
      <c r="C212" s="330">
        <f t="shared" si="14"/>
        <v>27364</v>
      </c>
      <c r="D212" s="333" t="s">
        <v>894</v>
      </c>
      <c r="E212" s="339" t="s">
        <v>644</v>
      </c>
      <c r="F212" s="330">
        <v>32</v>
      </c>
      <c r="G212" s="330">
        <v>1</v>
      </c>
      <c r="H212" s="330"/>
      <c r="I212" s="333">
        <f t="shared" si="17"/>
        <v>4</v>
      </c>
      <c r="J212" s="333"/>
      <c r="K212" s="334" t="s">
        <v>579</v>
      </c>
      <c r="L212" s="335" t="s">
        <v>234</v>
      </c>
      <c r="M212" s="335"/>
      <c r="N212" s="335"/>
      <c r="O212" s="11"/>
      <c r="P212" s="336"/>
      <c r="Q212" s="340"/>
      <c r="R212" s="11"/>
      <c r="S212" s="11" t="s">
        <v>1181</v>
      </c>
      <c r="T212" s="341"/>
    </row>
    <row r="213" spans="1:20" x14ac:dyDescent="0.2">
      <c r="A213" s="33" t="s">
        <v>231</v>
      </c>
      <c r="B213" s="330">
        <f t="shared" si="16"/>
        <v>27365</v>
      </c>
      <c r="C213" s="330">
        <f t="shared" si="14"/>
        <v>27396</v>
      </c>
      <c r="D213" s="331" t="s">
        <v>894</v>
      </c>
      <c r="E213" s="332" t="s">
        <v>645</v>
      </c>
      <c r="F213" s="330">
        <v>32</v>
      </c>
      <c r="G213" s="330">
        <v>1</v>
      </c>
      <c r="H213" s="330"/>
      <c r="I213" s="333">
        <f t="shared" si="17"/>
        <v>4</v>
      </c>
      <c r="J213" s="333"/>
      <c r="K213" s="334" t="s">
        <v>579</v>
      </c>
      <c r="L213" s="335" t="s">
        <v>234</v>
      </c>
      <c r="M213" s="335"/>
      <c r="N213" s="335"/>
      <c r="O213" s="11"/>
      <c r="P213" s="336"/>
      <c r="Q213" s="336"/>
      <c r="R213" s="11"/>
      <c r="S213" s="11" t="s">
        <v>1181</v>
      </c>
      <c r="T213" s="338"/>
    </row>
    <row r="214" spans="1:20" x14ac:dyDescent="0.2">
      <c r="A214" s="33" t="s">
        <v>231</v>
      </c>
      <c r="B214" s="330">
        <f t="shared" si="16"/>
        <v>27397</v>
      </c>
      <c r="C214" s="330">
        <f t="shared" si="14"/>
        <v>27428</v>
      </c>
      <c r="D214" s="333" t="s">
        <v>894</v>
      </c>
      <c r="E214" s="339" t="s">
        <v>646</v>
      </c>
      <c r="F214" s="330">
        <v>32</v>
      </c>
      <c r="G214" s="330">
        <v>1</v>
      </c>
      <c r="H214" s="330"/>
      <c r="I214" s="333">
        <f t="shared" si="17"/>
        <v>4</v>
      </c>
      <c r="J214" s="333"/>
      <c r="K214" s="334" t="s">
        <v>579</v>
      </c>
      <c r="L214" s="335" t="s">
        <v>234</v>
      </c>
      <c r="M214" s="335"/>
      <c r="N214" s="335"/>
      <c r="O214" s="11"/>
      <c r="P214" s="336"/>
      <c r="Q214" s="340"/>
      <c r="R214" s="11"/>
      <c r="S214" s="11" t="s">
        <v>1181</v>
      </c>
      <c r="T214" s="341"/>
    </row>
    <row r="215" spans="1:20" x14ac:dyDescent="0.2">
      <c r="A215" s="33" t="s">
        <v>231</v>
      </c>
      <c r="B215" s="330">
        <f t="shared" si="16"/>
        <v>27429</v>
      </c>
      <c r="C215" s="330">
        <f t="shared" si="14"/>
        <v>27460</v>
      </c>
      <c r="D215" s="331" t="s">
        <v>894</v>
      </c>
      <c r="E215" s="332" t="s">
        <v>890</v>
      </c>
      <c r="F215" s="330">
        <v>32</v>
      </c>
      <c r="G215" s="330">
        <v>1</v>
      </c>
      <c r="H215" s="330"/>
      <c r="I215" s="333">
        <f t="shared" si="17"/>
        <v>4</v>
      </c>
      <c r="J215" s="333"/>
      <c r="K215" s="334" t="s">
        <v>579</v>
      </c>
      <c r="L215" s="335" t="s">
        <v>234</v>
      </c>
      <c r="M215" s="335"/>
      <c r="N215" s="335"/>
      <c r="O215" s="11"/>
      <c r="P215" s="336"/>
      <c r="Q215" s="336"/>
      <c r="R215" s="11"/>
      <c r="S215" s="11" t="s">
        <v>1181</v>
      </c>
      <c r="T215" s="338"/>
    </row>
    <row r="216" spans="1:20" x14ac:dyDescent="0.2">
      <c r="A216" s="33" t="s">
        <v>231</v>
      </c>
      <c r="B216" s="330">
        <f t="shared" si="16"/>
        <v>27461</v>
      </c>
      <c r="C216" s="330">
        <f t="shared" si="14"/>
        <v>27492</v>
      </c>
      <c r="D216" s="333" t="s">
        <v>894</v>
      </c>
      <c r="E216" s="339" t="s">
        <v>185</v>
      </c>
      <c r="F216" s="330">
        <v>32</v>
      </c>
      <c r="G216" s="330">
        <v>1</v>
      </c>
      <c r="H216" s="330"/>
      <c r="I216" s="333">
        <f t="shared" si="17"/>
        <v>4</v>
      </c>
      <c r="J216" s="333"/>
      <c r="K216" s="334" t="s">
        <v>579</v>
      </c>
      <c r="L216" s="335" t="s">
        <v>234</v>
      </c>
      <c r="M216" s="335"/>
      <c r="N216" s="335"/>
      <c r="O216" s="11"/>
      <c r="P216" s="336"/>
      <c r="Q216" s="340"/>
      <c r="R216" s="11"/>
      <c r="S216" s="11" t="s">
        <v>1181</v>
      </c>
      <c r="T216" s="341"/>
    </row>
    <row r="217" spans="1:20" ht="11.45" customHeight="1" x14ac:dyDescent="0.2">
      <c r="A217" s="33" t="s">
        <v>231</v>
      </c>
      <c r="B217" s="330">
        <f t="shared" si="16"/>
        <v>27493</v>
      </c>
      <c r="C217" s="330">
        <f t="shared" si="14"/>
        <v>27524</v>
      </c>
      <c r="D217" s="331" t="s">
        <v>894</v>
      </c>
      <c r="E217" s="332" t="s">
        <v>2110</v>
      </c>
      <c r="F217" s="330">
        <v>32</v>
      </c>
      <c r="G217" s="330">
        <v>1</v>
      </c>
      <c r="H217" s="330"/>
      <c r="I217" s="333">
        <f t="shared" si="17"/>
        <v>4</v>
      </c>
      <c r="J217" s="333"/>
      <c r="K217" s="334" t="s">
        <v>579</v>
      </c>
      <c r="L217" s="335" t="s">
        <v>234</v>
      </c>
      <c r="M217" s="335"/>
      <c r="N217" s="335"/>
      <c r="O217" s="11"/>
      <c r="P217" s="336"/>
      <c r="Q217" s="336"/>
      <c r="R217" s="11"/>
      <c r="S217" s="11" t="s">
        <v>1181</v>
      </c>
      <c r="T217" s="338"/>
    </row>
    <row r="218" spans="1:20" x14ac:dyDescent="0.2">
      <c r="A218" s="33" t="s">
        <v>231</v>
      </c>
      <c r="B218" s="330">
        <f t="shared" si="16"/>
        <v>27525</v>
      </c>
      <c r="C218" s="330">
        <f t="shared" si="14"/>
        <v>27556</v>
      </c>
      <c r="D218" s="333" t="s">
        <v>894</v>
      </c>
      <c r="E218" s="339" t="s">
        <v>2135</v>
      </c>
      <c r="F218" s="330">
        <v>32</v>
      </c>
      <c r="G218" s="330">
        <v>1</v>
      </c>
      <c r="H218" s="330"/>
      <c r="I218" s="333">
        <f t="shared" si="17"/>
        <v>4</v>
      </c>
      <c r="J218" s="333"/>
      <c r="K218" s="334" t="s">
        <v>579</v>
      </c>
      <c r="L218" s="335" t="s">
        <v>234</v>
      </c>
      <c r="M218" s="335"/>
      <c r="N218" s="335"/>
      <c r="O218" s="11"/>
      <c r="P218" s="336"/>
      <c r="Q218" s="340"/>
      <c r="R218" s="11"/>
      <c r="S218" s="11" t="s">
        <v>1181</v>
      </c>
      <c r="T218" s="341"/>
    </row>
    <row r="219" spans="1:20" x14ac:dyDescent="0.2">
      <c r="A219" s="33" t="s">
        <v>231</v>
      </c>
      <c r="B219" s="330">
        <f t="shared" si="16"/>
        <v>27557</v>
      </c>
      <c r="C219" s="330">
        <f t="shared" si="14"/>
        <v>27588</v>
      </c>
      <c r="D219" s="331" t="s">
        <v>894</v>
      </c>
      <c r="E219" s="332" t="s">
        <v>2160</v>
      </c>
      <c r="F219" s="330">
        <v>32</v>
      </c>
      <c r="G219" s="330">
        <v>1</v>
      </c>
      <c r="H219" s="330"/>
      <c r="I219" s="333">
        <f t="shared" si="17"/>
        <v>4</v>
      </c>
      <c r="J219" s="333"/>
      <c r="K219" s="334" t="s">
        <v>579</v>
      </c>
      <c r="L219" s="335" t="s">
        <v>234</v>
      </c>
      <c r="M219" s="335"/>
      <c r="N219" s="335"/>
      <c r="O219" s="11"/>
      <c r="P219" s="336"/>
      <c r="Q219" s="336"/>
      <c r="R219" s="11"/>
      <c r="S219" s="11" t="s">
        <v>1181</v>
      </c>
      <c r="T219" s="338"/>
    </row>
    <row r="220" spans="1:20" x14ac:dyDescent="0.2">
      <c r="A220" s="33" t="s">
        <v>231</v>
      </c>
      <c r="B220" s="330">
        <f t="shared" si="16"/>
        <v>27589</v>
      </c>
      <c r="C220" s="330">
        <f t="shared" si="14"/>
        <v>27620</v>
      </c>
      <c r="D220" s="333" t="s">
        <v>894</v>
      </c>
      <c r="E220" s="339" t="s">
        <v>2185</v>
      </c>
      <c r="F220" s="330">
        <v>32</v>
      </c>
      <c r="G220" s="330">
        <v>1</v>
      </c>
      <c r="H220" s="330"/>
      <c r="I220" s="333">
        <f t="shared" si="17"/>
        <v>4</v>
      </c>
      <c r="J220" s="333"/>
      <c r="K220" s="334" t="s">
        <v>579</v>
      </c>
      <c r="L220" s="335" t="s">
        <v>234</v>
      </c>
      <c r="M220" s="335"/>
      <c r="N220" s="335"/>
      <c r="O220" s="11"/>
      <c r="P220" s="336"/>
      <c r="Q220" s="340"/>
      <c r="R220" s="11"/>
      <c r="S220" s="11" t="s">
        <v>1181</v>
      </c>
      <c r="T220" s="341"/>
    </row>
    <row r="221" spans="1:20" x14ac:dyDescent="0.2">
      <c r="A221" s="33" t="s">
        <v>231</v>
      </c>
      <c r="B221" s="330">
        <f t="shared" si="16"/>
        <v>27621</v>
      </c>
      <c r="C221" s="330">
        <f t="shared" si="14"/>
        <v>27652</v>
      </c>
      <c r="D221" s="331" t="s">
        <v>894</v>
      </c>
      <c r="E221" s="332" t="s">
        <v>2225</v>
      </c>
      <c r="F221" s="330">
        <v>32</v>
      </c>
      <c r="G221" s="330">
        <v>1</v>
      </c>
      <c r="H221" s="330"/>
      <c r="I221" s="333">
        <f t="shared" si="17"/>
        <v>4</v>
      </c>
      <c r="J221" s="333"/>
      <c r="K221" s="334" t="s">
        <v>579</v>
      </c>
      <c r="L221" s="335" t="s">
        <v>234</v>
      </c>
      <c r="M221" s="335"/>
      <c r="N221" s="335"/>
      <c r="O221" s="11"/>
      <c r="P221" s="336"/>
      <c r="Q221" s="336"/>
      <c r="R221" s="11"/>
      <c r="S221" s="11" t="s">
        <v>1181</v>
      </c>
      <c r="T221" s="338"/>
    </row>
    <row r="222" spans="1:20" x14ac:dyDescent="0.2">
      <c r="A222" s="33" t="s">
        <v>231</v>
      </c>
      <c r="B222" s="330">
        <f t="shared" si="16"/>
        <v>27653</v>
      </c>
      <c r="C222" s="330">
        <f t="shared" si="14"/>
        <v>27684</v>
      </c>
      <c r="D222" s="333" t="s">
        <v>894</v>
      </c>
      <c r="E222" s="339" t="s">
        <v>2226</v>
      </c>
      <c r="F222" s="330">
        <v>32</v>
      </c>
      <c r="G222" s="330">
        <v>1</v>
      </c>
      <c r="H222" s="330"/>
      <c r="I222" s="333">
        <f t="shared" si="17"/>
        <v>4</v>
      </c>
      <c r="J222" s="333"/>
      <c r="K222" s="334" t="s">
        <v>579</v>
      </c>
      <c r="L222" s="335" t="s">
        <v>234</v>
      </c>
      <c r="M222" s="335"/>
      <c r="N222" s="335"/>
      <c r="O222" s="11"/>
      <c r="P222" s="336"/>
      <c r="Q222" s="340"/>
      <c r="R222" s="11"/>
      <c r="S222" s="11" t="s">
        <v>1181</v>
      </c>
      <c r="T222" s="341"/>
    </row>
    <row r="223" spans="1:20" x14ac:dyDescent="0.2">
      <c r="A223" s="33" t="s">
        <v>231</v>
      </c>
      <c r="B223" s="330">
        <f t="shared" si="16"/>
        <v>27685</v>
      </c>
      <c r="C223" s="330">
        <f t="shared" si="14"/>
        <v>27716</v>
      </c>
      <c r="D223" s="331" t="s">
        <v>894</v>
      </c>
      <c r="E223" s="332" t="s">
        <v>2227</v>
      </c>
      <c r="F223" s="330">
        <v>32</v>
      </c>
      <c r="G223" s="330">
        <v>1</v>
      </c>
      <c r="H223" s="330"/>
      <c r="I223" s="333">
        <f t="shared" si="17"/>
        <v>4</v>
      </c>
      <c r="J223" s="333"/>
      <c r="K223" s="334" t="s">
        <v>579</v>
      </c>
      <c r="L223" s="335" t="s">
        <v>234</v>
      </c>
      <c r="M223" s="335"/>
      <c r="N223" s="335"/>
      <c r="O223" s="11"/>
      <c r="P223" s="336"/>
      <c r="Q223" s="336"/>
      <c r="R223" s="11"/>
      <c r="S223" s="11" t="s">
        <v>1181</v>
      </c>
      <c r="T223" s="338"/>
    </row>
    <row r="224" spans="1:20" x14ac:dyDescent="0.2">
      <c r="A224" s="33" t="s">
        <v>231</v>
      </c>
      <c r="B224" s="330">
        <f t="shared" si="16"/>
        <v>27717</v>
      </c>
      <c r="C224" s="330">
        <f t="shared" si="14"/>
        <v>27748</v>
      </c>
      <c r="D224" s="333" t="s">
        <v>894</v>
      </c>
      <c r="E224" s="339" t="s">
        <v>2228</v>
      </c>
      <c r="F224" s="330">
        <v>32</v>
      </c>
      <c r="G224" s="330">
        <v>1</v>
      </c>
      <c r="H224" s="330"/>
      <c r="I224" s="333">
        <f t="shared" si="17"/>
        <v>4</v>
      </c>
      <c r="J224" s="333"/>
      <c r="K224" s="334" t="s">
        <v>579</v>
      </c>
      <c r="L224" s="335" t="s">
        <v>234</v>
      </c>
      <c r="M224" s="335"/>
      <c r="N224" s="335"/>
      <c r="O224" s="11"/>
      <c r="P224" s="336"/>
      <c r="Q224" s="340"/>
      <c r="R224" s="11"/>
      <c r="S224" s="11" t="s">
        <v>1181</v>
      </c>
      <c r="T224" s="341"/>
    </row>
    <row r="225" spans="1:180" x14ac:dyDescent="0.2">
      <c r="A225" s="33" t="s">
        <v>231</v>
      </c>
      <c r="B225" s="330">
        <f t="shared" si="16"/>
        <v>27749</v>
      </c>
      <c r="C225" s="330">
        <f t="shared" si="14"/>
        <v>27780</v>
      </c>
      <c r="D225" s="331" t="s">
        <v>894</v>
      </c>
      <c r="E225" s="332" t="s">
        <v>2229</v>
      </c>
      <c r="F225" s="330">
        <v>32</v>
      </c>
      <c r="G225" s="330">
        <v>1</v>
      </c>
      <c r="H225" s="330"/>
      <c r="I225" s="333">
        <f t="shared" si="17"/>
        <v>4</v>
      </c>
      <c r="J225" s="333"/>
      <c r="K225" s="334" t="s">
        <v>579</v>
      </c>
      <c r="L225" s="335" t="s">
        <v>234</v>
      </c>
      <c r="M225" s="335"/>
      <c r="N225" s="335"/>
      <c r="O225" s="11"/>
      <c r="P225" s="336"/>
      <c r="Q225" s="336"/>
      <c r="R225" s="11"/>
      <c r="S225" s="11" t="s">
        <v>1181</v>
      </c>
      <c r="T225" s="338"/>
    </row>
    <row r="226" spans="1:180" x14ac:dyDescent="0.2">
      <c r="A226" s="33" t="s">
        <v>231</v>
      </c>
      <c r="B226" s="330">
        <f t="shared" si="16"/>
        <v>27781</v>
      </c>
      <c r="C226" s="330">
        <f t="shared" si="14"/>
        <v>27812</v>
      </c>
      <c r="D226" s="333" t="s">
        <v>894</v>
      </c>
      <c r="E226" s="339" t="s">
        <v>2230</v>
      </c>
      <c r="F226" s="330">
        <v>32</v>
      </c>
      <c r="G226" s="330">
        <v>1</v>
      </c>
      <c r="H226" s="330"/>
      <c r="I226" s="333">
        <f t="shared" si="17"/>
        <v>4</v>
      </c>
      <c r="J226" s="333"/>
      <c r="K226" s="334" t="s">
        <v>579</v>
      </c>
      <c r="L226" s="335" t="s">
        <v>234</v>
      </c>
      <c r="M226" s="335"/>
      <c r="N226" s="335"/>
      <c r="O226" s="11"/>
      <c r="P226" s="340"/>
      <c r="Q226" s="340"/>
      <c r="R226" s="11"/>
      <c r="S226" s="11" t="s">
        <v>1181</v>
      </c>
      <c r="T226" s="341"/>
    </row>
    <row r="227" spans="1:180" x14ac:dyDescent="0.2">
      <c r="A227" s="33"/>
      <c r="B227" s="47">
        <f>B228</f>
        <v>27901</v>
      </c>
      <c r="C227" s="46"/>
      <c r="D227" s="48"/>
      <c r="E227" s="26" t="s">
        <v>1425</v>
      </c>
      <c r="F227" s="46"/>
      <c r="G227" s="46"/>
      <c r="H227" s="46"/>
      <c r="I227" s="48"/>
      <c r="J227" s="48"/>
      <c r="K227" s="32"/>
      <c r="L227" s="49"/>
      <c r="M227" s="49"/>
      <c r="N227" s="49"/>
      <c r="O227" s="32"/>
      <c r="P227" s="120"/>
      <c r="Q227" s="120"/>
      <c r="R227" s="143"/>
      <c r="S227" s="143"/>
      <c r="T227" s="156"/>
    </row>
    <row r="228" spans="1:180" x14ac:dyDescent="0.2">
      <c r="A228" s="33" t="s">
        <v>231</v>
      </c>
      <c r="B228" s="330">
        <v>27901</v>
      </c>
      <c r="C228" s="330">
        <f t="shared" ref="C228:C260" si="18">B228+($F228*$G228)-1</f>
        <v>27932</v>
      </c>
      <c r="D228" s="331" t="s">
        <v>894</v>
      </c>
      <c r="E228" s="332" t="s">
        <v>726</v>
      </c>
      <c r="F228" s="330">
        <v>32</v>
      </c>
      <c r="G228" s="330">
        <v>1</v>
      </c>
      <c r="H228" s="330"/>
      <c r="I228" s="333">
        <f t="shared" ref="I228:I243" si="19">(F228*G228)/8</f>
        <v>4</v>
      </c>
      <c r="J228" s="333"/>
      <c r="K228" s="334" t="s">
        <v>579</v>
      </c>
      <c r="L228" s="335" t="s">
        <v>234</v>
      </c>
      <c r="M228" s="335"/>
      <c r="N228" s="335"/>
      <c r="O228" s="11"/>
      <c r="P228" s="336"/>
      <c r="Q228" s="336"/>
      <c r="R228" s="11"/>
      <c r="S228" s="11" t="s">
        <v>1181</v>
      </c>
      <c r="T228" s="338"/>
    </row>
    <row r="229" spans="1:180" ht="11.45" customHeight="1" x14ac:dyDescent="0.2">
      <c r="A229" s="33" t="s">
        <v>231</v>
      </c>
      <c r="B229" s="330">
        <f t="shared" ref="B229:B260" si="20">C228+1</f>
        <v>27933</v>
      </c>
      <c r="C229" s="330">
        <f t="shared" si="18"/>
        <v>27964</v>
      </c>
      <c r="D229" s="333" t="s">
        <v>894</v>
      </c>
      <c r="E229" s="339" t="s">
        <v>727</v>
      </c>
      <c r="F229" s="330">
        <v>32</v>
      </c>
      <c r="G229" s="330">
        <v>1</v>
      </c>
      <c r="H229" s="330"/>
      <c r="I229" s="333">
        <f t="shared" si="19"/>
        <v>4</v>
      </c>
      <c r="J229" s="333"/>
      <c r="K229" s="334" t="s">
        <v>579</v>
      </c>
      <c r="L229" s="335" t="s">
        <v>234</v>
      </c>
      <c r="M229" s="335"/>
      <c r="N229" s="335"/>
      <c r="O229" s="11"/>
      <c r="P229" s="336"/>
      <c r="Q229" s="340"/>
      <c r="R229" s="11"/>
      <c r="S229" s="11" t="s">
        <v>1181</v>
      </c>
      <c r="T229" s="341"/>
    </row>
    <row r="230" spans="1:180" x14ac:dyDescent="0.2">
      <c r="A230" s="33" t="s">
        <v>231</v>
      </c>
      <c r="B230" s="330">
        <f t="shared" si="20"/>
        <v>27965</v>
      </c>
      <c r="C230" s="330">
        <f t="shared" si="18"/>
        <v>27996</v>
      </c>
      <c r="D230" s="331" t="s">
        <v>894</v>
      </c>
      <c r="E230" s="332" t="s">
        <v>728</v>
      </c>
      <c r="F230" s="330">
        <v>32</v>
      </c>
      <c r="G230" s="330">
        <v>1</v>
      </c>
      <c r="H230" s="330"/>
      <c r="I230" s="333">
        <f t="shared" si="19"/>
        <v>4</v>
      </c>
      <c r="J230" s="333"/>
      <c r="K230" s="334" t="s">
        <v>579</v>
      </c>
      <c r="L230" s="335" t="s">
        <v>234</v>
      </c>
      <c r="M230" s="335"/>
      <c r="N230" s="335"/>
      <c r="O230" s="11"/>
      <c r="P230" s="336"/>
      <c r="Q230" s="336"/>
      <c r="R230" s="11"/>
      <c r="S230" s="11" t="s">
        <v>1181</v>
      </c>
      <c r="T230" s="338"/>
    </row>
    <row r="231" spans="1:180" ht="11.45" customHeight="1" x14ac:dyDescent="0.2">
      <c r="A231" s="33" t="s">
        <v>231</v>
      </c>
      <c r="B231" s="330">
        <f t="shared" si="20"/>
        <v>27997</v>
      </c>
      <c r="C231" s="330">
        <f t="shared" si="18"/>
        <v>28028</v>
      </c>
      <c r="D231" s="333" t="s">
        <v>894</v>
      </c>
      <c r="E231" s="339" t="s">
        <v>394</v>
      </c>
      <c r="F231" s="330">
        <v>32</v>
      </c>
      <c r="G231" s="330">
        <v>1</v>
      </c>
      <c r="H231" s="330"/>
      <c r="I231" s="333">
        <f t="shared" si="19"/>
        <v>4</v>
      </c>
      <c r="J231" s="333"/>
      <c r="K231" s="334" t="s">
        <v>579</v>
      </c>
      <c r="L231" s="335" t="s">
        <v>234</v>
      </c>
      <c r="M231" s="335"/>
      <c r="N231" s="335"/>
      <c r="O231" s="11"/>
      <c r="P231" s="336"/>
      <c r="Q231" s="340"/>
      <c r="R231" s="11"/>
      <c r="S231" s="11" t="s">
        <v>1181</v>
      </c>
      <c r="T231" s="341"/>
    </row>
    <row r="232" spans="1:180" ht="11.45" customHeight="1" x14ac:dyDescent="0.2">
      <c r="A232" s="33" t="s">
        <v>231</v>
      </c>
      <c r="B232" s="330">
        <f t="shared" si="20"/>
        <v>28029</v>
      </c>
      <c r="C232" s="330">
        <f t="shared" si="18"/>
        <v>28060</v>
      </c>
      <c r="D232" s="331" t="s">
        <v>894</v>
      </c>
      <c r="E232" s="332" t="s">
        <v>395</v>
      </c>
      <c r="F232" s="330">
        <v>32</v>
      </c>
      <c r="G232" s="330">
        <v>1</v>
      </c>
      <c r="H232" s="330"/>
      <c r="I232" s="333">
        <f t="shared" si="19"/>
        <v>4</v>
      </c>
      <c r="J232" s="333"/>
      <c r="K232" s="334" t="s">
        <v>579</v>
      </c>
      <c r="L232" s="335" t="s">
        <v>234</v>
      </c>
      <c r="M232" s="335"/>
      <c r="N232" s="335"/>
      <c r="O232" s="11"/>
      <c r="P232" s="336"/>
      <c r="Q232" s="336"/>
      <c r="R232" s="11"/>
      <c r="S232" s="11" t="s">
        <v>1181</v>
      </c>
      <c r="T232" s="338"/>
    </row>
    <row r="233" spans="1:180" ht="11.45" customHeight="1" x14ac:dyDescent="0.2">
      <c r="A233" s="33" t="s">
        <v>231</v>
      </c>
      <c r="B233" s="330">
        <f t="shared" si="20"/>
        <v>28061</v>
      </c>
      <c r="C233" s="330">
        <f t="shared" si="18"/>
        <v>28092</v>
      </c>
      <c r="D233" s="333" t="s">
        <v>894</v>
      </c>
      <c r="E233" s="339" t="s">
        <v>396</v>
      </c>
      <c r="F233" s="330">
        <v>32</v>
      </c>
      <c r="G233" s="330">
        <v>1</v>
      </c>
      <c r="H233" s="330"/>
      <c r="I233" s="333">
        <f t="shared" si="19"/>
        <v>4</v>
      </c>
      <c r="J233" s="333"/>
      <c r="K233" s="334" t="s">
        <v>579</v>
      </c>
      <c r="L233" s="335" t="s">
        <v>234</v>
      </c>
      <c r="M233" s="335"/>
      <c r="N233" s="335"/>
      <c r="O233" s="11"/>
      <c r="P233" s="336"/>
      <c r="Q233" s="340"/>
      <c r="R233" s="11"/>
      <c r="S233" s="11" t="s">
        <v>1181</v>
      </c>
      <c r="T233" s="341"/>
    </row>
    <row r="234" spans="1:180" ht="11.45" customHeight="1" x14ac:dyDescent="0.2">
      <c r="A234" s="33" t="s">
        <v>231</v>
      </c>
      <c r="B234" s="330">
        <f t="shared" si="20"/>
        <v>28093</v>
      </c>
      <c r="C234" s="330">
        <f t="shared" si="18"/>
        <v>28124</v>
      </c>
      <c r="D234" s="331" t="s">
        <v>894</v>
      </c>
      <c r="E234" s="332" t="s">
        <v>2111</v>
      </c>
      <c r="F234" s="330">
        <v>32</v>
      </c>
      <c r="G234" s="330">
        <v>1</v>
      </c>
      <c r="H234" s="330"/>
      <c r="I234" s="333">
        <f t="shared" si="19"/>
        <v>4</v>
      </c>
      <c r="J234" s="333"/>
      <c r="K234" s="334" t="s">
        <v>579</v>
      </c>
      <c r="L234" s="335" t="s">
        <v>234</v>
      </c>
      <c r="M234" s="335"/>
      <c r="N234" s="335"/>
      <c r="O234" s="11"/>
      <c r="P234" s="336"/>
      <c r="Q234" s="336"/>
      <c r="R234" s="11"/>
      <c r="S234" s="11" t="s">
        <v>1181</v>
      </c>
      <c r="T234" s="338"/>
    </row>
    <row r="235" spans="1:180" ht="11.45" customHeight="1" x14ac:dyDescent="0.2">
      <c r="A235" s="33" t="s">
        <v>231</v>
      </c>
      <c r="B235" s="330">
        <f t="shared" si="20"/>
        <v>28125</v>
      </c>
      <c r="C235" s="330">
        <f t="shared" si="18"/>
        <v>28156</v>
      </c>
      <c r="D235" s="333" t="s">
        <v>894</v>
      </c>
      <c r="E235" s="339" t="s">
        <v>2136</v>
      </c>
      <c r="F235" s="330">
        <v>32</v>
      </c>
      <c r="G235" s="330">
        <v>1</v>
      </c>
      <c r="H235" s="330"/>
      <c r="I235" s="333">
        <f t="shared" si="19"/>
        <v>4</v>
      </c>
      <c r="J235" s="333"/>
      <c r="K235" s="334" t="s">
        <v>579</v>
      </c>
      <c r="L235" s="335" t="s">
        <v>234</v>
      </c>
      <c r="M235" s="335"/>
      <c r="N235" s="335"/>
      <c r="O235" s="11"/>
      <c r="P235" s="336"/>
      <c r="Q235" s="340"/>
      <c r="R235" s="11"/>
      <c r="S235" s="11" t="s">
        <v>1181</v>
      </c>
      <c r="T235" s="341"/>
    </row>
    <row r="236" spans="1:180" ht="11.45" customHeight="1" x14ac:dyDescent="0.2">
      <c r="A236" s="33" t="s">
        <v>231</v>
      </c>
      <c r="B236" s="330">
        <f t="shared" si="20"/>
        <v>28157</v>
      </c>
      <c r="C236" s="330">
        <f t="shared" si="18"/>
        <v>28188</v>
      </c>
      <c r="D236" s="331" t="s">
        <v>894</v>
      </c>
      <c r="E236" s="332" t="s">
        <v>2161</v>
      </c>
      <c r="F236" s="330">
        <v>32</v>
      </c>
      <c r="G236" s="330">
        <v>1</v>
      </c>
      <c r="H236" s="330"/>
      <c r="I236" s="333">
        <f t="shared" si="19"/>
        <v>4</v>
      </c>
      <c r="J236" s="333"/>
      <c r="K236" s="334" t="s">
        <v>579</v>
      </c>
      <c r="L236" s="335" t="s">
        <v>234</v>
      </c>
      <c r="M236" s="335"/>
      <c r="N236" s="335"/>
      <c r="O236" s="11"/>
      <c r="P236" s="336"/>
      <c r="Q236" s="336"/>
      <c r="R236" s="11"/>
      <c r="S236" s="11" t="s">
        <v>1181</v>
      </c>
      <c r="T236" s="338"/>
    </row>
    <row r="237" spans="1:180" ht="11.45" customHeight="1" x14ac:dyDescent="0.2">
      <c r="A237" s="33" t="s">
        <v>231</v>
      </c>
      <c r="B237" s="330">
        <f t="shared" si="20"/>
        <v>28189</v>
      </c>
      <c r="C237" s="330">
        <f t="shared" si="18"/>
        <v>28220</v>
      </c>
      <c r="D237" s="333" t="s">
        <v>894</v>
      </c>
      <c r="E237" s="339" t="s">
        <v>2186</v>
      </c>
      <c r="F237" s="330">
        <v>32</v>
      </c>
      <c r="G237" s="330">
        <v>1</v>
      </c>
      <c r="H237" s="330"/>
      <c r="I237" s="333">
        <f t="shared" si="19"/>
        <v>4</v>
      </c>
      <c r="J237" s="333"/>
      <c r="K237" s="334" t="s">
        <v>579</v>
      </c>
      <c r="L237" s="335" t="s">
        <v>234</v>
      </c>
      <c r="M237" s="335"/>
      <c r="N237" s="335"/>
      <c r="O237" s="11"/>
      <c r="P237" s="336"/>
      <c r="Q237" s="340"/>
      <c r="R237" s="11"/>
      <c r="S237" s="11" t="s">
        <v>1181</v>
      </c>
      <c r="T237" s="341"/>
    </row>
    <row r="238" spans="1:180" ht="11.45" customHeight="1" x14ac:dyDescent="0.2">
      <c r="A238" s="33" t="s">
        <v>231</v>
      </c>
      <c r="B238" s="330">
        <f t="shared" si="20"/>
        <v>28221</v>
      </c>
      <c r="C238" s="330">
        <f t="shared" si="18"/>
        <v>28252</v>
      </c>
      <c r="D238" s="331" t="s">
        <v>894</v>
      </c>
      <c r="E238" s="332" t="s">
        <v>2231</v>
      </c>
      <c r="F238" s="330">
        <v>32</v>
      </c>
      <c r="G238" s="330">
        <v>1</v>
      </c>
      <c r="H238" s="330"/>
      <c r="I238" s="333">
        <f t="shared" si="19"/>
        <v>4</v>
      </c>
      <c r="J238" s="333"/>
      <c r="K238" s="334" t="s">
        <v>579</v>
      </c>
      <c r="L238" s="335" t="s">
        <v>234</v>
      </c>
      <c r="M238" s="335"/>
      <c r="N238" s="335"/>
      <c r="O238" s="11"/>
      <c r="P238" s="336"/>
      <c r="Q238" s="336"/>
      <c r="R238" s="11"/>
      <c r="S238" s="11" t="s">
        <v>1181</v>
      </c>
      <c r="T238" s="338"/>
    </row>
    <row r="239" spans="1:180" ht="11.45" customHeight="1" x14ac:dyDescent="0.2">
      <c r="A239" s="33" t="s">
        <v>231</v>
      </c>
      <c r="B239" s="330">
        <f t="shared" si="20"/>
        <v>28253</v>
      </c>
      <c r="C239" s="330">
        <f t="shared" si="18"/>
        <v>28284</v>
      </c>
      <c r="D239" s="333" t="s">
        <v>894</v>
      </c>
      <c r="E239" s="339" t="s">
        <v>2232</v>
      </c>
      <c r="F239" s="330">
        <v>32</v>
      </c>
      <c r="G239" s="330">
        <v>1</v>
      </c>
      <c r="H239" s="330"/>
      <c r="I239" s="333">
        <f t="shared" si="19"/>
        <v>4</v>
      </c>
      <c r="J239" s="333"/>
      <c r="K239" s="334" t="s">
        <v>579</v>
      </c>
      <c r="L239" s="335" t="s">
        <v>234</v>
      </c>
      <c r="M239" s="335"/>
      <c r="N239" s="335"/>
      <c r="O239" s="11"/>
      <c r="P239" s="336"/>
      <c r="Q239" s="340"/>
      <c r="R239" s="11"/>
      <c r="S239" s="11" t="s">
        <v>1181</v>
      </c>
      <c r="T239" s="341"/>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c r="DU239" s="18"/>
      <c r="DV239" s="18"/>
      <c r="DW239" s="18"/>
      <c r="DX239" s="18"/>
      <c r="DY239" s="18"/>
      <c r="DZ239" s="18"/>
      <c r="EA239" s="18"/>
      <c r="EB239" s="18"/>
      <c r="EC239" s="18"/>
      <c r="ED239" s="18"/>
      <c r="EE239" s="18"/>
      <c r="EF239" s="18"/>
      <c r="EG239" s="18"/>
      <c r="EH239" s="18"/>
      <c r="EI239" s="18"/>
      <c r="EJ239" s="18"/>
      <c r="EK239" s="18"/>
      <c r="EL239" s="18"/>
      <c r="EM239" s="18"/>
      <c r="EN239" s="18"/>
      <c r="EO239" s="18"/>
      <c r="EP239" s="18"/>
      <c r="EQ239" s="18"/>
      <c r="ER239" s="18"/>
      <c r="ES239" s="18"/>
      <c r="ET239" s="18"/>
      <c r="EU239" s="18"/>
      <c r="EV239" s="18"/>
      <c r="EW239" s="18"/>
      <c r="EX239" s="18"/>
      <c r="EY239" s="18"/>
      <c r="EZ239" s="18"/>
      <c r="FA239" s="18"/>
      <c r="FB239" s="18"/>
      <c r="FC239" s="18"/>
      <c r="FD239" s="18"/>
      <c r="FE239" s="18"/>
      <c r="FF239" s="18"/>
      <c r="FG239" s="18"/>
      <c r="FH239" s="18"/>
      <c r="FI239" s="18"/>
      <c r="FJ239" s="18"/>
      <c r="FK239" s="18"/>
      <c r="FL239" s="18"/>
      <c r="FM239" s="18"/>
      <c r="FN239" s="18"/>
      <c r="FO239" s="18"/>
      <c r="FP239" s="18"/>
      <c r="FQ239" s="18"/>
      <c r="FR239" s="18"/>
      <c r="FS239" s="18"/>
      <c r="FT239" s="18"/>
      <c r="FU239" s="18"/>
      <c r="FV239" s="18"/>
      <c r="FW239" s="18"/>
      <c r="FX239" s="18"/>
    </row>
    <row r="240" spans="1:180" ht="11.45" customHeight="1" x14ac:dyDescent="0.2">
      <c r="A240" s="33" t="s">
        <v>231</v>
      </c>
      <c r="B240" s="330">
        <f t="shared" si="20"/>
        <v>28285</v>
      </c>
      <c r="C240" s="330">
        <f t="shared" si="18"/>
        <v>28316</v>
      </c>
      <c r="D240" s="331" t="s">
        <v>894</v>
      </c>
      <c r="E240" s="332" t="s">
        <v>2233</v>
      </c>
      <c r="F240" s="330">
        <v>32</v>
      </c>
      <c r="G240" s="330">
        <v>1</v>
      </c>
      <c r="H240" s="330"/>
      <c r="I240" s="333">
        <f t="shared" si="19"/>
        <v>4</v>
      </c>
      <c r="J240" s="333"/>
      <c r="K240" s="334" t="s">
        <v>579</v>
      </c>
      <c r="L240" s="335" t="s">
        <v>234</v>
      </c>
      <c r="M240" s="335"/>
      <c r="N240" s="335"/>
      <c r="O240" s="11"/>
      <c r="P240" s="336"/>
      <c r="Q240" s="336"/>
      <c r="R240" s="11"/>
      <c r="S240" s="11" t="s">
        <v>1181</v>
      </c>
      <c r="T240" s="33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c r="DU240" s="18"/>
      <c r="DV240" s="18"/>
      <c r="DW240" s="18"/>
      <c r="DX240" s="18"/>
      <c r="DY240" s="18"/>
      <c r="DZ240" s="18"/>
      <c r="EA240" s="18"/>
      <c r="EB240" s="18"/>
      <c r="EC240" s="18"/>
      <c r="ED240" s="18"/>
      <c r="EE240" s="18"/>
      <c r="EF240" s="18"/>
      <c r="EG240" s="18"/>
      <c r="EH240" s="18"/>
      <c r="EI240" s="18"/>
      <c r="EJ240" s="18"/>
      <c r="EK240" s="18"/>
      <c r="EL240" s="18"/>
      <c r="EM240" s="18"/>
      <c r="EN240" s="18"/>
      <c r="EO240" s="18"/>
      <c r="EP240" s="18"/>
      <c r="EQ240" s="18"/>
      <c r="ER240" s="18"/>
      <c r="ES240" s="18"/>
      <c r="ET240" s="18"/>
      <c r="EU240" s="18"/>
      <c r="EV240" s="18"/>
      <c r="EW240" s="18"/>
      <c r="EX240" s="18"/>
      <c r="EY240" s="18"/>
      <c r="EZ240" s="18"/>
      <c r="FA240" s="18"/>
      <c r="FB240" s="18"/>
      <c r="FC240" s="18"/>
      <c r="FD240" s="18"/>
      <c r="FE240" s="18"/>
      <c r="FF240" s="18"/>
      <c r="FG240" s="18"/>
      <c r="FH240" s="18"/>
      <c r="FI240" s="18"/>
      <c r="FJ240" s="18"/>
      <c r="FK240" s="18"/>
      <c r="FL240" s="18"/>
      <c r="FM240" s="18"/>
      <c r="FN240" s="18"/>
      <c r="FO240" s="18"/>
      <c r="FP240" s="18"/>
      <c r="FQ240" s="18"/>
      <c r="FR240" s="18"/>
      <c r="FS240" s="18"/>
      <c r="FT240" s="18"/>
      <c r="FU240" s="18"/>
      <c r="FV240" s="18"/>
      <c r="FW240" s="18"/>
      <c r="FX240" s="18"/>
    </row>
    <row r="241" spans="1:180" ht="11.45" customHeight="1" x14ac:dyDescent="0.2">
      <c r="A241" s="33" t="s">
        <v>231</v>
      </c>
      <c r="B241" s="330">
        <f t="shared" si="20"/>
        <v>28317</v>
      </c>
      <c r="C241" s="330">
        <f t="shared" si="18"/>
        <v>28348</v>
      </c>
      <c r="D241" s="333" t="s">
        <v>894</v>
      </c>
      <c r="E241" s="339" t="s">
        <v>2234</v>
      </c>
      <c r="F241" s="330">
        <v>32</v>
      </c>
      <c r="G241" s="330">
        <v>1</v>
      </c>
      <c r="H241" s="330"/>
      <c r="I241" s="333">
        <f t="shared" si="19"/>
        <v>4</v>
      </c>
      <c r="J241" s="333"/>
      <c r="K241" s="334" t="s">
        <v>579</v>
      </c>
      <c r="L241" s="335" t="s">
        <v>234</v>
      </c>
      <c r="M241" s="335"/>
      <c r="N241" s="335"/>
      <c r="O241" s="11"/>
      <c r="P241" s="336"/>
      <c r="Q241" s="340"/>
      <c r="R241" s="11"/>
      <c r="S241" s="11" t="s">
        <v>1181</v>
      </c>
      <c r="T241" s="341"/>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c r="DU241" s="18"/>
      <c r="DV241" s="18"/>
      <c r="DW241" s="18"/>
      <c r="DX241" s="18"/>
      <c r="DY241" s="18"/>
      <c r="DZ241" s="18"/>
      <c r="EA241" s="18"/>
      <c r="EB241" s="18"/>
      <c r="EC241" s="18"/>
      <c r="ED241" s="18"/>
      <c r="EE241" s="18"/>
      <c r="EF241" s="18"/>
      <c r="EG241" s="18"/>
      <c r="EH241" s="18"/>
      <c r="EI241" s="18"/>
      <c r="EJ241" s="18"/>
      <c r="EK241" s="18"/>
      <c r="EL241" s="18"/>
      <c r="EM241" s="18"/>
      <c r="EN241" s="18"/>
      <c r="EO241" s="18"/>
      <c r="EP241" s="18"/>
      <c r="EQ241" s="18"/>
      <c r="ER241" s="18"/>
      <c r="ES241" s="18"/>
      <c r="ET241" s="18"/>
      <c r="EU241" s="18"/>
      <c r="EV241" s="18"/>
      <c r="EW241" s="18"/>
      <c r="EX241" s="18"/>
      <c r="EY241" s="18"/>
      <c r="EZ241" s="18"/>
      <c r="FA241" s="18"/>
      <c r="FB241" s="18"/>
      <c r="FC241" s="18"/>
      <c r="FD241" s="18"/>
      <c r="FE241" s="18"/>
      <c r="FF241" s="18"/>
      <c r="FG241" s="18"/>
      <c r="FH241" s="18"/>
      <c r="FI241" s="18"/>
      <c r="FJ241" s="18"/>
      <c r="FK241" s="18"/>
      <c r="FL241" s="18"/>
      <c r="FM241" s="18"/>
      <c r="FN241" s="18"/>
      <c r="FO241" s="18"/>
      <c r="FP241" s="18"/>
      <c r="FQ241" s="18"/>
      <c r="FR241" s="18"/>
      <c r="FS241" s="18"/>
      <c r="FT241" s="18"/>
      <c r="FU241" s="18"/>
      <c r="FV241" s="18"/>
      <c r="FW241" s="18"/>
      <c r="FX241" s="18"/>
    </row>
    <row r="242" spans="1:180" ht="11.45" customHeight="1" x14ac:dyDescent="0.2">
      <c r="A242" s="33" t="s">
        <v>231</v>
      </c>
      <c r="B242" s="330">
        <f t="shared" si="20"/>
        <v>28349</v>
      </c>
      <c r="C242" s="330">
        <f t="shared" si="18"/>
        <v>28380</v>
      </c>
      <c r="D242" s="331" t="s">
        <v>894</v>
      </c>
      <c r="E242" s="332" t="s">
        <v>2235</v>
      </c>
      <c r="F242" s="330">
        <v>32</v>
      </c>
      <c r="G242" s="330">
        <v>1</v>
      </c>
      <c r="H242" s="330"/>
      <c r="I242" s="333">
        <f t="shared" si="19"/>
        <v>4</v>
      </c>
      <c r="J242" s="333"/>
      <c r="K242" s="334" t="s">
        <v>579</v>
      </c>
      <c r="L242" s="335" t="s">
        <v>234</v>
      </c>
      <c r="M242" s="335"/>
      <c r="N242" s="335"/>
      <c r="O242" s="11"/>
      <c r="P242" s="336"/>
      <c r="Q242" s="336"/>
      <c r="R242" s="11"/>
      <c r="S242" s="11" t="s">
        <v>1181</v>
      </c>
      <c r="T242" s="33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c r="DU242" s="18"/>
      <c r="DV242" s="18"/>
      <c r="DW242" s="18"/>
      <c r="DX242" s="18"/>
      <c r="DY242" s="18"/>
      <c r="DZ242" s="18"/>
      <c r="EA242" s="18"/>
      <c r="EB242" s="18"/>
      <c r="EC242" s="18"/>
      <c r="ED242" s="18"/>
      <c r="EE242" s="18"/>
      <c r="EF242" s="18"/>
      <c r="EG242" s="18"/>
      <c r="EH242" s="18"/>
      <c r="EI242" s="18"/>
      <c r="EJ242" s="18"/>
      <c r="EK242" s="18"/>
      <c r="EL242" s="18"/>
      <c r="EM242" s="18"/>
      <c r="EN242" s="18"/>
      <c r="EO242" s="18"/>
      <c r="EP242" s="18"/>
      <c r="EQ242" s="18"/>
      <c r="ER242" s="18"/>
      <c r="ES242" s="18"/>
      <c r="ET242" s="18"/>
      <c r="EU242" s="18"/>
      <c r="EV242" s="18"/>
      <c r="EW242" s="18"/>
      <c r="EX242" s="18"/>
      <c r="EY242" s="18"/>
      <c r="EZ242" s="18"/>
      <c r="FA242" s="18"/>
      <c r="FB242" s="18"/>
      <c r="FC242" s="18"/>
      <c r="FD242" s="18"/>
      <c r="FE242" s="18"/>
      <c r="FF242" s="18"/>
      <c r="FG242" s="18"/>
      <c r="FH242" s="18"/>
      <c r="FI242" s="18"/>
      <c r="FJ242" s="18"/>
      <c r="FK242" s="18"/>
      <c r="FL242" s="18"/>
      <c r="FM242" s="18"/>
      <c r="FN242" s="18"/>
      <c r="FO242" s="18"/>
      <c r="FP242" s="18"/>
      <c r="FQ242" s="18"/>
      <c r="FR242" s="18"/>
      <c r="FS242" s="18"/>
      <c r="FT242" s="18"/>
      <c r="FU242" s="18"/>
      <c r="FV242" s="18"/>
      <c r="FW242" s="18"/>
      <c r="FX242" s="18"/>
    </row>
    <row r="243" spans="1:180" ht="11.45" customHeight="1" x14ac:dyDescent="0.2">
      <c r="A243" s="33" t="s">
        <v>231</v>
      </c>
      <c r="B243" s="330">
        <f t="shared" si="20"/>
        <v>28381</v>
      </c>
      <c r="C243" s="330">
        <f t="shared" si="18"/>
        <v>28412</v>
      </c>
      <c r="D243" s="333" t="s">
        <v>894</v>
      </c>
      <c r="E243" s="339" t="s">
        <v>2236</v>
      </c>
      <c r="F243" s="330">
        <v>32</v>
      </c>
      <c r="G243" s="330">
        <v>1</v>
      </c>
      <c r="H243" s="330"/>
      <c r="I243" s="333">
        <f t="shared" si="19"/>
        <v>4</v>
      </c>
      <c r="J243" s="333"/>
      <c r="K243" s="334" t="s">
        <v>579</v>
      </c>
      <c r="L243" s="335" t="s">
        <v>234</v>
      </c>
      <c r="M243" s="335"/>
      <c r="N243" s="335"/>
      <c r="O243" s="11"/>
      <c r="P243" s="340"/>
      <c r="Q243" s="340"/>
      <c r="R243" s="11"/>
      <c r="S243" s="11" t="s">
        <v>1181</v>
      </c>
      <c r="T243" s="341"/>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c r="DU243" s="18"/>
      <c r="DV243" s="18"/>
      <c r="DW243" s="18"/>
      <c r="DX243" s="18"/>
      <c r="DY243" s="18"/>
      <c r="DZ243" s="18"/>
      <c r="EA243" s="18"/>
      <c r="EB243" s="18"/>
      <c r="EC243" s="18"/>
      <c r="ED243" s="18"/>
      <c r="EE243" s="18"/>
      <c r="EF243" s="18"/>
      <c r="EG243" s="18"/>
      <c r="EH243" s="18"/>
      <c r="EI243" s="18"/>
      <c r="EJ243" s="18"/>
      <c r="EK243" s="18"/>
      <c r="EL243" s="18"/>
      <c r="EM243" s="18"/>
      <c r="EN243" s="18"/>
      <c r="EO243" s="18"/>
      <c r="EP243" s="18"/>
      <c r="EQ243" s="18"/>
      <c r="ER243" s="18"/>
      <c r="ES243" s="18"/>
      <c r="ET243" s="18"/>
      <c r="EU243" s="18"/>
      <c r="EV243" s="18"/>
      <c r="EW243" s="18"/>
      <c r="EX243" s="18"/>
      <c r="EY243" s="18"/>
      <c r="EZ243" s="18"/>
      <c r="FA243" s="18"/>
      <c r="FB243" s="18"/>
      <c r="FC243" s="18"/>
      <c r="FD243" s="18"/>
      <c r="FE243" s="18"/>
      <c r="FF243" s="18"/>
      <c r="FG243" s="18"/>
      <c r="FH243" s="18"/>
      <c r="FI243" s="18"/>
      <c r="FJ243" s="18"/>
      <c r="FK243" s="18"/>
      <c r="FL243" s="18"/>
      <c r="FM243" s="18"/>
      <c r="FN243" s="18"/>
      <c r="FO243" s="18"/>
      <c r="FP243" s="18"/>
      <c r="FQ243" s="18"/>
      <c r="FR243" s="18"/>
      <c r="FS243" s="18"/>
      <c r="FT243" s="18"/>
      <c r="FU243" s="18"/>
      <c r="FV243" s="18"/>
      <c r="FW243" s="18"/>
      <c r="FX243" s="18"/>
    </row>
    <row r="244" spans="1:180" ht="11.45" customHeight="1" x14ac:dyDescent="0.2">
      <c r="A244" s="33"/>
      <c r="B244" s="47">
        <f>B245</f>
        <v>28501</v>
      </c>
      <c r="C244" s="46"/>
      <c r="D244" s="48"/>
      <c r="E244" s="26" t="s">
        <v>1426</v>
      </c>
      <c r="F244" s="46"/>
      <c r="G244" s="46"/>
      <c r="H244" s="46"/>
      <c r="I244" s="48"/>
      <c r="J244" s="48"/>
      <c r="K244" s="32"/>
      <c r="L244" s="49"/>
      <c r="M244" s="49"/>
      <c r="N244" s="49"/>
      <c r="O244" s="32"/>
      <c r="P244" s="120"/>
      <c r="Q244" s="120"/>
      <c r="R244" s="143"/>
      <c r="S244" s="143"/>
      <c r="T244" s="156"/>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c r="DU244" s="18"/>
      <c r="DV244" s="18"/>
      <c r="DW244" s="18"/>
      <c r="DX244" s="18"/>
      <c r="DY244" s="18"/>
      <c r="DZ244" s="18"/>
      <c r="EA244" s="18"/>
      <c r="EB244" s="18"/>
      <c r="EC244" s="18"/>
      <c r="ED244" s="18"/>
      <c r="EE244" s="18"/>
      <c r="EF244" s="18"/>
      <c r="EG244" s="18"/>
      <c r="EH244" s="18"/>
      <c r="EI244" s="18"/>
      <c r="EJ244" s="18"/>
      <c r="EK244" s="18"/>
      <c r="EL244" s="18"/>
      <c r="EM244" s="18"/>
      <c r="EN244" s="18"/>
      <c r="EO244" s="18"/>
      <c r="EP244" s="18"/>
      <c r="EQ244" s="18"/>
      <c r="ER244" s="18"/>
      <c r="ES244" s="18"/>
      <c r="ET244" s="18"/>
      <c r="EU244" s="18"/>
      <c r="EV244" s="18"/>
      <c r="EW244" s="18"/>
      <c r="EX244" s="18"/>
      <c r="EY244" s="18"/>
      <c r="EZ244" s="18"/>
      <c r="FA244" s="18"/>
      <c r="FB244" s="18"/>
      <c r="FC244" s="18"/>
      <c r="FD244" s="18"/>
      <c r="FE244" s="18"/>
      <c r="FF244" s="18"/>
      <c r="FG244" s="18"/>
      <c r="FH244" s="18"/>
      <c r="FI244" s="18"/>
      <c r="FJ244" s="18"/>
      <c r="FK244" s="18"/>
      <c r="FL244" s="18"/>
      <c r="FM244" s="18"/>
      <c r="FN244" s="18"/>
      <c r="FO244" s="18"/>
      <c r="FP244" s="18"/>
      <c r="FQ244" s="18"/>
      <c r="FR244" s="18"/>
      <c r="FS244" s="18"/>
      <c r="FT244" s="18"/>
      <c r="FU244" s="18"/>
      <c r="FV244" s="18"/>
      <c r="FW244" s="18"/>
      <c r="FX244" s="18"/>
    </row>
    <row r="245" spans="1:180" ht="11.45" customHeight="1" x14ac:dyDescent="0.2">
      <c r="A245" s="33" t="s">
        <v>231</v>
      </c>
      <c r="B245" s="330">
        <v>28501</v>
      </c>
      <c r="C245" s="330">
        <f t="shared" si="18"/>
        <v>28532</v>
      </c>
      <c r="D245" s="331" t="s">
        <v>894</v>
      </c>
      <c r="E245" s="332" t="s">
        <v>221</v>
      </c>
      <c r="F245" s="330">
        <v>32</v>
      </c>
      <c r="G245" s="330">
        <v>1</v>
      </c>
      <c r="H245" s="330"/>
      <c r="I245" s="333">
        <f t="shared" ref="I245:I260" si="21">(F245*G245)/8</f>
        <v>4</v>
      </c>
      <c r="J245" s="333"/>
      <c r="K245" s="334" t="s">
        <v>216</v>
      </c>
      <c r="L245" s="335" t="s">
        <v>234</v>
      </c>
      <c r="M245" s="335"/>
      <c r="N245" s="335"/>
      <c r="O245" s="11"/>
      <c r="P245" s="336"/>
      <c r="Q245" s="336"/>
      <c r="R245" s="11"/>
      <c r="S245" s="11" t="s">
        <v>1181</v>
      </c>
      <c r="T245" s="33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c r="DU245" s="18"/>
      <c r="DV245" s="18"/>
      <c r="DW245" s="18"/>
      <c r="DX245" s="18"/>
      <c r="DY245" s="18"/>
      <c r="DZ245" s="18"/>
      <c r="EA245" s="18"/>
      <c r="EB245" s="18"/>
      <c r="EC245" s="18"/>
      <c r="ED245" s="18"/>
      <c r="EE245" s="18"/>
      <c r="EF245" s="18"/>
      <c r="EG245" s="18"/>
      <c r="EH245" s="18"/>
      <c r="EI245" s="18"/>
      <c r="EJ245" s="18"/>
      <c r="EK245" s="18"/>
      <c r="EL245" s="18"/>
      <c r="EM245" s="18"/>
      <c r="EN245" s="18"/>
      <c r="EO245" s="18"/>
      <c r="EP245" s="18"/>
      <c r="EQ245" s="18"/>
      <c r="ER245" s="18"/>
      <c r="ES245" s="18"/>
      <c r="ET245" s="18"/>
      <c r="EU245" s="18"/>
      <c r="EV245" s="18"/>
      <c r="EW245" s="18"/>
      <c r="EX245" s="18"/>
      <c r="EY245" s="18"/>
      <c r="EZ245" s="18"/>
      <c r="FA245" s="18"/>
      <c r="FB245" s="18"/>
      <c r="FC245" s="18"/>
      <c r="FD245" s="18"/>
      <c r="FE245" s="18"/>
      <c r="FF245" s="18"/>
      <c r="FG245" s="18"/>
      <c r="FH245" s="18"/>
      <c r="FI245" s="18"/>
      <c r="FJ245" s="18"/>
      <c r="FK245" s="18"/>
      <c r="FL245" s="18"/>
      <c r="FM245" s="18"/>
      <c r="FN245" s="18"/>
      <c r="FO245" s="18"/>
      <c r="FP245" s="18"/>
      <c r="FQ245" s="18"/>
      <c r="FR245" s="18"/>
      <c r="FS245" s="18"/>
      <c r="FT245" s="18"/>
      <c r="FU245" s="18"/>
      <c r="FV245" s="18"/>
      <c r="FW245" s="18"/>
      <c r="FX245" s="18"/>
    </row>
    <row r="246" spans="1:180" ht="11.45" customHeight="1" x14ac:dyDescent="0.2">
      <c r="A246" s="33" t="s">
        <v>231</v>
      </c>
      <c r="B246" s="330">
        <f t="shared" si="20"/>
        <v>28533</v>
      </c>
      <c r="C246" s="330">
        <f t="shared" si="18"/>
        <v>28564</v>
      </c>
      <c r="D246" s="333" t="s">
        <v>894</v>
      </c>
      <c r="E246" s="339" t="s">
        <v>222</v>
      </c>
      <c r="F246" s="330">
        <v>32</v>
      </c>
      <c r="G246" s="330">
        <v>1</v>
      </c>
      <c r="H246" s="330"/>
      <c r="I246" s="333">
        <f t="shared" si="21"/>
        <v>4</v>
      </c>
      <c r="J246" s="333"/>
      <c r="K246" s="334" t="s">
        <v>216</v>
      </c>
      <c r="L246" s="335" t="s">
        <v>234</v>
      </c>
      <c r="M246" s="335"/>
      <c r="N246" s="335"/>
      <c r="O246" s="11"/>
      <c r="P246" s="336"/>
      <c r="Q246" s="340"/>
      <c r="R246" s="11"/>
      <c r="S246" s="11" t="s">
        <v>1181</v>
      </c>
      <c r="T246" s="341"/>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c r="DU246" s="18"/>
      <c r="DV246" s="18"/>
      <c r="DW246" s="18"/>
      <c r="DX246" s="18"/>
      <c r="DY246" s="18"/>
      <c r="DZ246" s="18"/>
      <c r="EA246" s="18"/>
      <c r="EB246" s="18"/>
      <c r="EC246" s="18"/>
      <c r="ED246" s="18"/>
      <c r="EE246" s="18"/>
      <c r="EF246" s="18"/>
      <c r="EG246" s="18"/>
      <c r="EH246" s="18"/>
      <c r="EI246" s="18"/>
      <c r="EJ246" s="18"/>
      <c r="EK246" s="18"/>
      <c r="EL246" s="18"/>
      <c r="EM246" s="18"/>
      <c r="EN246" s="18"/>
      <c r="EO246" s="18"/>
      <c r="EP246" s="18"/>
      <c r="EQ246" s="18"/>
      <c r="ER246" s="18"/>
      <c r="ES246" s="18"/>
      <c r="ET246" s="18"/>
      <c r="EU246" s="18"/>
      <c r="EV246" s="18"/>
      <c r="EW246" s="18"/>
      <c r="EX246" s="18"/>
      <c r="EY246" s="18"/>
      <c r="EZ246" s="18"/>
      <c r="FA246" s="18"/>
      <c r="FB246" s="18"/>
      <c r="FC246" s="18"/>
      <c r="FD246" s="18"/>
      <c r="FE246" s="18"/>
      <c r="FF246" s="18"/>
      <c r="FG246" s="18"/>
      <c r="FH246" s="18"/>
      <c r="FI246" s="18"/>
      <c r="FJ246" s="18"/>
      <c r="FK246" s="18"/>
      <c r="FL246" s="18"/>
      <c r="FM246" s="18"/>
      <c r="FN246" s="18"/>
      <c r="FO246" s="18"/>
      <c r="FP246" s="18"/>
      <c r="FQ246" s="18"/>
      <c r="FR246" s="18"/>
      <c r="FS246" s="18"/>
      <c r="FT246" s="18"/>
      <c r="FU246" s="18"/>
      <c r="FV246" s="18"/>
      <c r="FW246" s="18"/>
      <c r="FX246" s="18"/>
    </row>
    <row r="247" spans="1:180" ht="11.45" customHeight="1" x14ac:dyDescent="0.2">
      <c r="A247" s="33" t="s">
        <v>231</v>
      </c>
      <c r="B247" s="330">
        <f t="shared" si="20"/>
        <v>28565</v>
      </c>
      <c r="C247" s="330">
        <f t="shared" si="18"/>
        <v>28596</v>
      </c>
      <c r="D247" s="331" t="s">
        <v>894</v>
      </c>
      <c r="E247" s="332" t="s">
        <v>223</v>
      </c>
      <c r="F247" s="330">
        <v>32</v>
      </c>
      <c r="G247" s="330">
        <v>1</v>
      </c>
      <c r="H247" s="330"/>
      <c r="I247" s="333">
        <f t="shared" si="21"/>
        <v>4</v>
      </c>
      <c r="J247" s="333"/>
      <c r="K247" s="334" t="s">
        <v>216</v>
      </c>
      <c r="L247" s="335" t="s">
        <v>234</v>
      </c>
      <c r="M247" s="335"/>
      <c r="N247" s="335"/>
      <c r="O247" s="11"/>
      <c r="P247" s="336"/>
      <c r="Q247" s="336"/>
      <c r="R247" s="11"/>
      <c r="S247" s="11" t="s">
        <v>1181</v>
      </c>
      <c r="T247" s="33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c r="DU247" s="18"/>
      <c r="DV247" s="18"/>
      <c r="DW247" s="18"/>
      <c r="DX247" s="18"/>
      <c r="DY247" s="18"/>
      <c r="DZ247" s="18"/>
      <c r="EA247" s="18"/>
      <c r="EB247" s="18"/>
      <c r="EC247" s="18"/>
      <c r="ED247" s="18"/>
      <c r="EE247" s="18"/>
      <c r="EF247" s="18"/>
      <c r="EG247" s="18"/>
      <c r="EH247" s="18"/>
      <c r="EI247" s="18"/>
      <c r="EJ247" s="18"/>
      <c r="EK247" s="18"/>
      <c r="EL247" s="18"/>
      <c r="EM247" s="18"/>
      <c r="EN247" s="18"/>
      <c r="EO247" s="18"/>
      <c r="EP247" s="18"/>
      <c r="EQ247" s="18"/>
      <c r="ER247" s="18"/>
      <c r="ES247" s="18"/>
      <c r="ET247" s="18"/>
      <c r="EU247" s="18"/>
      <c r="EV247" s="18"/>
      <c r="EW247" s="18"/>
      <c r="EX247" s="18"/>
      <c r="EY247" s="18"/>
      <c r="EZ247" s="18"/>
      <c r="FA247" s="18"/>
      <c r="FB247" s="18"/>
      <c r="FC247" s="18"/>
      <c r="FD247" s="18"/>
      <c r="FE247" s="18"/>
      <c r="FF247" s="18"/>
      <c r="FG247" s="18"/>
      <c r="FH247" s="18"/>
      <c r="FI247" s="18"/>
      <c r="FJ247" s="18"/>
      <c r="FK247" s="18"/>
      <c r="FL247" s="18"/>
      <c r="FM247" s="18"/>
      <c r="FN247" s="18"/>
      <c r="FO247" s="18"/>
      <c r="FP247" s="18"/>
      <c r="FQ247" s="18"/>
      <c r="FR247" s="18"/>
      <c r="FS247" s="18"/>
      <c r="FT247" s="18"/>
      <c r="FU247" s="18"/>
      <c r="FV247" s="18"/>
      <c r="FW247" s="18"/>
      <c r="FX247" s="18"/>
    </row>
    <row r="248" spans="1:180" ht="11.45" customHeight="1" x14ac:dyDescent="0.2">
      <c r="A248" s="33" t="s">
        <v>231</v>
      </c>
      <c r="B248" s="330">
        <f t="shared" si="20"/>
        <v>28597</v>
      </c>
      <c r="C248" s="330">
        <f t="shared" si="18"/>
        <v>28628</v>
      </c>
      <c r="D248" s="333" t="s">
        <v>894</v>
      </c>
      <c r="E248" s="339" t="s">
        <v>224</v>
      </c>
      <c r="F248" s="330">
        <v>32</v>
      </c>
      <c r="G248" s="330">
        <v>1</v>
      </c>
      <c r="H248" s="330"/>
      <c r="I248" s="333">
        <f t="shared" si="21"/>
        <v>4</v>
      </c>
      <c r="J248" s="333"/>
      <c r="K248" s="334" t="s">
        <v>216</v>
      </c>
      <c r="L248" s="335" t="s">
        <v>234</v>
      </c>
      <c r="M248" s="335"/>
      <c r="N248" s="335"/>
      <c r="O248" s="11"/>
      <c r="P248" s="336"/>
      <c r="Q248" s="340"/>
      <c r="R248" s="11"/>
      <c r="S248" s="11" t="s">
        <v>1181</v>
      </c>
      <c r="T248" s="341"/>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8"/>
      <c r="EC248" s="18"/>
      <c r="ED248" s="18"/>
      <c r="EE248" s="18"/>
      <c r="EF248" s="18"/>
      <c r="EG248" s="18"/>
      <c r="EH248" s="18"/>
      <c r="EI248" s="18"/>
      <c r="EJ248" s="18"/>
      <c r="EK248" s="18"/>
      <c r="EL248" s="18"/>
      <c r="EM248" s="18"/>
      <c r="EN248" s="18"/>
      <c r="EO248" s="18"/>
      <c r="EP248" s="18"/>
      <c r="EQ248" s="18"/>
      <c r="ER248" s="18"/>
      <c r="ES248" s="18"/>
      <c r="ET248" s="18"/>
      <c r="EU248" s="18"/>
      <c r="EV248" s="18"/>
      <c r="EW248" s="18"/>
      <c r="EX248" s="18"/>
      <c r="EY248" s="18"/>
      <c r="EZ248" s="18"/>
      <c r="FA248" s="18"/>
      <c r="FB248" s="18"/>
      <c r="FC248" s="18"/>
      <c r="FD248" s="18"/>
      <c r="FE248" s="18"/>
      <c r="FF248" s="18"/>
      <c r="FG248" s="18"/>
      <c r="FH248" s="18"/>
      <c r="FI248" s="18"/>
      <c r="FJ248" s="18"/>
      <c r="FK248" s="18"/>
      <c r="FL248" s="18"/>
      <c r="FM248" s="18"/>
      <c r="FN248" s="18"/>
      <c r="FO248" s="18"/>
      <c r="FP248" s="18"/>
      <c r="FQ248" s="18"/>
      <c r="FR248" s="18"/>
      <c r="FS248" s="18"/>
      <c r="FT248" s="18"/>
      <c r="FU248" s="18"/>
      <c r="FV248" s="18"/>
      <c r="FW248" s="18"/>
      <c r="FX248" s="18"/>
    </row>
    <row r="249" spans="1:180" ht="11.25" customHeight="1" x14ac:dyDescent="0.2">
      <c r="A249" s="33" t="s">
        <v>231</v>
      </c>
      <c r="B249" s="330">
        <f t="shared" si="20"/>
        <v>28629</v>
      </c>
      <c r="C249" s="330">
        <f t="shared" si="18"/>
        <v>28660</v>
      </c>
      <c r="D249" s="331" t="s">
        <v>894</v>
      </c>
      <c r="E249" s="332" t="s">
        <v>225</v>
      </c>
      <c r="F249" s="330">
        <v>32</v>
      </c>
      <c r="G249" s="330">
        <v>1</v>
      </c>
      <c r="H249" s="330"/>
      <c r="I249" s="333">
        <f t="shared" si="21"/>
        <v>4</v>
      </c>
      <c r="J249" s="333"/>
      <c r="K249" s="334" t="s">
        <v>216</v>
      </c>
      <c r="L249" s="335" t="s">
        <v>234</v>
      </c>
      <c r="M249" s="335"/>
      <c r="N249" s="335"/>
      <c r="O249" s="11"/>
      <c r="P249" s="336"/>
      <c r="Q249" s="336"/>
      <c r="R249" s="11"/>
      <c r="S249" s="11" t="s">
        <v>1181</v>
      </c>
      <c r="T249" s="33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c r="DU249" s="18"/>
      <c r="DV249" s="18"/>
      <c r="DW249" s="18"/>
      <c r="DX249" s="18"/>
      <c r="DY249" s="18"/>
      <c r="DZ249" s="18"/>
      <c r="EA249" s="18"/>
      <c r="EB249" s="18"/>
      <c r="EC249" s="18"/>
      <c r="ED249" s="18"/>
      <c r="EE249" s="18"/>
      <c r="EF249" s="18"/>
      <c r="EG249" s="18"/>
      <c r="EH249" s="18"/>
      <c r="EI249" s="18"/>
      <c r="EJ249" s="18"/>
      <c r="EK249" s="18"/>
      <c r="EL249" s="18"/>
      <c r="EM249" s="18"/>
      <c r="EN249" s="18"/>
      <c r="EO249" s="18"/>
      <c r="EP249" s="18"/>
      <c r="EQ249" s="18"/>
      <c r="ER249" s="18"/>
      <c r="ES249" s="18"/>
      <c r="ET249" s="18"/>
      <c r="EU249" s="18"/>
      <c r="EV249" s="18"/>
      <c r="EW249" s="18"/>
      <c r="EX249" s="18"/>
      <c r="EY249" s="18"/>
      <c r="EZ249" s="18"/>
      <c r="FA249" s="18"/>
      <c r="FB249" s="18"/>
      <c r="FC249" s="18"/>
      <c r="FD249" s="18"/>
      <c r="FE249" s="18"/>
      <c r="FF249" s="18"/>
      <c r="FG249" s="18"/>
      <c r="FH249" s="18"/>
      <c r="FI249" s="18"/>
      <c r="FJ249" s="18"/>
      <c r="FK249" s="18"/>
      <c r="FL249" s="18"/>
      <c r="FM249" s="18"/>
      <c r="FN249" s="18"/>
      <c r="FO249" s="18"/>
      <c r="FP249" s="18"/>
      <c r="FQ249" s="18"/>
      <c r="FR249" s="18"/>
      <c r="FS249" s="18"/>
      <c r="FT249" s="18"/>
      <c r="FU249" s="18"/>
      <c r="FV249" s="18"/>
      <c r="FW249" s="18"/>
      <c r="FX249" s="18"/>
    </row>
    <row r="250" spans="1:180" x14ac:dyDescent="0.2">
      <c r="A250" s="33" t="s">
        <v>231</v>
      </c>
      <c r="B250" s="330">
        <f t="shared" si="20"/>
        <v>28661</v>
      </c>
      <c r="C250" s="330">
        <f t="shared" si="18"/>
        <v>28692</v>
      </c>
      <c r="D250" s="333" t="s">
        <v>894</v>
      </c>
      <c r="E250" s="339" t="s">
        <v>226</v>
      </c>
      <c r="F250" s="330">
        <v>32</v>
      </c>
      <c r="G250" s="330">
        <v>1</v>
      </c>
      <c r="H250" s="330"/>
      <c r="I250" s="333">
        <f t="shared" si="21"/>
        <v>4</v>
      </c>
      <c r="J250" s="333"/>
      <c r="K250" s="334" t="s">
        <v>216</v>
      </c>
      <c r="L250" s="335" t="s">
        <v>234</v>
      </c>
      <c r="M250" s="335"/>
      <c r="N250" s="335"/>
      <c r="O250" s="11"/>
      <c r="P250" s="336"/>
      <c r="Q250" s="340"/>
      <c r="R250" s="11"/>
      <c r="S250" s="11" t="s">
        <v>1181</v>
      </c>
      <c r="T250" s="341"/>
    </row>
    <row r="251" spans="1:180" x14ac:dyDescent="0.2">
      <c r="A251" s="33" t="s">
        <v>231</v>
      </c>
      <c r="B251" s="330">
        <f t="shared" si="20"/>
        <v>28693</v>
      </c>
      <c r="C251" s="330">
        <f t="shared" si="18"/>
        <v>28724</v>
      </c>
      <c r="D251" s="331" t="s">
        <v>894</v>
      </c>
      <c r="E251" s="332" t="s">
        <v>2112</v>
      </c>
      <c r="F251" s="330">
        <v>32</v>
      </c>
      <c r="G251" s="330">
        <v>1</v>
      </c>
      <c r="H251" s="330"/>
      <c r="I251" s="333">
        <f t="shared" si="21"/>
        <v>4</v>
      </c>
      <c r="J251" s="333"/>
      <c r="K251" s="334" t="s">
        <v>216</v>
      </c>
      <c r="L251" s="335" t="s">
        <v>234</v>
      </c>
      <c r="M251" s="335"/>
      <c r="N251" s="335"/>
      <c r="O251" s="11"/>
      <c r="P251" s="336"/>
      <c r="Q251" s="336"/>
      <c r="R251" s="11"/>
      <c r="S251" s="11" t="s">
        <v>1181</v>
      </c>
      <c r="T251" s="338"/>
    </row>
    <row r="252" spans="1:180" x14ac:dyDescent="0.2">
      <c r="A252" s="33" t="s">
        <v>231</v>
      </c>
      <c r="B252" s="330">
        <f t="shared" si="20"/>
        <v>28725</v>
      </c>
      <c r="C252" s="330">
        <f t="shared" si="18"/>
        <v>28756</v>
      </c>
      <c r="D252" s="333" t="s">
        <v>894</v>
      </c>
      <c r="E252" s="339" t="s">
        <v>2137</v>
      </c>
      <c r="F252" s="330">
        <v>32</v>
      </c>
      <c r="G252" s="330">
        <v>1</v>
      </c>
      <c r="H252" s="330"/>
      <c r="I252" s="333">
        <f t="shared" si="21"/>
        <v>4</v>
      </c>
      <c r="J252" s="333"/>
      <c r="K252" s="334" t="s">
        <v>216</v>
      </c>
      <c r="L252" s="335" t="s">
        <v>234</v>
      </c>
      <c r="M252" s="335"/>
      <c r="N252" s="335"/>
      <c r="O252" s="11"/>
      <c r="P252" s="336"/>
      <c r="Q252" s="340"/>
      <c r="R252" s="11"/>
      <c r="S252" s="11" t="s">
        <v>1181</v>
      </c>
      <c r="T252" s="341"/>
    </row>
    <row r="253" spans="1:180" x14ac:dyDescent="0.2">
      <c r="A253" s="33" t="s">
        <v>231</v>
      </c>
      <c r="B253" s="330">
        <f t="shared" si="20"/>
        <v>28757</v>
      </c>
      <c r="C253" s="330">
        <f t="shared" si="18"/>
        <v>28788</v>
      </c>
      <c r="D253" s="331" t="s">
        <v>894</v>
      </c>
      <c r="E253" s="332" t="s">
        <v>2162</v>
      </c>
      <c r="F253" s="330">
        <v>32</v>
      </c>
      <c r="G253" s="330">
        <v>1</v>
      </c>
      <c r="H253" s="330"/>
      <c r="I253" s="333">
        <f t="shared" si="21"/>
        <v>4</v>
      </c>
      <c r="J253" s="333"/>
      <c r="K253" s="334" t="s">
        <v>216</v>
      </c>
      <c r="L253" s="335" t="s">
        <v>234</v>
      </c>
      <c r="M253" s="335"/>
      <c r="N253" s="335"/>
      <c r="O253" s="11"/>
      <c r="P253" s="336"/>
      <c r="Q253" s="336"/>
      <c r="R253" s="11"/>
      <c r="S253" s="11" t="s">
        <v>1181</v>
      </c>
      <c r="T253" s="338"/>
    </row>
    <row r="254" spans="1:180" x14ac:dyDescent="0.2">
      <c r="A254" s="33" t="s">
        <v>231</v>
      </c>
      <c r="B254" s="330">
        <f t="shared" si="20"/>
        <v>28789</v>
      </c>
      <c r="C254" s="330">
        <f t="shared" si="18"/>
        <v>28820</v>
      </c>
      <c r="D254" s="333" t="s">
        <v>894</v>
      </c>
      <c r="E254" s="339" t="s">
        <v>2187</v>
      </c>
      <c r="F254" s="330">
        <v>32</v>
      </c>
      <c r="G254" s="330">
        <v>1</v>
      </c>
      <c r="H254" s="330"/>
      <c r="I254" s="333">
        <f t="shared" si="21"/>
        <v>4</v>
      </c>
      <c r="J254" s="333"/>
      <c r="K254" s="334" t="s">
        <v>216</v>
      </c>
      <c r="L254" s="335" t="s">
        <v>234</v>
      </c>
      <c r="M254" s="335"/>
      <c r="N254" s="335"/>
      <c r="O254" s="11"/>
      <c r="P254" s="336"/>
      <c r="Q254" s="340"/>
      <c r="R254" s="11"/>
      <c r="S254" s="11" t="s">
        <v>1181</v>
      </c>
      <c r="T254" s="341"/>
    </row>
    <row r="255" spans="1:180" x14ac:dyDescent="0.2">
      <c r="A255" s="33" t="s">
        <v>231</v>
      </c>
      <c r="B255" s="330">
        <f t="shared" si="20"/>
        <v>28821</v>
      </c>
      <c r="C255" s="330">
        <f t="shared" si="18"/>
        <v>28852</v>
      </c>
      <c r="D255" s="331" t="s">
        <v>894</v>
      </c>
      <c r="E255" s="332" t="s">
        <v>2237</v>
      </c>
      <c r="F255" s="330">
        <v>32</v>
      </c>
      <c r="G255" s="330">
        <v>1</v>
      </c>
      <c r="H255" s="330"/>
      <c r="I255" s="333">
        <f t="shared" si="21"/>
        <v>4</v>
      </c>
      <c r="J255" s="333"/>
      <c r="K255" s="334" t="s">
        <v>216</v>
      </c>
      <c r="L255" s="335" t="s">
        <v>234</v>
      </c>
      <c r="M255" s="335"/>
      <c r="N255" s="335"/>
      <c r="O255" s="11"/>
      <c r="P255" s="336"/>
      <c r="Q255" s="336"/>
      <c r="R255" s="11"/>
      <c r="S255" s="11" t="s">
        <v>1181</v>
      </c>
      <c r="T255" s="338"/>
    </row>
    <row r="256" spans="1:180" x14ac:dyDescent="0.2">
      <c r="A256" s="33" t="s">
        <v>231</v>
      </c>
      <c r="B256" s="330">
        <f t="shared" si="20"/>
        <v>28853</v>
      </c>
      <c r="C256" s="330">
        <f t="shared" si="18"/>
        <v>28884</v>
      </c>
      <c r="D256" s="333" t="s">
        <v>894</v>
      </c>
      <c r="E256" s="339" t="s">
        <v>2238</v>
      </c>
      <c r="F256" s="330">
        <v>32</v>
      </c>
      <c r="G256" s="330">
        <v>1</v>
      </c>
      <c r="H256" s="330"/>
      <c r="I256" s="333">
        <f t="shared" si="21"/>
        <v>4</v>
      </c>
      <c r="J256" s="333"/>
      <c r="K256" s="334" t="s">
        <v>216</v>
      </c>
      <c r="L256" s="335" t="s">
        <v>234</v>
      </c>
      <c r="M256" s="335"/>
      <c r="N256" s="335"/>
      <c r="O256" s="11"/>
      <c r="P256" s="336"/>
      <c r="Q256" s="340"/>
      <c r="R256" s="11"/>
      <c r="S256" s="11" t="s">
        <v>1181</v>
      </c>
      <c r="T256" s="341"/>
    </row>
    <row r="257" spans="1:180" x14ac:dyDescent="0.2">
      <c r="A257" s="33" t="s">
        <v>231</v>
      </c>
      <c r="B257" s="330">
        <f t="shared" si="20"/>
        <v>28885</v>
      </c>
      <c r="C257" s="330">
        <f t="shared" si="18"/>
        <v>28916</v>
      </c>
      <c r="D257" s="331" t="s">
        <v>894</v>
      </c>
      <c r="E257" s="332" t="s">
        <v>2239</v>
      </c>
      <c r="F257" s="330">
        <v>32</v>
      </c>
      <c r="G257" s="330">
        <v>1</v>
      </c>
      <c r="H257" s="330"/>
      <c r="I257" s="333">
        <f t="shared" si="21"/>
        <v>4</v>
      </c>
      <c r="J257" s="333"/>
      <c r="K257" s="334" t="s">
        <v>216</v>
      </c>
      <c r="L257" s="335" t="s">
        <v>234</v>
      </c>
      <c r="M257" s="335"/>
      <c r="N257" s="335"/>
      <c r="O257" s="11"/>
      <c r="P257" s="336"/>
      <c r="Q257" s="336"/>
      <c r="R257" s="11"/>
      <c r="S257" s="11" t="s">
        <v>1181</v>
      </c>
      <c r="T257" s="338"/>
    </row>
    <row r="258" spans="1:180" x14ac:dyDescent="0.2">
      <c r="A258" s="33" t="s">
        <v>231</v>
      </c>
      <c r="B258" s="330">
        <f t="shared" si="20"/>
        <v>28917</v>
      </c>
      <c r="C258" s="330">
        <f t="shared" si="18"/>
        <v>28948</v>
      </c>
      <c r="D258" s="333" t="s">
        <v>894</v>
      </c>
      <c r="E258" s="339" t="s">
        <v>2240</v>
      </c>
      <c r="F258" s="330">
        <v>32</v>
      </c>
      <c r="G258" s="330">
        <v>1</v>
      </c>
      <c r="H258" s="330"/>
      <c r="I258" s="333">
        <f t="shared" si="21"/>
        <v>4</v>
      </c>
      <c r="J258" s="333"/>
      <c r="K258" s="334" t="s">
        <v>216</v>
      </c>
      <c r="L258" s="335" t="s">
        <v>234</v>
      </c>
      <c r="M258" s="335"/>
      <c r="N258" s="335"/>
      <c r="O258" s="11"/>
      <c r="P258" s="336"/>
      <c r="Q258" s="340"/>
      <c r="R258" s="11"/>
      <c r="S258" s="11" t="s">
        <v>1181</v>
      </c>
      <c r="T258" s="341"/>
    </row>
    <row r="259" spans="1:180" x14ac:dyDescent="0.2">
      <c r="A259" s="33" t="s">
        <v>231</v>
      </c>
      <c r="B259" s="330">
        <f t="shared" si="20"/>
        <v>28949</v>
      </c>
      <c r="C259" s="330">
        <f t="shared" si="18"/>
        <v>28980</v>
      </c>
      <c r="D259" s="331" t="s">
        <v>894</v>
      </c>
      <c r="E259" s="332" t="s">
        <v>2241</v>
      </c>
      <c r="F259" s="330">
        <v>32</v>
      </c>
      <c r="G259" s="330">
        <v>1</v>
      </c>
      <c r="H259" s="330"/>
      <c r="I259" s="333">
        <f t="shared" si="21"/>
        <v>4</v>
      </c>
      <c r="J259" s="333"/>
      <c r="K259" s="334" t="s">
        <v>216</v>
      </c>
      <c r="L259" s="335" t="s">
        <v>234</v>
      </c>
      <c r="M259" s="335"/>
      <c r="N259" s="335"/>
      <c r="O259" s="11"/>
      <c r="P259" s="336"/>
      <c r="Q259" s="336"/>
      <c r="R259" s="11"/>
      <c r="S259" s="11" t="s">
        <v>1181</v>
      </c>
      <c r="T259" s="33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c r="DU259" s="18"/>
      <c r="DV259" s="18"/>
      <c r="DW259" s="18"/>
      <c r="DX259" s="18"/>
      <c r="DY259" s="18"/>
      <c r="DZ259" s="18"/>
      <c r="EA259" s="18"/>
      <c r="EB259" s="18"/>
      <c r="EC259" s="18"/>
      <c r="ED259" s="18"/>
      <c r="EE259" s="18"/>
      <c r="EF259" s="18"/>
      <c r="EG259" s="18"/>
      <c r="EH259" s="18"/>
      <c r="EI259" s="18"/>
      <c r="EJ259" s="18"/>
      <c r="EK259" s="18"/>
      <c r="EL259" s="18"/>
      <c r="EM259" s="18"/>
      <c r="EN259" s="18"/>
      <c r="EO259" s="18"/>
      <c r="EP259" s="18"/>
      <c r="EQ259" s="18"/>
      <c r="ER259" s="18"/>
      <c r="ES259" s="18"/>
      <c r="ET259" s="18"/>
      <c r="EU259" s="18"/>
      <c r="EV259" s="18"/>
      <c r="EW259" s="18"/>
      <c r="EX259" s="18"/>
      <c r="EY259" s="18"/>
      <c r="EZ259" s="18"/>
      <c r="FA259" s="18"/>
      <c r="FB259" s="18"/>
      <c r="FC259" s="18"/>
      <c r="FD259" s="18"/>
      <c r="FE259" s="18"/>
      <c r="FF259" s="18"/>
      <c r="FG259" s="18"/>
      <c r="FH259" s="18"/>
      <c r="FI259" s="18"/>
      <c r="FJ259" s="18"/>
      <c r="FK259" s="18"/>
      <c r="FL259" s="18"/>
      <c r="FM259" s="18"/>
      <c r="FN259" s="18"/>
      <c r="FO259" s="18"/>
      <c r="FP259" s="18"/>
      <c r="FQ259" s="18"/>
      <c r="FR259" s="18"/>
      <c r="FS259" s="18"/>
      <c r="FT259" s="18"/>
      <c r="FU259" s="18"/>
      <c r="FV259" s="18"/>
      <c r="FW259" s="18"/>
      <c r="FX259" s="18"/>
    </row>
    <row r="260" spans="1:180" x14ac:dyDescent="0.2">
      <c r="A260" s="33" t="s">
        <v>231</v>
      </c>
      <c r="B260" s="330">
        <f t="shared" si="20"/>
        <v>28981</v>
      </c>
      <c r="C260" s="330">
        <f t="shared" si="18"/>
        <v>29012</v>
      </c>
      <c r="D260" s="333" t="s">
        <v>894</v>
      </c>
      <c r="E260" s="339" t="s">
        <v>2242</v>
      </c>
      <c r="F260" s="330">
        <v>32</v>
      </c>
      <c r="G260" s="330">
        <v>1</v>
      </c>
      <c r="H260" s="330"/>
      <c r="I260" s="333">
        <f t="shared" si="21"/>
        <v>4</v>
      </c>
      <c r="J260" s="333"/>
      <c r="K260" s="334" t="s">
        <v>216</v>
      </c>
      <c r="L260" s="335" t="s">
        <v>234</v>
      </c>
      <c r="M260" s="335"/>
      <c r="N260" s="335"/>
      <c r="O260" s="11"/>
      <c r="P260" s="340"/>
      <c r="Q260" s="340"/>
      <c r="R260" s="11"/>
      <c r="S260" s="11" t="s">
        <v>1181</v>
      </c>
      <c r="T260" s="341"/>
    </row>
    <row r="261" spans="1:180" x14ac:dyDescent="0.2">
      <c r="A261" s="33"/>
      <c r="B261" s="47">
        <f>B262</f>
        <v>29101</v>
      </c>
      <c r="C261" s="46"/>
      <c r="D261" s="48"/>
      <c r="E261" s="26" t="s">
        <v>1427</v>
      </c>
      <c r="F261" s="46"/>
      <c r="G261" s="46"/>
      <c r="H261" s="46"/>
      <c r="I261" s="48"/>
      <c r="J261" s="48"/>
      <c r="K261" s="32"/>
      <c r="L261" s="49"/>
      <c r="M261" s="49"/>
      <c r="N261" s="49"/>
      <c r="O261" s="32"/>
      <c r="P261" s="120"/>
      <c r="Q261" s="120"/>
      <c r="R261" s="143"/>
      <c r="S261" s="143"/>
      <c r="T261" s="156"/>
    </row>
    <row r="262" spans="1:180" x14ac:dyDescent="0.2">
      <c r="A262" s="33" t="s">
        <v>231</v>
      </c>
      <c r="B262" s="330">
        <v>29101</v>
      </c>
      <c r="C262" s="330">
        <f t="shared" ref="C262:C294" si="22">B262+($F262*$G262)-1</f>
        <v>29132</v>
      </c>
      <c r="D262" s="331" t="s">
        <v>894</v>
      </c>
      <c r="E262" s="332" t="s">
        <v>186</v>
      </c>
      <c r="F262" s="330">
        <v>32</v>
      </c>
      <c r="G262" s="330">
        <v>1</v>
      </c>
      <c r="H262" s="330"/>
      <c r="I262" s="333">
        <f t="shared" ref="I262:I277" si="23">(F262*G262)/8</f>
        <v>4</v>
      </c>
      <c r="J262" s="333"/>
      <c r="K262" s="334" t="s">
        <v>579</v>
      </c>
      <c r="L262" s="335" t="s">
        <v>234</v>
      </c>
      <c r="M262" s="335"/>
      <c r="N262" s="335"/>
      <c r="O262" s="11"/>
      <c r="P262" s="336"/>
      <c r="Q262" s="336"/>
      <c r="R262" s="11"/>
      <c r="S262" s="11" t="s">
        <v>1181</v>
      </c>
      <c r="T262" s="338"/>
    </row>
    <row r="263" spans="1:180" x14ac:dyDescent="0.2">
      <c r="A263" s="33" t="s">
        <v>231</v>
      </c>
      <c r="B263" s="330">
        <f>C262+1</f>
        <v>29133</v>
      </c>
      <c r="C263" s="330">
        <f t="shared" si="22"/>
        <v>29164</v>
      </c>
      <c r="D263" s="333" t="s">
        <v>894</v>
      </c>
      <c r="E263" s="339" t="s">
        <v>187</v>
      </c>
      <c r="F263" s="330">
        <v>32</v>
      </c>
      <c r="G263" s="330">
        <v>1</v>
      </c>
      <c r="H263" s="330"/>
      <c r="I263" s="333">
        <f t="shared" si="23"/>
        <v>4</v>
      </c>
      <c r="J263" s="333"/>
      <c r="K263" s="334" t="s">
        <v>579</v>
      </c>
      <c r="L263" s="335" t="s">
        <v>234</v>
      </c>
      <c r="M263" s="335"/>
      <c r="N263" s="335"/>
      <c r="O263" s="11"/>
      <c r="P263" s="340"/>
      <c r="Q263" s="336"/>
      <c r="R263" s="11"/>
      <c r="S263" s="11" t="s">
        <v>1181</v>
      </c>
      <c r="T263" s="341"/>
    </row>
    <row r="264" spans="1:180" x14ac:dyDescent="0.2">
      <c r="A264" s="33" t="s">
        <v>231</v>
      </c>
      <c r="B264" s="330">
        <f t="shared" ref="B264:B311" si="24">C263+1</f>
        <v>29165</v>
      </c>
      <c r="C264" s="330">
        <f t="shared" si="22"/>
        <v>29196</v>
      </c>
      <c r="D264" s="331" t="s">
        <v>894</v>
      </c>
      <c r="E264" s="332" t="s">
        <v>188</v>
      </c>
      <c r="F264" s="330">
        <v>32</v>
      </c>
      <c r="G264" s="330">
        <v>1</v>
      </c>
      <c r="H264" s="330"/>
      <c r="I264" s="333">
        <f t="shared" si="23"/>
        <v>4</v>
      </c>
      <c r="J264" s="333"/>
      <c r="K264" s="334" t="s">
        <v>579</v>
      </c>
      <c r="L264" s="335" t="s">
        <v>234</v>
      </c>
      <c r="M264" s="335"/>
      <c r="N264" s="335"/>
      <c r="O264" s="11"/>
      <c r="P264" s="336"/>
      <c r="Q264" s="336"/>
      <c r="R264" s="11"/>
      <c r="S264" s="11" t="s">
        <v>1181</v>
      </c>
      <c r="T264" s="338"/>
    </row>
    <row r="265" spans="1:180" x14ac:dyDescent="0.2">
      <c r="A265" s="33" t="s">
        <v>231</v>
      </c>
      <c r="B265" s="330">
        <f t="shared" si="24"/>
        <v>29197</v>
      </c>
      <c r="C265" s="330">
        <f t="shared" si="22"/>
        <v>29228</v>
      </c>
      <c r="D265" s="333" t="s">
        <v>894</v>
      </c>
      <c r="E265" s="339" t="s">
        <v>189</v>
      </c>
      <c r="F265" s="330">
        <v>32</v>
      </c>
      <c r="G265" s="330">
        <v>1</v>
      </c>
      <c r="H265" s="330"/>
      <c r="I265" s="333">
        <f t="shared" si="23"/>
        <v>4</v>
      </c>
      <c r="J265" s="333"/>
      <c r="K265" s="334" t="s">
        <v>579</v>
      </c>
      <c r="L265" s="335" t="s">
        <v>234</v>
      </c>
      <c r="M265" s="335"/>
      <c r="N265" s="335"/>
      <c r="O265" s="11"/>
      <c r="P265" s="340"/>
      <c r="Q265" s="336"/>
      <c r="R265" s="11"/>
      <c r="S265" s="11" t="s">
        <v>1181</v>
      </c>
      <c r="T265" s="341"/>
    </row>
    <row r="266" spans="1:180" x14ac:dyDescent="0.2">
      <c r="A266" s="33" t="s">
        <v>231</v>
      </c>
      <c r="B266" s="330">
        <f t="shared" si="24"/>
        <v>29229</v>
      </c>
      <c r="C266" s="330">
        <f t="shared" si="22"/>
        <v>29260</v>
      </c>
      <c r="D266" s="331" t="s">
        <v>894</v>
      </c>
      <c r="E266" s="332" t="s">
        <v>190</v>
      </c>
      <c r="F266" s="330">
        <v>32</v>
      </c>
      <c r="G266" s="330">
        <v>1</v>
      </c>
      <c r="H266" s="330"/>
      <c r="I266" s="333">
        <f t="shared" si="23"/>
        <v>4</v>
      </c>
      <c r="J266" s="333"/>
      <c r="K266" s="334" t="s">
        <v>579</v>
      </c>
      <c r="L266" s="335" t="s">
        <v>234</v>
      </c>
      <c r="M266" s="335"/>
      <c r="N266" s="335"/>
      <c r="O266" s="11"/>
      <c r="P266" s="336"/>
      <c r="Q266" s="336"/>
      <c r="R266" s="11"/>
      <c r="S266" s="11" t="s">
        <v>1181</v>
      </c>
      <c r="T266" s="338"/>
    </row>
    <row r="267" spans="1:180" x14ac:dyDescent="0.2">
      <c r="A267" s="33" t="s">
        <v>231</v>
      </c>
      <c r="B267" s="330">
        <f t="shared" si="24"/>
        <v>29261</v>
      </c>
      <c r="C267" s="330">
        <f t="shared" si="22"/>
        <v>29292</v>
      </c>
      <c r="D267" s="333" t="s">
        <v>894</v>
      </c>
      <c r="E267" s="339" t="s">
        <v>191</v>
      </c>
      <c r="F267" s="330">
        <v>32</v>
      </c>
      <c r="G267" s="330">
        <v>1</v>
      </c>
      <c r="H267" s="330"/>
      <c r="I267" s="333">
        <f t="shared" si="23"/>
        <v>4</v>
      </c>
      <c r="J267" s="333"/>
      <c r="K267" s="334" t="s">
        <v>579</v>
      </c>
      <c r="L267" s="335" t="s">
        <v>234</v>
      </c>
      <c r="M267" s="335"/>
      <c r="N267" s="335"/>
      <c r="O267" s="11"/>
      <c r="P267" s="340"/>
      <c r="Q267" s="336"/>
      <c r="R267" s="11"/>
      <c r="S267" s="11" t="s">
        <v>1181</v>
      </c>
      <c r="T267" s="341"/>
    </row>
    <row r="268" spans="1:180" ht="18" customHeight="1" x14ac:dyDescent="0.2">
      <c r="A268" s="33" t="s">
        <v>231</v>
      </c>
      <c r="B268" s="330">
        <f t="shared" si="24"/>
        <v>29293</v>
      </c>
      <c r="C268" s="330">
        <f t="shared" si="22"/>
        <v>29324</v>
      </c>
      <c r="D268" s="331" t="s">
        <v>894</v>
      </c>
      <c r="E268" s="332" t="s">
        <v>2113</v>
      </c>
      <c r="F268" s="330">
        <v>32</v>
      </c>
      <c r="G268" s="330">
        <v>1</v>
      </c>
      <c r="H268" s="330"/>
      <c r="I268" s="333">
        <f t="shared" si="23"/>
        <v>4</v>
      </c>
      <c r="J268" s="333"/>
      <c r="K268" s="334" t="s">
        <v>579</v>
      </c>
      <c r="L268" s="335" t="s">
        <v>234</v>
      </c>
      <c r="M268" s="335"/>
      <c r="N268" s="335"/>
      <c r="O268" s="11"/>
      <c r="P268" s="336"/>
      <c r="Q268" s="336"/>
      <c r="R268" s="11"/>
      <c r="S268" s="11" t="s">
        <v>1181</v>
      </c>
      <c r="T268" s="338"/>
    </row>
    <row r="269" spans="1:180" ht="11.25" customHeight="1" x14ac:dyDescent="0.2">
      <c r="A269" s="33" t="s">
        <v>231</v>
      </c>
      <c r="B269" s="330">
        <f t="shared" si="24"/>
        <v>29325</v>
      </c>
      <c r="C269" s="330">
        <f t="shared" si="22"/>
        <v>29356</v>
      </c>
      <c r="D269" s="333" t="s">
        <v>894</v>
      </c>
      <c r="E269" s="339" t="s">
        <v>2138</v>
      </c>
      <c r="F269" s="330">
        <v>32</v>
      </c>
      <c r="G269" s="330">
        <v>1</v>
      </c>
      <c r="H269" s="330"/>
      <c r="I269" s="333">
        <f t="shared" si="23"/>
        <v>4</v>
      </c>
      <c r="J269" s="333"/>
      <c r="K269" s="334" t="s">
        <v>579</v>
      </c>
      <c r="L269" s="335" t="s">
        <v>234</v>
      </c>
      <c r="M269" s="335"/>
      <c r="N269" s="335"/>
      <c r="O269" s="11"/>
      <c r="P269" s="340"/>
      <c r="Q269" s="336"/>
      <c r="R269" s="11"/>
      <c r="S269" s="11" t="s">
        <v>1181</v>
      </c>
      <c r="T269" s="341"/>
    </row>
    <row r="270" spans="1:180" ht="11.25" customHeight="1" x14ac:dyDescent="0.2">
      <c r="A270" s="33" t="s">
        <v>231</v>
      </c>
      <c r="B270" s="330">
        <f t="shared" si="24"/>
        <v>29357</v>
      </c>
      <c r="C270" s="330">
        <f t="shared" si="22"/>
        <v>29388</v>
      </c>
      <c r="D270" s="331" t="s">
        <v>894</v>
      </c>
      <c r="E270" s="332" t="s">
        <v>2163</v>
      </c>
      <c r="F270" s="330">
        <v>32</v>
      </c>
      <c r="G270" s="330">
        <v>1</v>
      </c>
      <c r="H270" s="330"/>
      <c r="I270" s="333">
        <f t="shared" si="23"/>
        <v>4</v>
      </c>
      <c r="J270" s="333"/>
      <c r="K270" s="334" t="s">
        <v>579</v>
      </c>
      <c r="L270" s="335" t="s">
        <v>234</v>
      </c>
      <c r="M270" s="335"/>
      <c r="N270" s="335"/>
      <c r="O270" s="11"/>
      <c r="P270" s="336"/>
      <c r="Q270" s="336"/>
      <c r="R270" s="11"/>
      <c r="S270" s="11" t="s">
        <v>1181</v>
      </c>
      <c r="T270" s="338"/>
    </row>
    <row r="271" spans="1:180" x14ac:dyDescent="0.2">
      <c r="A271" s="33" t="s">
        <v>231</v>
      </c>
      <c r="B271" s="330">
        <f t="shared" si="24"/>
        <v>29389</v>
      </c>
      <c r="C271" s="330">
        <f t="shared" si="22"/>
        <v>29420</v>
      </c>
      <c r="D271" s="333" t="s">
        <v>894</v>
      </c>
      <c r="E271" s="339" t="s">
        <v>2188</v>
      </c>
      <c r="F271" s="330">
        <v>32</v>
      </c>
      <c r="G271" s="330">
        <v>1</v>
      </c>
      <c r="H271" s="330"/>
      <c r="I271" s="333">
        <f t="shared" si="23"/>
        <v>4</v>
      </c>
      <c r="J271" s="333"/>
      <c r="K271" s="334" t="s">
        <v>579</v>
      </c>
      <c r="L271" s="335" t="s">
        <v>234</v>
      </c>
      <c r="M271" s="335"/>
      <c r="N271" s="335"/>
      <c r="O271" s="11"/>
      <c r="P271" s="340"/>
      <c r="Q271" s="336"/>
      <c r="R271" s="11"/>
      <c r="S271" s="11" t="s">
        <v>1181</v>
      </c>
      <c r="T271" s="341"/>
    </row>
    <row r="272" spans="1:180" x14ac:dyDescent="0.2">
      <c r="A272" s="33" t="s">
        <v>231</v>
      </c>
      <c r="B272" s="330">
        <f t="shared" si="24"/>
        <v>29421</v>
      </c>
      <c r="C272" s="330">
        <f t="shared" si="22"/>
        <v>29452</v>
      </c>
      <c r="D272" s="331" t="s">
        <v>894</v>
      </c>
      <c r="E272" s="332" t="s">
        <v>2243</v>
      </c>
      <c r="F272" s="330">
        <v>32</v>
      </c>
      <c r="G272" s="330">
        <v>1</v>
      </c>
      <c r="H272" s="330"/>
      <c r="I272" s="333">
        <f t="shared" si="23"/>
        <v>4</v>
      </c>
      <c r="J272" s="333"/>
      <c r="K272" s="334" t="s">
        <v>579</v>
      </c>
      <c r="L272" s="335" t="s">
        <v>234</v>
      </c>
      <c r="M272" s="335"/>
      <c r="N272" s="335"/>
      <c r="O272" s="11"/>
      <c r="P272" s="336"/>
      <c r="Q272" s="336"/>
      <c r="R272" s="11"/>
      <c r="S272" s="11" t="s">
        <v>1181</v>
      </c>
      <c r="T272" s="338"/>
    </row>
    <row r="273" spans="1:20" x14ac:dyDescent="0.2">
      <c r="A273" s="33" t="s">
        <v>231</v>
      </c>
      <c r="B273" s="330">
        <f t="shared" si="24"/>
        <v>29453</v>
      </c>
      <c r="C273" s="330">
        <f t="shared" si="22"/>
        <v>29484</v>
      </c>
      <c r="D273" s="333" t="s">
        <v>894</v>
      </c>
      <c r="E273" s="339" t="s">
        <v>2244</v>
      </c>
      <c r="F273" s="330">
        <v>32</v>
      </c>
      <c r="G273" s="330">
        <v>1</v>
      </c>
      <c r="H273" s="330"/>
      <c r="I273" s="333">
        <f t="shared" si="23"/>
        <v>4</v>
      </c>
      <c r="J273" s="333"/>
      <c r="K273" s="334" t="s">
        <v>579</v>
      </c>
      <c r="L273" s="335" t="s">
        <v>234</v>
      </c>
      <c r="M273" s="335"/>
      <c r="N273" s="335"/>
      <c r="O273" s="11"/>
      <c r="P273" s="340"/>
      <c r="Q273" s="336"/>
      <c r="R273" s="11"/>
      <c r="S273" s="11" t="s">
        <v>1181</v>
      </c>
      <c r="T273" s="341"/>
    </row>
    <row r="274" spans="1:20" x14ac:dyDescent="0.2">
      <c r="A274" s="33" t="s">
        <v>231</v>
      </c>
      <c r="B274" s="330">
        <f t="shared" si="24"/>
        <v>29485</v>
      </c>
      <c r="C274" s="330">
        <f t="shared" si="22"/>
        <v>29516</v>
      </c>
      <c r="D274" s="331" t="s">
        <v>894</v>
      </c>
      <c r="E274" s="332" t="s">
        <v>2245</v>
      </c>
      <c r="F274" s="330">
        <v>32</v>
      </c>
      <c r="G274" s="330">
        <v>1</v>
      </c>
      <c r="H274" s="330"/>
      <c r="I274" s="333">
        <f t="shared" si="23"/>
        <v>4</v>
      </c>
      <c r="J274" s="333"/>
      <c r="K274" s="334" t="s">
        <v>579</v>
      </c>
      <c r="L274" s="335" t="s">
        <v>234</v>
      </c>
      <c r="M274" s="335"/>
      <c r="N274" s="335"/>
      <c r="O274" s="11"/>
      <c r="P274" s="336"/>
      <c r="Q274" s="336"/>
      <c r="R274" s="11"/>
      <c r="S274" s="11" t="s">
        <v>1181</v>
      </c>
      <c r="T274" s="338"/>
    </row>
    <row r="275" spans="1:20" x14ac:dyDescent="0.2">
      <c r="A275" s="33" t="s">
        <v>231</v>
      </c>
      <c r="B275" s="330">
        <f t="shared" si="24"/>
        <v>29517</v>
      </c>
      <c r="C275" s="330">
        <f t="shared" si="22"/>
        <v>29548</v>
      </c>
      <c r="D275" s="333" t="s">
        <v>894</v>
      </c>
      <c r="E275" s="339" t="s">
        <v>2246</v>
      </c>
      <c r="F275" s="330">
        <v>32</v>
      </c>
      <c r="G275" s="330">
        <v>1</v>
      </c>
      <c r="H275" s="330"/>
      <c r="I275" s="333">
        <f t="shared" si="23"/>
        <v>4</v>
      </c>
      <c r="J275" s="333"/>
      <c r="K275" s="334" t="s">
        <v>579</v>
      </c>
      <c r="L275" s="335" t="s">
        <v>234</v>
      </c>
      <c r="M275" s="335"/>
      <c r="N275" s="335"/>
      <c r="O275" s="11"/>
      <c r="P275" s="340"/>
      <c r="Q275" s="336"/>
      <c r="R275" s="11"/>
      <c r="S275" s="11" t="s">
        <v>1181</v>
      </c>
      <c r="T275" s="341"/>
    </row>
    <row r="276" spans="1:20" x14ac:dyDescent="0.2">
      <c r="A276" s="33" t="s">
        <v>231</v>
      </c>
      <c r="B276" s="330">
        <f t="shared" si="24"/>
        <v>29549</v>
      </c>
      <c r="C276" s="330">
        <f t="shared" si="22"/>
        <v>29580</v>
      </c>
      <c r="D276" s="331" t="s">
        <v>894</v>
      </c>
      <c r="E276" s="332" t="s">
        <v>2247</v>
      </c>
      <c r="F276" s="330">
        <v>32</v>
      </c>
      <c r="G276" s="330">
        <v>1</v>
      </c>
      <c r="H276" s="330"/>
      <c r="I276" s="333">
        <f t="shared" si="23"/>
        <v>4</v>
      </c>
      <c r="J276" s="333"/>
      <c r="K276" s="334" t="s">
        <v>579</v>
      </c>
      <c r="L276" s="335" t="s">
        <v>234</v>
      </c>
      <c r="M276" s="335"/>
      <c r="N276" s="335"/>
      <c r="O276" s="11"/>
      <c r="P276" s="336"/>
      <c r="Q276" s="336"/>
      <c r="R276" s="11"/>
      <c r="S276" s="11" t="s">
        <v>1181</v>
      </c>
      <c r="T276" s="338"/>
    </row>
    <row r="277" spans="1:20" x14ac:dyDescent="0.2">
      <c r="A277" s="33" t="s">
        <v>231</v>
      </c>
      <c r="B277" s="330">
        <f t="shared" si="24"/>
        <v>29581</v>
      </c>
      <c r="C277" s="330">
        <f t="shared" si="22"/>
        <v>29612</v>
      </c>
      <c r="D277" s="333" t="s">
        <v>894</v>
      </c>
      <c r="E277" s="339" t="s">
        <v>2248</v>
      </c>
      <c r="F277" s="330">
        <v>32</v>
      </c>
      <c r="G277" s="330">
        <v>1</v>
      </c>
      <c r="H277" s="330"/>
      <c r="I277" s="333">
        <f t="shared" si="23"/>
        <v>4</v>
      </c>
      <c r="J277" s="333"/>
      <c r="K277" s="334" t="s">
        <v>579</v>
      </c>
      <c r="L277" s="335" t="s">
        <v>234</v>
      </c>
      <c r="M277" s="335"/>
      <c r="N277" s="335"/>
      <c r="O277" s="11"/>
      <c r="P277" s="340"/>
      <c r="Q277" s="340"/>
      <c r="R277" s="11"/>
      <c r="S277" s="11" t="s">
        <v>1181</v>
      </c>
      <c r="T277" s="341"/>
    </row>
    <row r="278" spans="1:20" x14ac:dyDescent="0.2">
      <c r="A278" s="33"/>
      <c r="B278" s="47">
        <f>B279</f>
        <v>29701</v>
      </c>
      <c r="C278" s="46"/>
      <c r="D278" s="48"/>
      <c r="E278" s="26" t="s">
        <v>449</v>
      </c>
      <c r="F278" s="46"/>
      <c r="G278" s="46"/>
      <c r="H278" s="46"/>
      <c r="I278" s="48"/>
      <c r="J278" s="48"/>
      <c r="K278" s="32"/>
      <c r="L278" s="49"/>
      <c r="M278" s="49"/>
      <c r="N278" s="49"/>
      <c r="O278" s="32"/>
      <c r="P278" s="120"/>
      <c r="Q278" s="120"/>
      <c r="R278" s="143"/>
      <c r="S278" s="143"/>
      <c r="T278" s="156"/>
    </row>
    <row r="279" spans="1:20" x14ac:dyDescent="0.2">
      <c r="A279" s="33" t="s">
        <v>231</v>
      </c>
      <c r="B279" s="7">
        <v>29701</v>
      </c>
      <c r="C279" s="7">
        <f t="shared" si="22"/>
        <v>29732</v>
      </c>
      <c r="D279" s="168" t="s">
        <v>894</v>
      </c>
      <c r="E279" s="179" t="s">
        <v>597</v>
      </c>
      <c r="F279" s="7">
        <v>32</v>
      </c>
      <c r="G279" s="7">
        <v>1</v>
      </c>
      <c r="H279" s="7"/>
      <c r="I279" s="9">
        <f t="shared" ref="I279:I294" si="25">(F279*G279)/8</f>
        <v>4</v>
      </c>
      <c r="J279" s="9"/>
      <c r="K279" s="1" t="s">
        <v>241</v>
      </c>
      <c r="L279" s="11" t="s">
        <v>234</v>
      </c>
      <c r="M279" s="11"/>
      <c r="N279" s="11"/>
      <c r="O279" s="11"/>
      <c r="P279" s="136"/>
      <c r="Q279" s="136"/>
      <c r="R279" s="11"/>
      <c r="S279" s="11" t="s">
        <v>1181</v>
      </c>
      <c r="T279" s="117"/>
    </row>
    <row r="280" spans="1:20" x14ac:dyDescent="0.2">
      <c r="A280" s="33" t="s">
        <v>231</v>
      </c>
      <c r="B280" s="7">
        <f t="shared" si="24"/>
        <v>29733</v>
      </c>
      <c r="C280" s="7">
        <f t="shared" si="22"/>
        <v>29764</v>
      </c>
      <c r="D280" s="9" t="s">
        <v>894</v>
      </c>
      <c r="E280" s="8" t="s">
        <v>598</v>
      </c>
      <c r="F280" s="7">
        <v>32</v>
      </c>
      <c r="G280" s="7">
        <v>1</v>
      </c>
      <c r="H280" s="7"/>
      <c r="I280" s="9">
        <f t="shared" si="25"/>
        <v>4</v>
      </c>
      <c r="J280" s="9"/>
      <c r="K280" s="1" t="s">
        <v>241</v>
      </c>
      <c r="L280" s="11" t="s">
        <v>234</v>
      </c>
      <c r="M280" s="11"/>
      <c r="N280" s="11"/>
      <c r="O280" s="11"/>
      <c r="P280" s="136"/>
      <c r="Q280" s="136"/>
      <c r="R280" s="11"/>
      <c r="S280" s="11" t="s">
        <v>1181</v>
      </c>
      <c r="T280" s="157"/>
    </row>
    <row r="281" spans="1:20" x14ac:dyDescent="0.2">
      <c r="A281" s="33" t="s">
        <v>231</v>
      </c>
      <c r="B281" s="7">
        <f t="shared" si="24"/>
        <v>29765</v>
      </c>
      <c r="C281" s="7">
        <f t="shared" si="22"/>
        <v>29796</v>
      </c>
      <c r="D281" s="168" t="s">
        <v>894</v>
      </c>
      <c r="E281" s="179" t="s">
        <v>599</v>
      </c>
      <c r="F281" s="7">
        <v>32</v>
      </c>
      <c r="G281" s="7">
        <v>1</v>
      </c>
      <c r="H281" s="7"/>
      <c r="I281" s="9">
        <f t="shared" si="25"/>
        <v>4</v>
      </c>
      <c r="J281" s="9"/>
      <c r="K281" s="1" t="s">
        <v>241</v>
      </c>
      <c r="L281" s="11" t="s">
        <v>234</v>
      </c>
      <c r="M281" s="11"/>
      <c r="N281" s="11"/>
      <c r="O281" s="11"/>
      <c r="P281" s="136"/>
      <c r="Q281" s="136"/>
      <c r="R281" s="11"/>
      <c r="S281" s="11" t="s">
        <v>1181</v>
      </c>
      <c r="T281" s="117"/>
    </row>
    <row r="282" spans="1:20" x14ac:dyDescent="0.2">
      <c r="A282" s="33" t="s">
        <v>231</v>
      </c>
      <c r="B282" s="7">
        <f t="shared" si="24"/>
        <v>29797</v>
      </c>
      <c r="C282" s="7">
        <f t="shared" si="22"/>
        <v>29828</v>
      </c>
      <c r="D282" s="9" t="s">
        <v>894</v>
      </c>
      <c r="E282" s="8" t="s">
        <v>600</v>
      </c>
      <c r="F282" s="7">
        <v>32</v>
      </c>
      <c r="G282" s="7">
        <v>1</v>
      </c>
      <c r="H282" s="7"/>
      <c r="I282" s="9">
        <f t="shared" si="25"/>
        <v>4</v>
      </c>
      <c r="J282" s="9"/>
      <c r="K282" s="1" t="s">
        <v>241</v>
      </c>
      <c r="L282" s="11" t="s">
        <v>234</v>
      </c>
      <c r="M282" s="11"/>
      <c r="N282" s="11"/>
      <c r="O282" s="11"/>
      <c r="P282" s="136"/>
      <c r="Q282" s="136"/>
      <c r="R282" s="11"/>
      <c r="S282" s="11" t="s">
        <v>1181</v>
      </c>
      <c r="T282" s="157"/>
    </row>
    <row r="283" spans="1:20" x14ac:dyDescent="0.2">
      <c r="A283" s="33" t="s">
        <v>231</v>
      </c>
      <c r="B283" s="7">
        <f t="shared" si="24"/>
        <v>29829</v>
      </c>
      <c r="C283" s="7">
        <f t="shared" si="22"/>
        <v>29860</v>
      </c>
      <c r="D283" s="168" t="s">
        <v>894</v>
      </c>
      <c r="E283" s="179" t="s">
        <v>601</v>
      </c>
      <c r="F283" s="7">
        <v>32</v>
      </c>
      <c r="G283" s="7">
        <v>1</v>
      </c>
      <c r="H283" s="7"/>
      <c r="I283" s="9">
        <f t="shared" si="25"/>
        <v>4</v>
      </c>
      <c r="J283" s="9"/>
      <c r="K283" s="1" t="s">
        <v>241</v>
      </c>
      <c r="L283" s="11" t="s">
        <v>234</v>
      </c>
      <c r="M283" s="11"/>
      <c r="N283" s="11"/>
      <c r="O283" s="11"/>
      <c r="P283" s="136"/>
      <c r="Q283" s="136"/>
      <c r="R283" s="11"/>
      <c r="S283" s="11" t="s">
        <v>1181</v>
      </c>
      <c r="T283" s="117"/>
    </row>
    <row r="284" spans="1:20" x14ac:dyDescent="0.2">
      <c r="A284" s="33" t="s">
        <v>231</v>
      </c>
      <c r="B284" s="7">
        <f t="shared" si="24"/>
        <v>29861</v>
      </c>
      <c r="C284" s="7">
        <f t="shared" si="22"/>
        <v>29892</v>
      </c>
      <c r="D284" s="9" t="s">
        <v>894</v>
      </c>
      <c r="E284" s="8" t="s">
        <v>602</v>
      </c>
      <c r="F284" s="7">
        <v>32</v>
      </c>
      <c r="G284" s="7">
        <v>1</v>
      </c>
      <c r="H284" s="7"/>
      <c r="I284" s="9">
        <f t="shared" si="25"/>
        <v>4</v>
      </c>
      <c r="J284" s="9"/>
      <c r="K284" s="1" t="s">
        <v>241</v>
      </c>
      <c r="L284" s="11" t="s">
        <v>234</v>
      </c>
      <c r="M284" s="11"/>
      <c r="N284" s="11"/>
      <c r="O284" s="11"/>
      <c r="P284" s="136"/>
      <c r="Q284" s="136"/>
      <c r="R284" s="11"/>
      <c r="S284" s="11" t="s">
        <v>1181</v>
      </c>
      <c r="T284" s="157"/>
    </row>
    <row r="285" spans="1:20" x14ac:dyDescent="0.2">
      <c r="A285" s="33" t="s">
        <v>231</v>
      </c>
      <c r="B285" s="7">
        <f t="shared" si="24"/>
        <v>29893</v>
      </c>
      <c r="C285" s="7">
        <f t="shared" si="22"/>
        <v>29924</v>
      </c>
      <c r="D285" s="168" t="s">
        <v>894</v>
      </c>
      <c r="E285" s="179" t="s">
        <v>2114</v>
      </c>
      <c r="F285" s="7">
        <v>32</v>
      </c>
      <c r="G285" s="7">
        <v>1</v>
      </c>
      <c r="H285" s="7"/>
      <c r="I285" s="9">
        <f t="shared" si="25"/>
        <v>4</v>
      </c>
      <c r="J285" s="9"/>
      <c r="K285" s="1" t="s">
        <v>241</v>
      </c>
      <c r="L285" s="11" t="s">
        <v>234</v>
      </c>
      <c r="M285" s="11"/>
      <c r="N285" s="11"/>
      <c r="O285" s="11"/>
      <c r="P285" s="136"/>
      <c r="Q285" s="136"/>
      <c r="R285" s="11"/>
      <c r="S285" s="11" t="s">
        <v>1181</v>
      </c>
      <c r="T285" s="117"/>
    </row>
    <row r="286" spans="1:20" x14ac:dyDescent="0.2">
      <c r="A286" s="33" t="s">
        <v>231</v>
      </c>
      <c r="B286" s="7">
        <f t="shared" si="24"/>
        <v>29925</v>
      </c>
      <c r="C286" s="7">
        <f t="shared" si="22"/>
        <v>29956</v>
      </c>
      <c r="D286" s="9" t="s">
        <v>894</v>
      </c>
      <c r="E286" s="8" t="s">
        <v>2139</v>
      </c>
      <c r="F286" s="7">
        <v>32</v>
      </c>
      <c r="G286" s="7">
        <v>1</v>
      </c>
      <c r="H286" s="7"/>
      <c r="I286" s="9">
        <f t="shared" si="25"/>
        <v>4</v>
      </c>
      <c r="J286" s="9"/>
      <c r="K286" s="1" t="s">
        <v>241</v>
      </c>
      <c r="L286" s="11" t="s">
        <v>234</v>
      </c>
      <c r="M286" s="11"/>
      <c r="N286" s="11"/>
      <c r="O286" s="11"/>
      <c r="P286" s="136"/>
      <c r="Q286" s="136"/>
      <c r="R286" s="11"/>
      <c r="S286" s="11" t="s">
        <v>1181</v>
      </c>
      <c r="T286" s="157"/>
    </row>
    <row r="287" spans="1:20" x14ac:dyDescent="0.2">
      <c r="A287" s="33" t="s">
        <v>231</v>
      </c>
      <c r="B287" s="7">
        <f t="shared" si="24"/>
        <v>29957</v>
      </c>
      <c r="C287" s="7">
        <f t="shared" si="22"/>
        <v>29988</v>
      </c>
      <c r="D287" s="168" t="s">
        <v>894</v>
      </c>
      <c r="E287" s="179" t="s">
        <v>2164</v>
      </c>
      <c r="F287" s="7">
        <v>32</v>
      </c>
      <c r="G287" s="7">
        <v>1</v>
      </c>
      <c r="H287" s="7"/>
      <c r="I287" s="9">
        <f t="shared" si="25"/>
        <v>4</v>
      </c>
      <c r="J287" s="9"/>
      <c r="K287" s="1" t="s">
        <v>241</v>
      </c>
      <c r="L287" s="11" t="s">
        <v>234</v>
      </c>
      <c r="M287" s="11"/>
      <c r="N287" s="11"/>
      <c r="O287" s="11"/>
      <c r="P287" s="136"/>
      <c r="Q287" s="136"/>
      <c r="R287" s="11"/>
      <c r="S287" s="11" t="s">
        <v>1181</v>
      </c>
      <c r="T287" s="117"/>
    </row>
    <row r="288" spans="1:20" x14ac:dyDescent="0.2">
      <c r="A288" s="33" t="s">
        <v>231</v>
      </c>
      <c r="B288" s="7">
        <f t="shared" si="24"/>
        <v>29989</v>
      </c>
      <c r="C288" s="7">
        <f t="shared" si="22"/>
        <v>30020</v>
      </c>
      <c r="D288" s="9" t="s">
        <v>894</v>
      </c>
      <c r="E288" s="8" t="s">
        <v>2189</v>
      </c>
      <c r="F288" s="7">
        <v>32</v>
      </c>
      <c r="G288" s="7">
        <v>1</v>
      </c>
      <c r="H288" s="7"/>
      <c r="I288" s="9">
        <f t="shared" si="25"/>
        <v>4</v>
      </c>
      <c r="J288" s="9"/>
      <c r="K288" s="1" t="s">
        <v>241</v>
      </c>
      <c r="L288" s="11" t="s">
        <v>234</v>
      </c>
      <c r="M288" s="11"/>
      <c r="N288" s="11"/>
      <c r="O288" s="11"/>
      <c r="P288" s="136"/>
      <c r="Q288" s="136"/>
      <c r="R288" s="11"/>
      <c r="S288" s="11" t="s">
        <v>1181</v>
      </c>
      <c r="T288" s="157"/>
    </row>
    <row r="289" spans="1:20" x14ac:dyDescent="0.2">
      <c r="A289" s="33" t="s">
        <v>231</v>
      </c>
      <c r="B289" s="7">
        <f t="shared" si="24"/>
        <v>30021</v>
      </c>
      <c r="C289" s="7">
        <f t="shared" si="22"/>
        <v>30052</v>
      </c>
      <c r="D289" s="168" t="s">
        <v>894</v>
      </c>
      <c r="E289" s="179" t="s">
        <v>2249</v>
      </c>
      <c r="F289" s="7">
        <v>32</v>
      </c>
      <c r="G289" s="7">
        <v>1</v>
      </c>
      <c r="H289" s="7"/>
      <c r="I289" s="9">
        <f t="shared" si="25"/>
        <v>4</v>
      </c>
      <c r="J289" s="9"/>
      <c r="K289" s="1" t="s">
        <v>241</v>
      </c>
      <c r="L289" s="11" t="s">
        <v>234</v>
      </c>
      <c r="M289" s="11"/>
      <c r="N289" s="11"/>
      <c r="O289" s="11"/>
      <c r="P289" s="136"/>
      <c r="Q289" s="136"/>
      <c r="R289" s="11"/>
      <c r="S289" s="11" t="s">
        <v>1181</v>
      </c>
      <c r="T289" s="117"/>
    </row>
    <row r="290" spans="1:20" x14ac:dyDescent="0.2">
      <c r="A290" s="33" t="s">
        <v>231</v>
      </c>
      <c r="B290" s="7">
        <f t="shared" si="24"/>
        <v>30053</v>
      </c>
      <c r="C290" s="7">
        <f t="shared" si="22"/>
        <v>30084</v>
      </c>
      <c r="D290" s="9" t="s">
        <v>894</v>
      </c>
      <c r="E290" s="8" t="s">
        <v>2250</v>
      </c>
      <c r="F290" s="7">
        <v>32</v>
      </c>
      <c r="G290" s="7">
        <v>1</v>
      </c>
      <c r="H290" s="7"/>
      <c r="I290" s="9">
        <f t="shared" si="25"/>
        <v>4</v>
      </c>
      <c r="J290" s="9"/>
      <c r="K290" s="1" t="s">
        <v>241</v>
      </c>
      <c r="L290" s="11" t="s">
        <v>234</v>
      </c>
      <c r="M290" s="11"/>
      <c r="N290" s="11"/>
      <c r="O290" s="11"/>
      <c r="P290" s="136"/>
      <c r="Q290" s="136"/>
      <c r="R290" s="11"/>
      <c r="S290" s="11" t="s">
        <v>1181</v>
      </c>
      <c r="T290" s="157"/>
    </row>
    <row r="291" spans="1:20" x14ac:dyDescent="0.2">
      <c r="A291" s="33" t="s">
        <v>231</v>
      </c>
      <c r="B291" s="7">
        <f t="shared" si="24"/>
        <v>30085</v>
      </c>
      <c r="C291" s="7">
        <f t="shared" si="22"/>
        <v>30116</v>
      </c>
      <c r="D291" s="168" t="s">
        <v>894</v>
      </c>
      <c r="E291" s="179" t="s">
        <v>2251</v>
      </c>
      <c r="F291" s="7">
        <v>32</v>
      </c>
      <c r="G291" s="7">
        <v>1</v>
      </c>
      <c r="H291" s="7"/>
      <c r="I291" s="9">
        <f t="shared" si="25"/>
        <v>4</v>
      </c>
      <c r="J291" s="9"/>
      <c r="K291" s="1" t="s">
        <v>241</v>
      </c>
      <c r="L291" s="11" t="s">
        <v>234</v>
      </c>
      <c r="M291" s="11"/>
      <c r="N291" s="11"/>
      <c r="O291" s="11"/>
      <c r="P291" s="136"/>
      <c r="Q291" s="136"/>
      <c r="R291" s="11"/>
      <c r="S291" s="11" t="s">
        <v>1181</v>
      </c>
      <c r="T291" s="117"/>
    </row>
    <row r="292" spans="1:20" x14ac:dyDescent="0.2">
      <c r="A292" s="33" t="s">
        <v>231</v>
      </c>
      <c r="B292" s="7">
        <f t="shared" si="24"/>
        <v>30117</v>
      </c>
      <c r="C292" s="7">
        <f t="shared" si="22"/>
        <v>30148</v>
      </c>
      <c r="D292" s="9" t="s">
        <v>894</v>
      </c>
      <c r="E292" s="8" t="s">
        <v>2252</v>
      </c>
      <c r="F292" s="7">
        <v>32</v>
      </c>
      <c r="G292" s="7">
        <v>1</v>
      </c>
      <c r="H292" s="7"/>
      <c r="I292" s="9">
        <f t="shared" si="25"/>
        <v>4</v>
      </c>
      <c r="J292" s="9"/>
      <c r="K292" s="1" t="s">
        <v>241</v>
      </c>
      <c r="L292" s="11" t="s">
        <v>234</v>
      </c>
      <c r="M292" s="11"/>
      <c r="N292" s="11"/>
      <c r="O292" s="11"/>
      <c r="P292" s="136"/>
      <c r="Q292" s="136"/>
      <c r="R292" s="11"/>
      <c r="S292" s="11" t="s">
        <v>1181</v>
      </c>
      <c r="T292" s="157"/>
    </row>
    <row r="293" spans="1:20" x14ac:dyDescent="0.2">
      <c r="A293" s="33" t="s">
        <v>231</v>
      </c>
      <c r="B293" s="7">
        <f t="shared" si="24"/>
        <v>30149</v>
      </c>
      <c r="C293" s="7">
        <f t="shared" si="22"/>
        <v>30180</v>
      </c>
      <c r="D293" s="168" t="s">
        <v>894</v>
      </c>
      <c r="E293" s="179" t="s">
        <v>2253</v>
      </c>
      <c r="F293" s="7">
        <v>32</v>
      </c>
      <c r="G293" s="7">
        <v>1</v>
      </c>
      <c r="H293" s="7"/>
      <c r="I293" s="9">
        <f t="shared" si="25"/>
        <v>4</v>
      </c>
      <c r="J293" s="9"/>
      <c r="K293" s="1" t="s">
        <v>241</v>
      </c>
      <c r="L293" s="11" t="s">
        <v>234</v>
      </c>
      <c r="M293" s="11"/>
      <c r="N293" s="11"/>
      <c r="O293" s="11"/>
      <c r="P293" s="136"/>
      <c r="Q293" s="136"/>
      <c r="R293" s="11"/>
      <c r="S293" s="11" t="s">
        <v>1181</v>
      </c>
      <c r="T293" s="117"/>
    </row>
    <row r="294" spans="1:20" x14ac:dyDescent="0.2">
      <c r="A294" s="33" t="s">
        <v>231</v>
      </c>
      <c r="B294" s="7">
        <f t="shared" si="24"/>
        <v>30181</v>
      </c>
      <c r="C294" s="7">
        <f t="shared" si="22"/>
        <v>30212</v>
      </c>
      <c r="D294" s="9" t="s">
        <v>894</v>
      </c>
      <c r="E294" s="8" t="s">
        <v>2254</v>
      </c>
      <c r="F294" s="7">
        <v>32</v>
      </c>
      <c r="G294" s="7">
        <v>1</v>
      </c>
      <c r="H294" s="7"/>
      <c r="I294" s="9">
        <f t="shared" si="25"/>
        <v>4</v>
      </c>
      <c r="J294" s="9"/>
      <c r="K294" s="1" t="s">
        <v>241</v>
      </c>
      <c r="L294" s="11" t="s">
        <v>234</v>
      </c>
      <c r="M294" s="11"/>
      <c r="N294" s="11"/>
      <c r="O294" s="11"/>
      <c r="P294" s="10"/>
      <c r="Q294" s="10"/>
      <c r="R294" s="11"/>
      <c r="S294" s="11" t="s">
        <v>1181</v>
      </c>
      <c r="T294" s="157"/>
    </row>
    <row r="295" spans="1:20" x14ac:dyDescent="0.2">
      <c r="A295" s="33"/>
      <c r="B295" s="47">
        <f>B296</f>
        <v>30301</v>
      </c>
      <c r="C295" s="46"/>
      <c r="D295" s="48"/>
      <c r="E295" s="26" t="s">
        <v>450</v>
      </c>
      <c r="F295" s="46"/>
      <c r="G295" s="46"/>
      <c r="H295" s="46"/>
      <c r="I295" s="48"/>
      <c r="J295" s="48"/>
      <c r="K295" s="32"/>
      <c r="L295" s="49"/>
      <c r="M295" s="49"/>
      <c r="N295" s="49"/>
      <c r="O295" s="32"/>
      <c r="P295" s="120"/>
      <c r="Q295" s="120"/>
      <c r="R295" s="143"/>
      <c r="S295" s="143"/>
      <c r="T295" s="156"/>
    </row>
    <row r="296" spans="1:20" x14ac:dyDescent="0.2">
      <c r="A296" s="33" t="s">
        <v>231</v>
      </c>
      <c r="B296" s="7">
        <v>30301</v>
      </c>
      <c r="C296" s="7">
        <f t="shared" ref="C296:C311" si="26">B296+($F296*$G296)-1</f>
        <v>30332</v>
      </c>
      <c r="D296" s="168" t="s">
        <v>894</v>
      </c>
      <c r="E296" s="179" t="s">
        <v>195</v>
      </c>
      <c r="F296" s="7">
        <v>32</v>
      </c>
      <c r="G296" s="7">
        <v>1</v>
      </c>
      <c r="H296" s="7"/>
      <c r="I296" s="9">
        <f t="shared" ref="I296:I311" si="27">(F296*G296)/8</f>
        <v>4</v>
      </c>
      <c r="J296" s="9"/>
      <c r="K296" s="1" t="s">
        <v>884</v>
      </c>
      <c r="L296" s="11" t="s">
        <v>234</v>
      </c>
      <c r="M296" s="11"/>
      <c r="N296" s="11"/>
      <c r="O296" s="11"/>
      <c r="P296" s="136"/>
      <c r="Q296" s="136"/>
      <c r="R296" s="11"/>
      <c r="S296" s="11" t="s">
        <v>1181</v>
      </c>
      <c r="T296" s="117"/>
    </row>
    <row r="297" spans="1:20" x14ac:dyDescent="0.2">
      <c r="A297" s="33" t="s">
        <v>231</v>
      </c>
      <c r="B297" s="7">
        <f t="shared" si="24"/>
        <v>30333</v>
      </c>
      <c r="C297" s="7">
        <f t="shared" si="26"/>
        <v>30364</v>
      </c>
      <c r="D297" s="9" t="s">
        <v>894</v>
      </c>
      <c r="E297" s="8" t="s">
        <v>196</v>
      </c>
      <c r="F297" s="7">
        <v>32</v>
      </c>
      <c r="G297" s="7">
        <v>1</v>
      </c>
      <c r="H297" s="7"/>
      <c r="I297" s="9">
        <f t="shared" si="27"/>
        <v>4</v>
      </c>
      <c r="J297" s="9"/>
      <c r="K297" s="1" t="s">
        <v>884</v>
      </c>
      <c r="L297" s="11" t="s">
        <v>234</v>
      </c>
      <c r="M297" s="11"/>
      <c r="N297" s="11"/>
      <c r="O297" s="11"/>
      <c r="P297" s="136"/>
      <c r="Q297" s="136"/>
      <c r="R297" s="11"/>
      <c r="S297" s="11" t="s">
        <v>1181</v>
      </c>
      <c r="T297" s="157"/>
    </row>
    <row r="298" spans="1:20" x14ac:dyDescent="0.2">
      <c r="A298" s="33" t="s">
        <v>231</v>
      </c>
      <c r="B298" s="7">
        <f t="shared" si="24"/>
        <v>30365</v>
      </c>
      <c r="C298" s="7">
        <f t="shared" si="26"/>
        <v>30396</v>
      </c>
      <c r="D298" s="168" t="s">
        <v>894</v>
      </c>
      <c r="E298" s="179" t="s">
        <v>197</v>
      </c>
      <c r="F298" s="7">
        <v>32</v>
      </c>
      <c r="G298" s="7">
        <v>1</v>
      </c>
      <c r="H298" s="7"/>
      <c r="I298" s="9">
        <f t="shared" si="27"/>
        <v>4</v>
      </c>
      <c r="J298" s="9"/>
      <c r="K298" s="1" t="s">
        <v>884</v>
      </c>
      <c r="L298" s="11" t="s">
        <v>234</v>
      </c>
      <c r="M298" s="11"/>
      <c r="N298" s="11"/>
      <c r="O298" s="11"/>
      <c r="P298" s="136"/>
      <c r="Q298" s="136"/>
      <c r="R298" s="11"/>
      <c r="S298" s="11" t="s">
        <v>1181</v>
      </c>
      <c r="T298" s="117"/>
    </row>
    <row r="299" spans="1:20" x14ac:dyDescent="0.2">
      <c r="A299" s="33" t="s">
        <v>231</v>
      </c>
      <c r="B299" s="7">
        <f t="shared" si="24"/>
        <v>30397</v>
      </c>
      <c r="C299" s="7">
        <f t="shared" si="26"/>
        <v>30428</v>
      </c>
      <c r="D299" s="9" t="s">
        <v>894</v>
      </c>
      <c r="E299" s="8" t="s">
        <v>198</v>
      </c>
      <c r="F299" s="7">
        <v>32</v>
      </c>
      <c r="G299" s="7">
        <v>1</v>
      </c>
      <c r="H299" s="7"/>
      <c r="I299" s="9">
        <f t="shared" si="27"/>
        <v>4</v>
      </c>
      <c r="J299" s="9"/>
      <c r="K299" s="1" t="s">
        <v>884</v>
      </c>
      <c r="L299" s="11" t="s">
        <v>234</v>
      </c>
      <c r="M299" s="11"/>
      <c r="N299" s="11"/>
      <c r="O299" s="11"/>
      <c r="P299" s="136"/>
      <c r="Q299" s="136"/>
      <c r="R299" s="11"/>
      <c r="S299" s="11" t="s">
        <v>1181</v>
      </c>
      <c r="T299" s="157"/>
    </row>
    <row r="300" spans="1:20" x14ac:dyDescent="0.2">
      <c r="A300" s="33" t="s">
        <v>231</v>
      </c>
      <c r="B300" s="7">
        <f t="shared" si="24"/>
        <v>30429</v>
      </c>
      <c r="C300" s="7">
        <f t="shared" si="26"/>
        <v>30460</v>
      </c>
      <c r="D300" s="168" t="s">
        <v>894</v>
      </c>
      <c r="E300" s="179" t="s">
        <v>199</v>
      </c>
      <c r="F300" s="7">
        <v>32</v>
      </c>
      <c r="G300" s="7">
        <v>1</v>
      </c>
      <c r="H300" s="7"/>
      <c r="I300" s="9">
        <f t="shared" si="27"/>
        <v>4</v>
      </c>
      <c r="J300" s="9"/>
      <c r="K300" s="1" t="s">
        <v>884</v>
      </c>
      <c r="L300" s="11" t="s">
        <v>234</v>
      </c>
      <c r="M300" s="11"/>
      <c r="N300" s="11"/>
      <c r="O300" s="11"/>
      <c r="P300" s="136"/>
      <c r="Q300" s="136"/>
      <c r="R300" s="11"/>
      <c r="S300" s="11" t="s">
        <v>1181</v>
      </c>
      <c r="T300" s="117"/>
    </row>
    <row r="301" spans="1:20" x14ac:dyDescent="0.2">
      <c r="A301" s="33" t="s">
        <v>231</v>
      </c>
      <c r="B301" s="7">
        <f t="shared" si="24"/>
        <v>30461</v>
      </c>
      <c r="C301" s="7">
        <f t="shared" si="26"/>
        <v>30492</v>
      </c>
      <c r="D301" s="9" t="s">
        <v>894</v>
      </c>
      <c r="E301" s="8" t="s">
        <v>200</v>
      </c>
      <c r="F301" s="7">
        <v>32</v>
      </c>
      <c r="G301" s="7">
        <v>1</v>
      </c>
      <c r="H301" s="7"/>
      <c r="I301" s="9">
        <f t="shared" si="27"/>
        <v>4</v>
      </c>
      <c r="J301" s="9"/>
      <c r="K301" s="1" t="s">
        <v>884</v>
      </c>
      <c r="L301" s="11" t="s">
        <v>234</v>
      </c>
      <c r="M301" s="11"/>
      <c r="N301" s="11"/>
      <c r="O301" s="11"/>
      <c r="P301" s="136"/>
      <c r="Q301" s="136"/>
      <c r="R301" s="11"/>
      <c r="S301" s="11" t="s">
        <v>1181</v>
      </c>
      <c r="T301" s="157"/>
    </row>
    <row r="302" spans="1:20" x14ac:dyDescent="0.2">
      <c r="A302" s="33" t="s">
        <v>231</v>
      </c>
      <c r="B302" s="7">
        <f t="shared" si="24"/>
        <v>30493</v>
      </c>
      <c r="C302" s="7">
        <f t="shared" si="26"/>
        <v>30524</v>
      </c>
      <c r="D302" s="168" t="s">
        <v>894</v>
      </c>
      <c r="E302" s="179" t="s">
        <v>2115</v>
      </c>
      <c r="F302" s="7">
        <v>32</v>
      </c>
      <c r="G302" s="7">
        <v>1</v>
      </c>
      <c r="H302" s="7"/>
      <c r="I302" s="9">
        <f t="shared" si="27"/>
        <v>4</v>
      </c>
      <c r="J302" s="9"/>
      <c r="K302" s="1" t="s">
        <v>884</v>
      </c>
      <c r="L302" s="11" t="s">
        <v>234</v>
      </c>
      <c r="M302" s="11"/>
      <c r="N302" s="11"/>
      <c r="O302" s="11"/>
      <c r="P302" s="136"/>
      <c r="Q302" s="136"/>
      <c r="R302" s="11"/>
      <c r="S302" s="11" t="s">
        <v>1181</v>
      </c>
      <c r="T302" s="117"/>
    </row>
    <row r="303" spans="1:20" x14ac:dyDescent="0.2">
      <c r="A303" s="33" t="s">
        <v>231</v>
      </c>
      <c r="B303" s="7">
        <f t="shared" si="24"/>
        <v>30525</v>
      </c>
      <c r="C303" s="7">
        <f t="shared" si="26"/>
        <v>30556</v>
      </c>
      <c r="D303" s="9" t="s">
        <v>894</v>
      </c>
      <c r="E303" s="8" t="s">
        <v>2140</v>
      </c>
      <c r="F303" s="7">
        <v>32</v>
      </c>
      <c r="G303" s="7">
        <v>1</v>
      </c>
      <c r="H303" s="7"/>
      <c r="I303" s="9">
        <f t="shared" si="27"/>
        <v>4</v>
      </c>
      <c r="J303" s="9"/>
      <c r="K303" s="1" t="s">
        <v>884</v>
      </c>
      <c r="L303" s="11" t="s">
        <v>234</v>
      </c>
      <c r="M303" s="11"/>
      <c r="N303" s="11"/>
      <c r="O303" s="11"/>
      <c r="P303" s="136"/>
      <c r="Q303" s="136"/>
      <c r="R303" s="11"/>
      <c r="S303" s="11" t="s">
        <v>1181</v>
      </c>
      <c r="T303" s="157"/>
    </row>
    <row r="304" spans="1:20" x14ac:dyDescent="0.2">
      <c r="A304" s="33" t="s">
        <v>231</v>
      </c>
      <c r="B304" s="7">
        <f t="shared" si="24"/>
        <v>30557</v>
      </c>
      <c r="C304" s="7">
        <f t="shared" si="26"/>
        <v>30588</v>
      </c>
      <c r="D304" s="168" t="s">
        <v>894</v>
      </c>
      <c r="E304" s="179" t="s">
        <v>2165</v>
      </c>
      <c r="F304" s="7">
        <v>32</v>
      </c>
      <c r="G304" s="7">
        <v>1</v>
      </c>
      <c r="H304" s="7"/>
      <c r="I304" s="9">
        <f t="shared" si="27"/>
        <v>4</v>
      </c>
      <c r="J304" s="9"/>
      <c r="K304" s="1" t="s">
        <v>884</v>
      </c>
      <c r="L304" s="11" t="s">
        <v>234</v>
      </c>
      <c r="M304" s="11"/>
      <c r="N304" s="11"/>
      <c r="O304" s="11"/>
      <c r="P304" s="136"/>
      <c r="Q304" s="136"/>
      <c r="R304" s="11"/>
      <c r="S304" s="11" t="s">
        <v>1181</v>
      </c>
      <c r="T304" s="117"/>
    </row>
    <row r="305" spans="1:20" x14ac:dyDescent="0.2">
      <c r="A305" s="33" t="s">
        <v>231</v>
      </c>
      <c r="B305" s="7">
        <f t="shared" si="24"/>
        <v>30589</v>
      </c>
      <c r="C305" s="7">
        <f t="shared" si="26"/>
        <v>30620</v>
      </c>
      <c r="D305" s="9" t="s">
        <v>894</v>
      </c>
      <c r="E305" s="8" t="s">
        <v>2190</v>
      </c>
      <c r="F305" s="7">
        <v>32</v>
      </c>
      <c r="G305" s="7">
        <v>1</v>
      </c>
      <c r="H305" s="7"/>
      <c r="I305" s="9">
        <f t="shared" si="27"/>
        <v>4</v>
      </c>
      <c r="J305" s="9"/>
      <c r="K305" s="1" t="s">
        <v>884</v>
      </c>
      <c r="L305" s="11" t="s">
        <v>234</v>
      </c>
      <c r="M305" s="11"/>
      <c r="N305" s="11"/>
      <c r="O305" s="11"/>
      <c r="P305" s="136"/>
      <c r="Q305" s="136"/>
      <c r="R305" s="11"/>
      <c r="S305" s="11" t="s">
        <v>1181</v>
      </c>
      <c r="T305" s="157"/>
    </row>
    <row r="306" spans="1:20" x14ac:dyDescent="0.2">
      <c r="A306" s="33" t="s">
        <v>231</v>
      </c>
      <c r="B306" s="7">
        <f t="shared" si="24"/>
        <v>30621</v>
      </c>
      <c r="C306" s="7">
        <f t="shared" si="26"/>
        <v>30652</v>
      </c>
      <c r="D306" s="168" t="s">
        <v>894</v>
      </c>
      <c r="E306" s="179" t="s">
        <v>2255</v>
      </c>
      <c r="F306" s="7">
        <v>32</v>
      </c>
      <c r="G306" s="7">
        <v>1</v>
      </c>
      <c r="H306" s="7"/>
      <c r="I306" s="9">
        <f t="shared" si="27"/>
        <v>4</v>
      </c>
      <c r="J306" s="9"/>
      <c r="K306" s="1" t="s">
        <v>884</v>
      </c>
      <c r="L306" s="11" t="s">
        <v>234</v>
      </c>
      <c r="M306" s="11"/>
      <c r="N306" s="11"/>
      <c r="O306" s="11"/>
      <c r="P306" s="136"/>
      <c r="Q306" s="136"/>
      <c r="R306" s="11"/>
      <c r="S306" s="11" t="s">
        <v>1181</v>
      </c>
      <c r="T306" s="117"/>
    </row>
    <row r="307" spans="1:20" x14ac:dyDescent="0.2">
      <c r="A307" s="33" t="s">
        <v>231</v>
      </c>
      <c r="B307" s="7">
        <f t="shared" si="24"/>
        <v>30653</v>
      </c>
      <c r="C307" s="7">
        <f t="shared" si="26"/>
        <v>30684</v>
      </c>
      <c r="D307" s="9" t="s">
        <v>894</v>
      </c>
      <c r="E307" s="8" t="s">
        <v>2256</v>
      </c>
      <c r="F307" s="7">
        <v>32</v>
      </c>
      <c r="G307" s="7">
        <v>1</v>
      </c>
      <c r="H307" s="7"/>
      <c r="I307" s="9">
        <f t="shared" si="27"/>
        <v>4</v>
      </c>
      <c r="J307" s="9"/>
      <c r="K307" s="1" t="s">
        <v>884</v>
      </c>
      <c r="L307" s="11" t="s">
        <v>234</v>
      </c>
      <c r="M307" s="11"/>
      <c r="N307" s="11"/>
      <c r="O307" s="11"/>
      <c r="P307" s="136"/>
      <c r="Q307" s="136"/>
      <c r="R307" s="11"/>
      <c r="S307" s="11" t="s">
        <v>1181</v>
      </c>
      <c r="T307" s="157"/>
    </row>
    <row r="308" spans="1:20" x14ac:dyDescent="0.2">
      <c r="A308" s="33" t="s">
        <v>231</v>
      </c>
      <c r="B308" s="7">
        <f t="shared" si="24"/>
        <v>30685</v>
      </c>
      <c r="C308" s="7">
        <f t="shared" si="26"/>
        <v>30716</v>
      </c>
      <c r="D308" s="168" t="s">
        <v>894</v>
      </c>
      <c r="E308" s="179" t="s">
        <v>2257</v>
      </c>
      <c r="F308" s="7">
        <v>32</v>
      </c>
      <c r="G308" s="7">
        <v>1</v>
      </c>
      <c r="H308" s="7"/>
      <c r="I308" s="9">
        <f t="shared" si="27"/>
        <v>4</v>
      </c>
      <c r="J308" s="9"/>
      <c r="K308" s="1" t="s">
        <v>884</v>
      </c>
      <c r="L308" s="11" t="s">
        <v>234</v>
      </c>
      <c r="M308" s="11"/>
      <c r="N308" s="11"/>
      <c r="O308" s="11"/>
      <c r="P308" s="136"/>
      <c r="Q308" s="136"/>
      <c r="R308" s="11"/>
      <c r="S308" s="11" t="s">
        <v>1181</v>
      </c>
      <c r="T308" s="117"/>
    </row>
    <row r="309" spans="1:20" x14ac:dyDescent="0.2">
      <c r="A309" s="33" t="s">
        <v>231</v>
      </c>
      <c r="B309" s="7">
        <f t="shared" si="24"/>
        <v>30717</v>
      </c>
      <c r="C309" s="7">
        <f t="shared" si="26"/>
        <v>30748</v>
      </c>
      <c r="D309" s="9" t="s">
        <v>894</v>
      </c>
      <c r="E309" s="8" t="s">
        <v>2258</v>
      </c>
      <c r="F309" s="7">
        <v>32</v>
      </c>
      <c r="G309" s="7">
        <v>1</v>
      </c>
      <c r="H309" s="7"/>
      <c r="I309" s="9">
        <f t="shared" si="27"/>
        <v>4</v>
      </c>
      <c r="J309" s="9"/>
      <c r="K309" s="1" t="s">
        <v>884</v>
      </c>
      <c r="L309" s="11" t="s">
        <v>234</v>
      </c>
      <c r="M309" s="11"/>
      <c r="N309" s="11"/>
      <c r="O309" s="11"/>
      <c r="P309" s="136"/>
      <c r="Q309" s="136"/>
      <c r="R309" s="11"/>
      <c r="S309" s="11" t="s">
        <v>1181</v>
      </c>
      <c r="T309" s="157"/>
    </row>
    <row r="310" spans="1:20" x14ac:dyDescent="0.2">
      <c r="A310" s="33" t="s">
        <v>231</v>
      </c>
      <c r="B310" s="7">
        <f t="shared" si="24"/>
        <v>30749</v>
      </c>
      <c r="C310" s="7">
        <f t="shared" si="26"/>
        <v>30780</v>
      </c>
      <c r="D310" s="168" t="s">
        <v>894</v>
      </c>
      <c r="E310" s="179" t="s">
        <v>2259</v>
      </c>
      <c r="F310" s="7">
        <v>32</v>
      </c>
      <c r="G310" s="7">
        <v>1</v>
      </c>
      <c r="H310" s="7"/>
      <c r="I310" s="9">
        <f t="shared" si="27"/>
        <v>4</v>
      </c>
      <c r="J310" s="9"/>
      <c r="K310" s="1" t="s">
        <v>884</v>
      </c>
      <c r="L310" s="11" t="s">
        <v>234</v>
      </c>
      <c r="M310" s="11"/>
      <c r="N310" s="11"/>
      <c r="O310" s="11"/>
      <c r="P310" s="136"/>
      <c r="Q310" s="136"/>
      <c r="R310" s="11"/>
      <c r="S310" s="11" t="s">
        <v>1181</v>
      </c>
      <c r="T310" s="117"/>
    </row>
    <row r="311" spans="1:20" x14ac:dyDescent="0.2">
      <c r="A311" s="33" t="s">
        <v>231</v>
      </c>
      <c r="B311" s="7">
        <f t="shared" si="24"/>
        <v>30781</v>
      </c>
      <c r="C311" s="7">
        <f t="shared" si="26"/>
        <v>30812</v>
      </c>
      <c r="D311" s="9" t="s">
        <v>894</v>
      </c>
      <c r="E311" s="8" t="s">
        <v>2260</v>
      </c>
      <c r="F311" s="7">
        <v>32</v>
      </c>
      <c r="G311" s="7">
        <v>1</v>
      </c>
      <c r="H311" s="7"/>
      <c r="I311" s="9">
        <f t="shared" si="27"/>
        <v>4</v>
      </c>
      <c r="J311" s="9"/>
      <c r="K311" s="1" t="s">
        <v>884</v>
      </c>
      <c r="L311" s="11" t="s">
        <v>234</v>
      </c>
      <c r="M311" s="11"/>
      <c r="N311" s="11"/>
      <c r="O311" s="11"/>
      <c r="P311" s="10"/>
      <c r="Q311" s="10"/>
      <c r="R311" s="11"/>
      <c r="S311" s="11" t="s">
        <v>1181</v>
      </c>
      <c r="T311" s="157"/>
    </row>
    <row r="312" spans="1:20" x14ac:dyDescent="0.2">
      <c r="A312" s="33"/>
      <c r="B312" s="47">
        <f>B313</f>
        <v>31001</v>
      </c>
      <c r="C312" s="46"/>
      <c r="D312" s="48"/>
      <c r="E312" s="26" t="s">
        <v>1813</v>
      </c>
      <c r="F312" s="46"/>
      <c r="G312" s="46"/>
      <c r="H312" s="46"/>
      <c r="I312" s="48"/>
      <c r="J312" s="48"/>
      <c r="K312" s="49"/>
      <c r="L312" s="32"/>
      <c r="M312" s="32"/>
      <c r="N312" s="32"/>
      <c r="O312" s="32"/>
      <c r="P312" s="122"/>
      <c r="R312" s="143"/>
      <c r="S312" s="143"/>
      <c r="T312" s="156"/>
    </row>
    <row r="313" spans="1:20" x14ac:dyDescent="0.2">
      <c r="A313" s="33" t="s">
        <v>231</v>
      </c>
      <c r="B313" s="7">
        <v>31001</v>
      </c>
      <c r="C313" s="7">
        <f>B313+($F313*$G313)-1</f>
        <v>31064</v>
      </c>
      <c r="D313" s="168" t="s">
        <v>894</v>
      </c>
      <c r="E313" s="375" t="s">
        <v>1813</v>
      </c>
      <c r="F313" s="372">
        <v>64</v>
      </c>
      <c r="G313" s="372">
        <v>1</v>
      </c>
      <c r="H313" s="372"/>
      <c r="I313" s="368">
        <f>(F313*G313)/8</f>
        <v>8</v>
      </c>
      <c r="J313" s="368"/>
      <c r="K313" s="369" t="s">
        <v>393</v>
      </c>
      <c r="L313" s="11" t="s">
        <v>234</v>
      </c>
      <c r="M313" s="11"/>
      <c r="N313" s="11"/>
      <c r="O313" s="11"/>
      <c r="P313" s="10"/>
      <c r="Q313" s="10"/>
      <c r="R313" s="11"/>
      <c r="S313" s="11" t="s">
        <v>1181</v>
      </c>
      <c r="T313" s="117"/>
    </row>
    <row r="314" spans="1:20" x14ac:dyDescent="0.2">
      <c r="A314" s="33"/>
      <c r="B314" s="47">
        <f>B315</f>
        <v>31201</v>
      </c>
      <c r="C314" s="46"/>
      <c r="D314" s="48"/>
      <c r="E314" s="26" t="s">
        <v>1824</v>
      </c>
      <c r="F314" s="46"/>
      <c r="G314" s="46"/>
      <c r="H314" s="46"/>
      <c r="I314" s="48"/>
      <c r="J314" s="48"/>
      <c r="K314" s="49"/>
      <c r="L314" s="32"/>
      <c r="M314" s="32"/>
      <c r="N314" s="32"/>
      <c r="O314" s="32"/>
      <c r="P314" s="122"/>
      <c r="R314" s="143"/>
      <c r="S314" s="143"/>
      <c r="T314" s="156"/>
    </row>
    <row r="315" spans="1:20" x14ac:dyDescent="0.2">
      <c r="A315" s="33" t="s">
        <v>231</v>
      </c>
      <c r="B315" s="7">
        <v>31201</v>
      </c>
      <c r="C315" s="7">
        <f>B315+($F315*$G315)-1</f>
        <v>31264</v>
      </c>
      <c r="D315" s="168" t="s">
        <v>894</v>
      </c>
      <c r="E315" s="375" t="s">
        <v>1825</v>
      </c>
      <c r="F315" s="372">
        <v>64</v>
      </c>
      <c r="G315" s="372">
        <v>1</v>
      </c>
      <c r="H315" s="372"/>
      <c r="I315" s="368">
        <f>(F315*G315)/8</f>
        <v>8</v>
      </c>
      <c r="J315" s="368"/>
      <c r="K315" s="369" t="s">
        <v>397</v>
      </c>
      <c r="L315" s="11" t="s">
        <v>234</v>
      </c>
      <c r="M315" s="11"/>
      <c r="N315" s="11"/>
      <c r="O315" s="11"/>
      <c r="P315" s="10"/>
      <c r="Q315" s="10"/>
      <c r="R315" s="11"/>
      <c r="S315" s="11" t="s">
        <v>1181</v>
      </c>
      <c r="T315" s="117"/>
    </row>
    <row r="316" spans="1:20" x14ac:dyDescent="0.2">
      <c r="A316" s="33"/>
      <c r="B316" s="47">
        <f>B317</f>
        <v>31401</v>
      </c>
      <c r="C316" s="46"/>
      <c r="D316" s="48"/>
      <c r="E316" s="26" t="s">
        <v>1826</v>
      </c>
      <c r="F316" s="46"/>
      <c r="G316" s="46"/>
      <c r="H316" s="46"/>
      <c r="I316" s="48"/>
      <c r="J316" s="48"/>
      <c r="K316" s="49"/>
      <c r="L316" s="32"/>
      <c r="M316" s="32"/>
      <c r="N316" s="32"/>
      <c r="O316" s="32"/>
      <c r="P316" s="122"/>
      <c r="R316" s="143"/>
      <c r="S316" s="143"/>
      <c r="T316" s="156"/>
    </row>
    <row r="317" spans="1:20" x14ac:dyDescent="0.2">
      <c r="A317" s="33" t="s">
        <v>231</v>
      </c>
      <c r="B317" s="7">
        <v>31401</v>
      </c>
      <c r="C317" s="7">
        <f>B317+($F317*$G317)-1</f>
        <v>31528</v>
      </c>
      <c r="D317" s="168" t="s">
        <v>894</v>
      </c>
      <c r="E317" s="375" t="s">
        <v>1826</v>
      </c>
      <c r="F317" s="372">
        <v>128</v>
      </c>
      <c r="G317" s="372">
        <v>1</v>
      </c>
      <c r="H317" s="372"/>
      <c r="I317" s="368">
        <f>(F317*G317)/8</f>
        <v>16</v>
      </c>
      <c r="J317" s="368"/>
      <c r="K317" s="369" t="s">
        <v>1946</v>
      </c>
      <c r="L317" s="11" t="s">
        <v>234</v>
      </c>
      <c r="M317" s="11"/>
      <c r="N317" s="11"/>
      <c r="O317" s="11"/>
      <c r="P317" s="10"/>
      <c r="Q317" s="10"/>
      <c r="R317" s="11"/>
      <c r="S317" s="11" t="s">
        <v>1181</v>
      </c>
      <c r="T317" s="117"/>
    </row>
    <row r="318" spans="1:20" x14ac:dyDescent="0.2">
      <c r="A318" s="33"/>
      <c r="B318" s="47">
        <f>B319</f>
        <v>31601</v>
      </c>
      <c r="C318" s="46"/>
      <c r="D318" s="48"/>
      <c r="E318" s="26" t="s">
        <v>1857</v>
      </c>
      <c r="F318" s="46"/>
      <c r="G318" s="46"/>
      <c r="H318" s="46"/>
      <c r="I318" s="48"/>
      <c r="J318" s="48"/>
      <c r="K318" s="49"/>
      <c r="L318" s="32"/>
      <c r="M318" s="32"/>
      <c r="N318" s="32"/>
      <c r="O318" s="32"/>
      <c r="P318" s="122"/>
      <c r="R318" s="143"/>
      <c r="S318" s="143"/>
      <c r="T318" s="156"/>
    </row>
    <row r="319" spans="1:20" x14ac:dyDescent="0.2">
      <c r="A319" s="33" t="s">
        <v>231</v>
      </c>
      <c r="B319" s="7">
        <v>31601</v>
      </c>
      <c r="C319" s="7">
        <f>B319+($F319*$G319)-1</f>
        <v>31728</v>
      </c>
      <c r="D319" s="168" t="s">
        <v>894</v>
      </c>
      <c r="E319" s="375" t="s">
        <v>1856</v>
      </c>
      <c r="F319" s="372">
        <v>128</v>
      </c>
      <c r="G319" s="372">
        <v>1</v>
      </c>
      <c r="H319" s="372"/>
      <c r="I319" s="368">
        <f>(F319*G319)/8</f>
        <v>16</v>
      </c>
      <c r="J319" s="368"/>
      <c r="K319" s="369" t="s">
        <v>397</v>
      </c>
      <c r="L319" s="11" t="s">
        <v>234</v>
      </c>
      <c r="M319" s="11"/>
      <c r="N319" s="11"/>
      <c r="O319" s="11"/>
      <c r="P319" s="10"/>
      <c r="Q319" s="10"/>
      <c r="R319" s="11"/>
      <c r="S319" s="11" t="s">
        <v>1181</v>
      </c>
      <c r="T319" s="117"/>
    </row>
    <row r="320" spans="1:20" x14ac:dyDescent="0.2">
      <c r="A320" s="33"/>
      <c r="B320" s="47">
        <f>B321</f>
        <v>31801</v>
      </c>
      <c r="C320" s="46"/>
      <c r="D320" s="48"/>
      <c r="E320" s="26" t="s">
        <v>1814</v>
      </c>
      <c r="F320" s="46"/>
      <c r="G320" s="46"/>
      <c r="H320" s="46"/>
      <c r="I320" s="48"/>
      <c r="J320" s="48"/>
      <c r="K320" s="49"/>
      <c r="L320" s="32"/>
      <c r="M320" s="32"/>
      <c r="N320" s="32"/>
      <c r="O320" s="32"/>
      <c r="P320" s="122"/>
      <c r="R320" s="143"/>
      <c r="S320" s="143"/>
      <c r="T320" s="156"/>
    </row>
    <row r="321" spans="1:20" x14ac:dyDescent="0.2">
      <c r="A321" s="33" t="s">
        <v>231</v>
      </c>
      <c r="B321" s="7">
        <v>31801</v>
      </c>
      <c r="C321" s="7">
        <f>B321+($F321*$G321)-1</f>
        <v>32312</v>
      </c>
      <c r="D321" s="168" t="s">
        <v>894</v>
      </c>
      <c r="E321" s="375" t="s">
        <v>1814</v>
      </c>
      <c r="F321" s="372">
        <v>512</v>
      </c>
      <c r="G321" s="372">
        <v>1</v>
      </c>
      <c r="H321" s="372"/>
      <c r="I321" s="368">
        <f>(F321*G321)/8</f>
        <v>64</v>
      </c>
      <c r="J321" s="368"/>
      <c r="K321" s="369" t="s">
        <v>393</v>
      </c>
      <c r="L321" s="11" t="s">
        <v>234</v>
      </c>
      <c r="M321" s="11"/>
      <c r="N321" s="11"/>
      <c r="O321" s="11"/>
      <c r="P321" s="10"/>
      <c r="Q321" s="10"/>
      <c r="R321" s="11"/>
      <c r="S321" s="11" t="s">
        <v>1181</v>
      </c>
      <c r="T321" s="117"/>
    </row>
    <row r="322" spans="1:20" x14ac:dyDescent="0.2">
      <c r="A322" s="190"/>
      <c r="B322" s="38"/>
      <c r="C322" s="38"/>
      <c r="D322" s="130"/>
      <c r="E322" s="39" t="s">
        <v>483</v>
      </c>
      <c r="F322" s="38">
        <f>SUM(F155:F311)</f>
        <v>6690</v>
      </c>
      <c r="G322" s="38">
        <f>SUM(G155:G311)</f>
        <v>132</v>
      </c>
      <c r="H322" s="38"/>
      <c r="I322" s="38">
        <f>SUM(I155:I311)</f>
        <v>834.375</v>
      </c>
      <c r="J322" s="38"/>
      <c r="K322" s="40"/>
      <c r="L322" s="40"/>
      <c r="M322" s="40"/>
      <c r="N322" s="40"/>
      <c r="O322" s="41"/>
      <c r="P322" s="126"/>
      <c r="Q322" s="126"/>
      <c r="R322" s="147"/>
      <c r="S322" s="147"/>
      <c r="T322" s="159"/>
    </row>
    <row r="323" spans="1:20" x14ac:dyDescent="0.2">
      <c r="A323" s="38"/>
      <c r="B323" s="190"/>
      <c r="C323" s="190"/>
      <c r="D323" s="191"/>
      <c r="E323" s="200" t="s">
        <v>484</v>
      </c>
      <c r="F323" s="199">
        <f>F322+F131</f>
        <v>6690</v>
      </c>
      <c r="G323" s="190"/>
      <c r="H323" s="190"/>
      <c r="I323" s="199">
        <f>I322+I131</f>
        <v>834.375</v>
      </c>
      <c r="J323" s="199"/>
      <c r="K323" s="192"/>
      <c r="L323" s="192"/>
      <c r="M323" s="192"/>
      <c r="N323" s="192"/>
      <c r="O323" s="193"/>
      <c r="P323" s="192"/>
      <c r="Q323" s="192"/>
      <c r="R323" s="194"/>
      <c r="S323" s="194"/>
      <c r="T323" s="195"/>
    </row>
    <row r="324" spans="1:20" x14ac:dyDescent="0.2">
      <c r="A324" s="38"/>
      <c r="B324" s="190"/>
      <c r="C324" s="190"/>
      <c r="D324" s="191"/>
      <c r="E324" s="200"/>
      <c r="F324" s="199"/>
      <c r="G324" s="190"/>
      <c r="H324" s="190"/>
      <c r="I324" s="199"/>
      <c r="J324" s="199"/>
      <c r="K324" s="192"/>
      <c r="L324" s="192"/>
      <c r="M324" s="192"/>
      <c r="N324" s="192"/>
      <c r="O324" s="193"/>
      <c r="P324" s="192"/>
      <c r="Q324" s="192"/>
      <c r="R324" s="194"/>
      <c r="S324" s="194"/>
      <c r="T324" s="195"/>
    </row>
    <row r="325" spans="1:20" ht="18" customHeight="1" x14ac:dyDescent="0.25">
      <c r="A325" s="472" t="s">
        <v>1442</v>
      </c>
      <c r="B325" s="472"/>
      <c r="C325" s="472"/>
      <c r="D325" s="472"/>
      <c r="E325" s="472"/>
      <c r="F325" s="472"/>
      <c r="G325" s="472"/>
      <c r="H325" s="472"/>
      <c r="I325" s="472"/>
      <c r="J325" s="472"/>
      <c r="K325" s="472"/>
      <c r="L325" s="472"/>
      <c r="M325" s="472"/>
      <c r="N325" s="472"/>
      <c r="O325" s="472"/>
      <c r="P325" s="472"/>
      <c r="Q325" s="472"/>
      <c r="R325" s="472"/>
      <c r="S325" s="472"/>
      <c r="T325" s="472"/>
    </row>
    <row r="326" spans="1:20" ht="11.25" customHeight="1" x14ac:dyDescent="0.2">
      <c r="A326" s="471" t="s">
        <v>1451</v>
      </c>
      <c r="B326" s="471"/>
      <c r="C326" s="471"/>
      <c r="D326" s="471"/>
      <c r="E326" s="471"/>
      <c r="F326" s="471"/>
      <c r="G326" s="471"/>
      <c r="H326" s="471"/>
      <c r="I326" s="471"/>
      <c r="J326" s="471"/>
      <c r="K326" s="471"/>
      <c r="L326" s="471"/>
      <c r="M326" s="471"/>
      <c r="N326" s="471"/>
      <c r="O326" s="471"/>
      <c r="P326" s="471"/>
      <c r="Q326" s="471"/>
      <c r="R326" s="471"/>
      <c r="S326" s="471"/>
      <c r="T326" s="471"/>
    </row>
    <row r="327" spans="1:20" ht="11.25" customHeight="1" x14ac:dyDescent="0.2">
      <c r="A327" s="471"/>
      <c r="B327" s="471"/>
      <c r="C327" s="471"/>
      <c r="D327" s="471"/>
      <c r="E327" s="471"/>
      <c r="F327" s="471"/>
      <c r="G327" s="471"/>
      <c r="H327" s="471"/>
      <c r="I327" s="471"/>
      <c r="J327" s="471"/>
      <c r="K327" s="471"/>
      <c r="L327" s="471"/>
      <c r="M327" s="471"/>
      <c r="N327" s="471"/>
      <c r="O327" s="471"/>
      <c r="P327" s="471"/>
      <c r="Q327" s="471"/>
      <c r="R327" s="471"/>
      <c r="S327" s="471"/>
      <c r="T327" s="471"/>
    </row>
    <row r="328" spans="1:20" x14ac:dyDescent="0.2">
      <c r="A328" s="33"/>
      <c r="B328" s="36"/>
      <c r="C328" s="36"/>
      <c r="D328" s="37"/>
      <c r="E328" s="33" t="s">
        <v>898</v>
      </c>
      <c r="F328" s="33"/>
      <c r="G328" s="36"/>
      <c r="H328" s="36"/>
      <c r="I328" s="37"/>
      <c r="J328" s="37"/>
      <c r="K328" s="34"/>
      <c r="L328" s="34"/>
      <c r="M328" s="34"/>
      <c r="N328" s="34"/>
      <c r="O328" s="108"/>
      <c r="P328" s="120"/>
      <c r="Q328" s="120"/>
      <c r="R328" s="142"/>
      <c r="S328" s="142"/>
      <c r="T328" s="155"/>
    </row>
    <row r="329" spans="1:20" x14ac:dyDescent="0.2">
      <c r="A329" s="33"/>
      <c r="B329" s="47">
        <f>B330</f>
        <v>1</v>
      </c>
      <c r="C329" s="26"/>
      <c r="D329" s="28"/>
      <c r="E329" s="26" t="s">
        <v>499</v>
      </c>
      <c r="F329" s="51"/>
      <c r="G329" s="26"/>
      <c r="H329" s="26"/>
      <c r="I329" s="28"/>
      <c r="J329" s="28"/>
      <c r="K329" s="27"/>
      <c r="L329" s="50"/>
      <c r="M329" s="50"/>
      <c r="N329" s="50"/>
      <c r="O329" s="50"/>
      <c r="P329" s="180"/>
      <c r="Q329" s="180"/>
      <c r="R329" s="146"/>
      <c r="S329" s="146"/>
      <c r="T329" s="158"/>
    </row>
    <row r="330" spans="1:20" x14ac:dyDescent="0.2">
      <c r="A330" s="33" t="s">
        <v>879</v>
      </c>
      <c r="B330" s="7">
        <v>1</v>
      </c>
      <c r="C330" s="7">
        <f>B330+($F330*$G330)-1</f>
        <v>16</v>
      </c>
      <c r="D330" s="168" t="s">
        <v>895</v>
      </c>
      <c r="E330" s="179" t="s">
        <v>6</v>
      </c>
      <c r="F330" s="7">
        <v>16</v>
      </c>
      <c r="G330" s="7">
        <v>1</v>
      </c>
      <c r="H330" s="7"/>
      <c r="I330" s="9">
        <f>F330*G330*2</f>
        <v>32</v>
      </c>
      <c r="J330" s="9">
        <f>C330-B330+1</f>
        <v>16</v>
      </c>
      <c r="K330" s="57" t="s">
        <v>343</v>
      </c>
      <c r="L330" s="11" t="s">
        <v>234</v>
      </c>
      <c r="M330" s="11"/>
      <c r="N330" s="11"/>
      <c r="O330" s="11"/>
      <c r="P330" s="136"/>
      <c r="Q330" s="136"/>
      <c r="R330" s="11"/>
      <c r="S330" s="11" t="s">
        <v>1181</v>
      </c>
      <c r="T330" s="117"/>
    </row>
    <row r="331" spans="1:20" x14ac:dyDescent="0.2">
      <c r="A331" s="33"/>
      <c r="B331" s="47">
        <f>B332</f>
        <v>17</v>
      </c>
      <c r="C331" s="26"/>
      <c r="D331" s="28"/>
      <c r="E331" s="26" t="s">
        <v>500</v>
      </c>
      <c r="F331" s="51"/>
      <c r="G331" s="26"/>
      <c r="H331" s="26"/>
      <c r="I331" s="28"/>
      <c r="J331" s="28"/>
      <c r="K331" s="27"/>
      <c r="L331" s="50"/>
      <c r="M331" s="50"/>
      <c r="N331" s="50"/>
      <c r="O331" s="50"/>
      <c r="P331" s="180"/>
      <c r="Q331" s="180"/>
      <c r="R331" s="146"/>
      <c r="S331" s="146"/>
      <c r="T331" s="158"/>
    </row>
    <row r="332" spans="1:20" x14ac:dyDescent="0.2">
      <c r="A332" s="33" t="s">
        <v>879</v>
      </c>
      <c r="B332" s="7">
        <f>C330+1</f>
        <v>17</v>
      </c>
      <c r="C332" s="7">
        <f>B332+($F332*$G332)-1</f>
        <v>32</v>
      </c>
      <c r="D332" s="168" t="s">
        <v>895</v>
      </c>
      <c r="E332" s="179" t="s">
        <v>7</v>
      </c>
      <c r="F332" s="7">
        <v>16</v>
      </c>
      <c r="G332" s="7">
        <v>1</v>
      </c>
      <c r="H332" s="7"/>
      <c r="I332" s="9">
        <f>F332*G332*2</f>
        <v>32</v>
      </c>
      <c r="J332" s="9">
        <f>C332-B332+1</f>
        <v>16</v>
      </c>
      <c r="K332" s="57" t="s">
        <v>618</v>
      </c>
      <c r="L332" s="11" t="s">
        <v>234</v>
      </c>
      <c r="M332" s="11"/>
      <c r="N332" s="11"/>
      <c r="O332" s="11"/>
      <c r="P332" s="136"/>
      <c r="Q332" s="136"/>
      <c r="R332" s="11"/>
      <c r="S332" s="11" t="s">
        <v>1181</v>
      </c>
      <c r="T332" s="117"/>
    </row>
    <row r="333" spans="1:20" x14ac:dyDescent="0.2">
      <c r="A333" s="33"/>
      <c r="B333" s="47">
        <f>B334</f>
        <v>33</v>
      </c>
      <c r="C333" s="30"/>
      <c r="D333" s="31"/>
      <c r="E333" s="26" t="s">
        <v>959</v>
      </c>
      <c r="F333" s="30"/>
      <c r="G333" s="30"/>
      <c r="H333" s="30"/>
      <c r="I333" s="31"/>
      <c r="J333" s="31"/>
      <c r="K333" s="29"/>
      <c r="L333" s="29"/>
      <c r="M333" s="29"/>
      <c r="N333" s="29"/>
      <c r="O333" s="109"/>
      <c r="P333" s="120"/>
      <c r="Q333" s="120"/>
      <c r="R333" s="149"/>
      <c r="S333" s="149"/>
      <c r="T333" s="160"/>
    </row>
    <row r="334" spans="1:20" x14ac:dyDescent="0.2">
      <c r="A334" s="33" t="s">
        <v>879</v>
      </c>
      <c r="B334" s="7">
        <f>C332+1</f>
        <v>33</v>
      </c>
      <c r="C334" s="7">
        <f t="shared" ref="C334:C366" si="28">B334+($F334*$G334)-1</f>
        <v>56</v>
      </c>
      <c r="D334" s="168" t="s">
        <v>895</v>
      </c>
      <c r="E334" s="179" t="s">
        <v>201</v>
      </c>
      <c r="F334" s="7">
        <v>24</v>
      </c>
      <c r="G334" s="7">
        <v>1</v>
      </c>
      <c r="H334" s="7"/>
      <c r="I334" s="9">
        <f t="shared" ref="I334:I349" si="29">F334*G334*2</f>
        <v>48</v>
      </c>
      <c r="J334" s="9">
        <f t="shared" ref="J334:J349" si="30">C334-B334+1</f>
        <v>24</v>
      </c>
      <c r="K334" s="57" t="s">
        <v>265</v>
      </c>
      <c r="L334" s="11" t="s">
        <v>234</v>
      </c>
      <c r="M334" s="11"/>
      <c r="N334" s="11"/>
      <c r="O334" s="11"/>
      <c r="P334" s="136"/>
      <c r="Q334" s="136"/>
      <c r="R334" s="11"/>
      <c r="S334" s="11" t="s">
        <v>1181</v>
      </c>
      <c r="T334" s="117"/>
    </row>
    <row r="335" spans="1:20" x14ac:dyDescent="0.2">
      <c r="A335" s="33" t="s">
        <v>879</v>
      </c>
      <c r="B335" s="7">
        <f>C334+1</f>
        <v>57</v>
      </c>
      <c r="C335" s="7">
        <f t="shared" si="28"/>
        <v>80</v>
      </c>
      <c r="D335" s="9" t="s">
        <v>895</v>
      </c>
      <c r="E335" s="8" t="s">
        <v>235</v>
      </c>
      <c r="F335" s="7">
        <v>24</v>
      </c>
      <c r="G335" s="7">
        <v>1</v>
      </c>
      <c r="H335" s="7"/>
      <c r="I335" s="9">
        <f t="shared" si="29"/>
        <v>48</v>
      </c>
      <c r="J335" s="9">
        <f t="shared" si="30"/>
        <v>24</v>
      </c>
      <c r="K335" s="57" t="s">
        <v>265</v>
      </c>
      <c r="L335" s="11" t="s">
        <v>234</v>
      </c>
      <c r="M335" s="11"/>
      <c r="N335" s="11"/>
      <c r="O335" s="11"/>
      <c r="P335" s="10"/>
      <c r="Q335" s="10"/>
      <c r="R335" s="11"/>
      <c r="S335" s="11" t="s">
        <v>1181</v>
      </c>
      <c r="T335" s="157"/>
    </row>
    <row r="336" spans="1:20" ht="11.25" customHeight="1" x14ac:dyDescent="0.2">
      <c r="A336" s="33" t="s">
        <v>879</v>
      </c>
      <c r="B336" s="7">
        <f t="shared" ref="B336:B366" si="31">C335+1</f>
        <v>81</v>
      </c>
      <c r="C336" s="7">
        <f t="shared" si="28"/>
        <v>104</v>
      </c>
      <c r="D336" s="168" t="s">
        <v>895</v>
      </c>
      <c r="E336" s="179" t="s">
        <v>236</v>
      </c>
      <c r="F336" s="7">
        <v>24</v>
      </c>
      <c r="G336" s="7">
        <v>1</v>
      </c>
      <c r="H336" s="7"/>
      <c r="I336" s="9">
        <f t="shared" si="29"/>
        <v>48</v>
      </c>
      <c r="J336" s="9">
        <f t="shared" si="30"/>
        <v>24</v>
      </c>
      <c r="K336" s="56" t="s">
        <v>265</v>
      </c>
      <c r="L336" s="11" t="s">
        <v>234</v>
      </c>
      <c r="M336" s="11"/>
      <c r="N336" s="11"/>
      <c r="O336" s="11"/>
      <c r="P336" s="136"/>
      <c r="Q336" s="136"/>
      <c r="R336" s="11"/>
      <c r="S336" s="11" t="s">
        <v>1181</v>
      </c>
      <c r="T336" s="117"/>
    </row>
    <row r="337" spans="1:20" x14ac:dyDescent="0.2">
      <c r="A337" s="33" t="s">
        <v>879</v>
      </c>
      <c r="B337" s="7">
        <f t="shared" si="31"/>
        <v>105</v>
      </c>
      <c r="C337" s="7">
        <f t="shared" si="28"/>
        <v>128</v>
      </c>
      <c r="D337" s="9" t="s">
        <v>895</v>
      </c>
      <c r="E337" s="8" t="s">
        <v>237</v>
      </c>
      <c r="F337" s="7">
        <v>24</v>
      </c>
      <c r="G337" s="7">
        <v>1</v>
      </c>
      <c r="H337" s="7"/>
      <c r="I337" s="9">
        <f t="shared" si="29"/>
        <v>48</v>
      </c>
      <c r="J337" s="9">
        <f t="shared" si="30"/>
        <v>24</v>
      </c>
      <c r="K337" s="57" t="s">
        <v>265</v>
      </c>
      <c r="L337" s="11" t="s">
        <v>234</v>
      </c>
      <c r="M337" s="11"/>
      <c r="N337" s="11"/>
      <c r="O337" s="11"/>
      <c r="P337" s="10"/>
      <c r="Q337" s="10"/>
      <c r="R337" s="11"/>
      <c r="S337" s="11" t="s">
        <v>1181</v>
      </c>
      <c r="T337" s="157"/>
    </row>
    <row r="338" spans="1:20" x14ac:dyDescent="0.2">
      <c r="A338" s="33" t="s">
        <v>879</v>
      </c>
      <c r="B338" s="7">
        <f t="shared" si="31"/>
        <v>129</v>
      </c>
      <c r="C338" s="7">
        <f t="shared" si="28"/>
        <v>152</v>
      </c>
      <c r="D338" s="168" t="s">
        <v>895</v>
      </c>
      <c r="E338" s="179" t="s">
        <v>238</v>
      </c>
      <c r="F338" s="7">
        <v>24</v>
      </c>
      <c r="G338" s="7">
        <v>1</v>
      </c>
      <c r="H338" s="7"/>
      <c r="I338" s="9">
        <f t="shared" si="29"/>
        <v>48</v>
      </c>
      <c r="J338" s="9">
        <f t="shared" si="30"/>
        <v>24</v>
      </c>
      <c r="K338" s="56" t="s">
        <v>265</v>
      </c>
      <c r="L338" s="11" t="s">
        <v>234</v>
      </c>
      <c r="M338" s="11"/>
      <c r="N338" s="11"/>
      <c r="O338" s="11"/>
      <c r="P338" s="136"/>
      <c r="Q338" s="136"/>
      <c r="R338" s="11"/>
      <c r="S338" s="11" t="s">
        <v>1181</v>
      </c>
      <c r="T338" s="117"/>
    </row>
    <row r="339" spans="1:20" x14ac:dyDescent="0.2">
      <c r="A339" s="33" t="s">
        <v>879</v>
      </c>
      <c r="B339" s="7">
        <f t="shared" si="31"/>
        <v>153</v>
      </c>
      <c r="C339" s="7">
        <f t="shared" si="28"/>
        <v>176</v>
      </c>
      <c r="D339" s="9" t="s">
        <v>895</v>
      </c>
      <c r="E339" s="8" t="s">
        <v>239</v>
      </c>
      <c r="F339" s="7">
        <v>24</v>
      </c>
      <c r="G339" s="7">
        <v>1</v>
      </c>
      <c r="H339" s="7"/>
      <c r="I339" s="9">
        <f t="shared" si="29"/>
        <v>48</v>
      </c>
      <c r="J339" s="9">
        <f t="shared" si="30"/>
        <v>24</v>
      </c>
      <c r="K339" s="57" t="s">
        <v>265</v>
      </c>
      <c r="L339" s="11" t="s">
        <v>234</v>
      </c>
      <c r="M339" s="11"/>
      <c r="N339" s="11"/>
      <c r="O339" s="11"/>
      <c r="P339" s="10"/>
      <c r="Q339" s="10"/>
      <c r="R339" s="11"/>
      <c r="S339" s="11" t="s">
        <v>1181</v>
      </c>
      <c r="T339" s="157"/>
    </row>
    <row r="340" spans="1:20" x14ac:dyDescent="0.2">
      <c r="A340" s="33" t="s">
        <v>879</v>
      </c>
      <c r="B340" s="7">
        <f t="shared" si="31"/>
        <v>177</v>
      </c>
      <c r="C340" s="7">
        <f t="shared" si="28"/>
        <v>200</v>
      </c>
      <c r="D340" s="168" t="s">
        <v>895</v>
      </c>
      <c r="E340" s="179" t="s">
        <v>1991</v>
      </c>
      <c r="F340" s="7">
        <v>24</v>
      </c>
      <c r="G340" s="7">
        <v>1</v>
      </c>
      <c r="H340" s="7"/>
      <c r="I340" s="9">
        <f t="shared" si="29"/>
        <v>48</v>
      </c>
      <c r="J340" s="9">
        <f t="shared" si="30"/>
        <v>24</v>
      </c>
      <c r="K340" s="56" t="s">
        <v>265</v>
      </c>
      <c r="L340" s="11" t="s">
        <v>234</v>
      </c>
      <c r="M340" s="11"/>
      <c r="N340" s="11"/>
      <c r="O340" s="11"/>
      <c r="P340" s="136"/>
      <c r="Q340" s="136"/>
      <c r="R340" s="11"/>
      <c r="S340" s="11" t="s">
        <v>1181</v>
      </c>
      <c r="T340" s="117"/>
    </row>
    <row r="341" spans="1:20" x14ac:dyDescent="0.2">
      <c r="A341" s="33" t="s">
        <v>879</v>
      </c>
      <c r="B341" s="7">
        <f t="shared" si="31"/>
        <v>201</v>
      </c>
      <c r="C341" s="7">
        <f t="shared" si="28"/>
        <v>224</v>
      </c>
      <c r="D341" s="9" t="s">
        <v>895</v>
      </c>
      <c r="E341" s="8" t="s">
        <v>1992</v>
      </c>
      <c r="F341" s="7">
        <v>24</v>
      </c>
      <c r="G341" s="7">
        <v>1</v>
      </c>
      <c r="H341" s="7"/>
      <c r="I341" s="9">
        <f t="shared" si="29"/>
        <v>48</v>
      </c>
      <c r="J341" s="9">
        <f t="shared" si="30"/>
        <v>24</v>
      </c>
      <c r="K341" s="57" t="s">
        <v>265</v>
      </c>
      <c r="L341" s="11" t="s">
        <v>234</v>
      </c>
      <c r="M341" s="11"/>
      <c r="N341" s="11"/>
      <c r="O341" s="11"/>
      <c r="P341" s="10"/>
      <c r="Q341" s="10"/>
      <c r="R341" s="11"/>
      <c r="S341" s="11" t="s">
        <v>1181</v>
      </c>
      <c r="T341" s="157"/>
    </row>
    <row r="342" spans="1:20" x14ac:dyDescent="0.2">
      <c r="A342" s="33" t="s">
        <v>879</v>
      </c>
      <c r="B342" s="7">
        <f t="shared" si="31"/>
        <v>225</v>
      </c>
      <c r="C342" s="7">
        <f t="shared" si="28"/>
        <v>248</v>
      </c>
      <c r="D342" s="168" t="s">
        <v>895</v>
      </c>
      <c r="E342" s="179" t="s">
        <v>1993</v>
      </c>
      <c r="F342" s="7">
        <v>24</v>
      </c>
      <c r="G342" s="7">
        <v>1</v>
      </c>
      <c r="H342" s="7"/>
      <c r="I342" s="9">
        <f t="shared" si="29"/>
        <v>48</v>
      </c>
      <c r="J342" s="9">
        <f t="shared" si="30"/>
        <v>24</v>
      </c>
      <c r="K342" s="56" t="s">
        <v>265</v>
      </c>
      <c r="L342" s="11" t="s">
        <v>234</v>
      </c>
      <c r="M342" s="11"/>
      <c r="N342" s="11"/>
      <c r="O342" s="11"/>
      <c r="P342" s="136"/>
      <c r="Q342" s="136"/>
      <c r="R342" s="11"/>
      <c r="S342" s="11" t="s">
        <v>1181</v>
      </c>
      <c r="T342" s="117"/>
    </row>
    <row r="343" spans="1:20" x14ac:dyDescent="0.2">
      <c r="A343" s="33" t="s">
        <v>879</v>
      </c>
      <c r="B343" s="7">
        <f t="shared" si="31"/>
        <v>249</v>
      </c>
      <c r="C343" s="7">
        <f t="shared" si="28"/>
        <v>272</v>
      </c>
      <c r="D343" s="9" t="s">
        <v>895</v>
      </c>
      <c r="E343" s="8" t="s">
        <v>1994</v>
      </c>
      <c r="F343" s="7">
        <v>24</v>
      </c>
      <c r="G343" s="7">
        <v>1</v>
      </c>
      <c r="H343" s="7"/>
      <c r="I343" s="9">
        <f t="shared" si="29"/>
        <v>48</v>
      </c>
      <c r="J343" s="9">
        <f t="shared" si="30"/>
        <v>24</v>
      </c>
      <c r="K343" s="57" t="s">
        <v>265</v>
      </c>
      <c r="L343" s="11" t="s">
        <v>234</v>
      </c>
      <c r="M343" s="11"/>
      <c r="N343" s="11"/>
      <c r="O343" s="11"/>
      <c r="P343" s="10"/>
      <c r="Q343" s="10"/>
      <c r="R343" s="11"/>
      <c r="S343" s="11" t="s">
        <v>1181</v>
      </c>
      <c r="T343" s="157"/>
    </row>
    <row r="344" spans="1:20" x14ac:dyDescent="0.2">
      <c r="A344" s="33" t="s">
        <v>879</v>
      </c>
      <c r="B344" s="7">
        <f t="shared" si="31"/>
        <v>273</v>
      </c>
      <c r="C344" s="7">
        <f t="shared" si="28"/>
        <v>296</v>
      </c>
      <c r="D344" s="168" t="s">
        <v>895</v>
      </c>
      <c r="E344" s="179" t="s">
        <v>1995</v>
      </c>
      <c r="F344" s="7">
        <v>24</v>
      </c>
      <c r="G344" s="7">
        <v>1</v>
      </c>
      <c r="H344" s="7"/>
      <c r="I344" s="9">
        <f t="shared" si="29"/>
        <v>48</v>
      </c>
      <c r="J344" s="9">
        <f t="shared" si="30"/>
        <v>24</v>
      </c>
      <c r="K344" s="56" t="s">
        <v>265</v>
      </c>
      <c r="L344" s="11" t="s">
        <v>234</v>
      </c>
      <c r="M344" s="11"/>
      <c r="N344" s="11"/>
      <c r="O344" s="11"/>
      <c r="P344" s="136"/>
      <c r="Q344" s="136"/>
      <c r="R344" s="11"/>
      <c r="S344" s="11" t="s">
        <v>1181</v>
      </c>
      <c r="T344" s="117"/>
    </row>
    <row r="345" spans="1:20" x14ac:dyDescent="0.2">
      <c r="A345" s="33" t="s">
        <v>879</v>
      </c>
      <c r="B345" s="7">
        <f t="shared" si="31"/>
        <v>297</v>
      </c>
      <c r="C345" s="7">
        <f t="shared" si="28"/>
        <v>320</v>
      </c>
      <c r="D345" s="9" t="s">
        <v>895</v>
      </c>
      <c r="E345" s="8" t="s">
        <v>1996</v>
      </c>
      <c r="F345" s="7">
        <v>24</v>
      </c>
      <c r="G345" s="7">
        <v>1</v>
      </c>
      <c r="H345" s="7"/>
      <c r="I345" s="9">
        <f t="shared" si="29"/>
        <v>48</v>
      </c>
      <c r="J345" s="9">
        <f t="shared" si="30"/>
        <v>24</v>
      </c>
      <c r="K345" s="57" t="s">
        <v>265</v>
      </c>
      <c r="L345" s="11" t="s">
        <v>234</v>
      </c>
      <c r="M345" s="11"/>
      <c r="N345" s="11"/>
      <c r="O345" s="11"/>
      <c r="P345" s="10"/>
      <c r="Q345" s="10"/>
      <c r="R345" s="11"/>
      <c r="S345" s="11" t="s">
        <v>1181</v>
      </c>
      <c r="T345" s="157"/>
    </row>
    <row r="346" spans="1:20" x14ac:dyDescent="0.2">
      <c r="A346" s="33" t="s">
        <v>879</v>
      </c>
      <c r="B346" s="7">
        <f t="shared" si="31"/>
        <v>321</v>
      </c>
      <c r="C346" s="7">
        <f t="shared" si="28"/>
        <v>344</v>
      </c>
      <c r="D346" s="168" t="s">
        <v>895</v>
      </c>
      <c r="E346" s="179" t="s">
        <v>1997</v>
      </c>
      <c r="F346" s="7">
        <v>24</v>
      </c>
      <c r="G346" s="7">
        <v>1</v>
      </c>
      <c r="H346" s="7"/>
      <c r="I346" s="9">
        <f t="shared" si="29"/>
        <v>48</v>
      </c>
      <c r="J346" s="9">
        <f t="shared" si="30"/>
        <v>24</v>
      </c>
      <c r="K346" s="56" t="s">
        <v>265</v>
      </c>
      <c r="L346" s="11" t="s">
        <v>234</v>
      </c>
      <c r="M346" s="11"/>
      <c r="N346" s="11"/>
      <c r="O346" s="11"/>
      <c r="P346" s="136"/>
      <c r="Q346" s="136"/>
      <c r="R346" s="11"/>
      <c r="S346" s="11" t="s">
        <v>1181</v>
      </c>
      <c r="T346" s="117"/>
    </row>
    <row r="347" spans="1:20" x14ac:dyDescent="0.2">
      <c r="A347" s="33" t="s">
        <v>879</v>
      </c>
      <c r="B347" s="7">
        <f t="shared" si="31"/>
        <v>345</v>
      </c>
      <c r="C347" s="7">
        <f t="shared" si="28"/>
        <v>368</v>
      </c>
      <c r="D347" s="9" t="s">
        <v>895</v>
      </c>
      <c r="E347" s="8" t="s">
        <v>1998</v>
      </c>
      <c r="F347" s="7">
        <v>24</v>
      </c>
      <c r="G347" s="7">
        <v>1</v>
      </c>
      <c r="H347" s="7"/>
      <c r="I347" s="9">
        <f t="shared" si="29"/>
        <v>48</v>
      </c>
      <c r="J347" s="9">
        <f t="shared" si="30"/>
        <v>24</v>
      </c>
      <c r="K347" s="57" t="s">
        <v>265</v>
      </c>
      <c r="L347" s="11" t="s">
        <v>234</v>
      </c>
      <c r="M347" s="11"/>
      <c r="N347" s="11"/>
      <c r="O347" s="11"/>
      <c r="P347" s="10"/>
      <c r="Q347" s="10"/>
      <c r="R347" s="11"/>
      <c r="S347" s="11" t="s">
        <v>1181</v>
      </c>
      <c r="T347" s="157"/>
    </row>
    <row r="348" spans="1:20" x14ac:dyDescent="0.2">
      <c r="A348" s="33" t="s">
        <v>879</v>
      </c>
      <c r="B348" s="7">
        <f t="shared" si="31"/>
        <v>369</v>
      </c>
      <c r="C348" s="7">
        <f t="shared" si="28"/>
        <v>392</v>
      </c>
      <c r="D348" s="168" t="s">
        <v>895</v>
      </c>
      <c r="E348" s="179" t="s">
        <v>1999</v>
      </c>
      <c r="F348" s="7">
        <v>24</v>
      </c>
      <c r="G348" s="7">
        <v>1</v>
      </c>
      <c r="H348" s="7"/>
      <c r="I348" s="9">
        <f t="shared" si="29"/>
        <v>48</v>
      </c>
      <c r="J348" s="9">
        <f t="shared" si="30"/>
        <v>24</v>
      </c>
      <c r="K348" s="56" t="s">
        <v>265</v>
      </c>
      <c r="L348" s="11" t="s">
        <v>234</v>
      </c>
      <c r="M348" s="11"/>
      <c r="N348" s="11"/>
      <c r="O348" s="11"/>
      <c r="P348" s="136"/>
      <c r="Q348" s="136"/>
      <c r="R348" s="11"/>
      <c r="S348" s="11" t="s">
        <v>1181</v>
      </c>
      <c r="T348" s="117"/>
    </row>
    <row r="349" spans="1:20" x14ac:dyDescent="0.2">
      <c r="A349" s="33" t="s">
        <v>879</v>
      </c>
      <c r="B349" s="7">
        <f>C348+1</f>
        <v>393</v>
      </c>
      <c r="C349" s="7">
        <f t="shared" si="28"/>
        <v>416</v>
      </c>
      <c r="D349" s="9" t="s">
        <v>895</v>
      </c>
      <c r="E349" s="8" t="s">
        <v>2000</v>
      </c>
      <c r="F349" s="7">
        <v>24</v>
      </c>
      <c r="G349" s="7">
        <v>1</v>
      </c>
      <c r="H349" s="7"/>
      <c r="I349" s="9">
        <f t="shared" si="29"/>
        <v>48</v>
      </c>
      <c r="J349" s="9">
        <f t="shared" si="30"/>
        <v>24</v>
      </c>
      <c r="K349" s="57" t="s">
        <v>265</v>
      </c>
      <c r="L349" s="11" t="s">
        <v>234</v>
      </c>
      <c r="M349" s="11"/>
      <c r="N349" s="11"/>
      <c r="O349" s="11"/>
      <c r="P349" s="10"/>
      <c r="Q349" s="10"/>
      <c r="R349" s="11"/>
      <c r="S349" s="11" t="s">
        <v>1181</v>
      </c>
      <c r="T349" s="157"/>
    </row>
    <row r="350" spans="1:20" x14ac:dyDescent="0.2">
      <c r="A350" s="33"/>
      <c r="B350" s="47">
        <f>B351</f>
        <v>417</v>
      </c>
      <c r="C350" s="30"/>
      <c r="D350" s="31"/>
      <c r="E350" s="26" t="s">
        <v>498</v>
      </c>
      <c r="F350" s="30"/>
      <c r="G350" s="30"/>
      <c r="H350" s="30"/>
      <c r="I350" s="31"/>
      <c r="J350" s="31"/>
      <c r="K350" s="29"/>
      <c r="L350" s="29"/>
      <c r="M350" s="29"/>
      <c r="N350" s="29"/>
      <c r="O350" s="109"/>
      <c r="P350" s="120"/>
      <c r="Q350" s="120"/>
      <c r="R350" s="149"/>
      <c r="S350" s="149"/>
      <c r="T350" s="160"/>
    </row>
    <row r="351" spans="1:20" x14ac:dyDescent="0.2">
      <c r="A351" s="33" t="s">
        <v>879</v>
      </c>
      <c r="B351" s="7">
        <f>C349+1</f>
        <v>417</v>
      </c>
      <c r="C351" s="7">
        <f t="shared" si="28"/>
        <v>440</v>
      </c>
      <c r="D351" s="168" t="s">
        <v>895</v>
      </c>
      <c r="E351" s="179" t="s">
        <v>603</v>
      </c>
      <c r="F351" s="7">
        <v>24</v>
      </c>
      <c r="G351" s="7">
        <v>1</v>
      </c>
      <c r="H351" s="7"/>
      <c r="I351" s="9">
        <f t="shared" ref="I351:I366" si="32">F351*G351*2</f>
        <v>48</v>
      </c>
      <c r="J351" s="9">
        <f t="shared" ref="J351:J366" si="33">C351-B351+1</f>
        <v>24</v>
      </c>
      <c r="K351" s="57" t="s">
        <v>266</v>
      </c>
      <c r="L351" s="11" t="s">
        <v>234</v>
      </c>
      <c r="M351" s="11"/>
      <c r="N351" s="11"/>
      <c r="O351" s="11"/>
      <c r="P351" s="136"/>
      <c r="Q351" s="136"/>
      <c r="R351" s="11"/>
      <c r="S351" s="11" t="s">
        <v>1181</v>
      </c>
      <c r="T351" s="117"/>
    </row>
    <row r="352" spans="1:20" x14ac:dyDescent="0.2">
      <c r="A352" s="33" t="s">
        <v>879</v>
      </c>
      <c r="B352" s="7">
        <f t="shared" si="31"/>
        <v>441</v>
      </c>
      <c r="C352" s="7">
        <f t="shared" si="28"/>
        <v>464</v>
      </c>
      <c r="D352" s="9" t="s">
        <v>895</v>
      </c>
      <c r="E352" s="8" t="s">
        <v>604</v>
      </c>
      <c r="F352" s="7">
        <v>24</v>
      </c>
      <c r="G352" s="7">
        <v>1</v>
      </c>
      <c r="H352" s="7"/>
      <c r="I352" s="9">
        <f t="shared" si="32"/>
        <v>48</v>
      </c>
      <c r="J352" s="9">
        <f t="shared" si="33"/>
        <v>24</v>
      </c>
      <c r="K352" s="57" t="s">
        <v>266</v>
      </c>
      <c r="L352" s="11" t="s">
        <v>234</v>
      </c>
      <c r="M352" s="11"/>
      <c r="N352" s="11"/>
      <c r="O352" s="11"/>
      <c r="P352" s="136"/>
      <c r="Q352" s="136"/>
      <c r="R352" s="11"/>
      <c r="S352" s="11" t="s">
        <v>1181</v>
      </c>
      <c r="T352" s="157"/>
    </row>
    <row r="353" spans="1:20" x14ac:dyDescent="0.2">
      <c r="A353" s="33" t="s">
        <v>879</v>
      </c>
      <c r="B353" s="7">
        <f t="shared" si="31"/>
        <v>465</v>
      </c>
      <c r="C353" s="7">
        <f t="shared" si="28"/>
        <v>488</v>
      </c>
      <c r="D353" s="168" t="s">
        <v>895</v>
      </c>
      <c r="E353" s="179" t="s">
        <v>575</v>
      </c>
      <c r="F353" s="7">
        <v>24</v>
      </c>
      <c r="G353" s="7">
        <v>1</v>
      </c>
      <c r="H353" s="7"/>
      <c r="I353" s="9">
        <f t="shared" si="32"/>
        <v>48</v>
      </c>
      <c r="J353" s="9">
        <f t="shared" si="33"/>
        <v>24</v>
      </c>
      <c r="K353" s="57" t="s">
        <v>266</v>
      </c>
      <c r="L353" s="11" t="s">
        <v>234</v>
      </c>
      <c r="M353" s="11"/>
      <c r="N353" s="11"/>
      <c r="O353" s="11"/>
      <c r="P353" s="136"/>
      <c r="Q353" s="136"/>
      <c r="R353" s="11"/>
      <c r="S353" s="11" t="s">
        <v>1181</v>
      </c>
      <c r="T353" s="117"/>
    </row>
    <row r="354" spans="1:20" x14ac:dyDescent="0.2">
      <c r="A354" s="33" t="s">
        <v>879</v>
      </c>
      <c r="B354" s="7">
        <f t="shared" si="31"/>
        <v>489</v>
      </c>
      <c r="C354" s="7">
        <f t="shared" si="28"/>
        <v>512</v>
      </c>
      <c r="D354" s="9" t="s">
        <v>895</v>
      </c>
      <c r="E354" s="8" t="s">
        <v>576</v>
      </c>
      <c r="F354" s="7">
        <v>24</v>
      </c>
      <c r="G354" s="7">
        <v>1</v>
      </c>
      <c r="H354" s="7"/>
      <c r="I354" s="9">
        <f t="shared" si="32"/>
        <v>48</v>
      </c>
      <c r="J354" s="9">
        <f t="shared" si="33"/>
        <v>24</v>
      </c>
      <c r="K354" s="57" t="s">
        <v>266</v>
      </c>
      <c r="L354" s="11" t="s">
        <v>234</v>
      </c>
      <c r="M354" s="11"/>
      <c r="N354" s="11"/>
      <c r="O354" s="11"/>
      <c r="P354" s="136"/>
      <c r="Q354" s="136"/>
      <c r="R354" s="11"/>
      <c r="S354" s="11" t="s">
        <v>1181</v>
      </c>
      <c r="T354" s="157"/>
    </row>
    <row r="355" spans="1:20" x14ac:dyDescent="0.2">
      <c r="A355" s="33" t="s">
        <v>879</v>
      </c>
      <c r="B355" s="7">
        <f t="shared" si="31"/>
        <v>513</v>
      </c>
      <c r="C355" s="7">
        <f t="shared" si="28"/>
        <v>536</v>
      </c>
      <c r="D355" s="168" t="s">
        <v>895</v>
      </c>
      <c r="E355" s="179" t="s">
        <v>577</v>
      </c>
      <c r="F355" s="7">
        <v>24</v>
      </c>
      <c r="G355" s="7">
        <v>1</v>
      </c>
      <c r="H355" s="7"/>
      <c r="I355" s="9">
        <f t="shared" si="32"/>
        <v>48</v>
      </c>
      <c r="J355" s="9">
        <f t="shared" si="33"/>
        <v>24</v>
      </c>
      <c r="K355" s="57" t="s">
        <v>266</v>
      </c>
      <c r="L355" s="11" t="s">
        <v>234</v>
      </c>
      <c r="M355" s="11"/>
      <c r="N355" s="11"/>
      <c r="O355" s="11"/>
      <c r="P355" s="136"/>
      <c r="Q355" s="136"/>
      <c r="R355" s="11"/>
      <c r="S355" s="11" t="s">
        <v>1181</v>
      </c>
      <c r="T355" s="117"/>
    </row>
    <row r="356" spans="1:20" x14ac:dyDescent="0.2">
      <c r="A356" s="33" t="s">
        <v>879</v>
      </c>
      <c r="B356" s="7">
        <f t="shared" si="31"/>
        <v>537</v>
      </c>
      <c r="C356" s="7">
        <f t="shared" si="28"/>
        <v>560</v>
      </c>
      <c r="D356" s="9" t="s">
        <v>895</v>
      </c>
      <c r="E356" s="8" t="s">
        <v>578</v>
      </c>
      <c r="F356" s="7">
        <v>24</v>
      </c>
      <c r="G356" s="7">
        <v>1</v>
      </c>
      <c r="H356" s="7"/>
      <c r="I356" s="9">
        <f t="shared" si="32"/>
        <v>48</v>
      </c>
      <c r="J356" s="9">
        <f t="shared" si="33"/>
        <v>24</v>
      </c>
      <c r="K356" s="57" t="s">
        <v>266</v>
      </c>
      <c r="L356" s="11" t="s">
        <v>234</v>
      </c>
      <c r="M356" s="11"/>
      <c r="N356" s="11"/>
      <c r="O356" s="11"/>
      <c r="P356" s="136"/>
      <c r="Q356" s="136"/>
      <c r="R356" s="11"/>
      <c r="S356" s="11" t="s">
        <v>1181</v>
      </c>
      <c r="T356" s="157"/>
    </row>
    <row r="357" spans="1:20" x14ac:dyDescent="0.2">
      <c r="A357" s="33" t="s">
        <v>879</v>
      </c>
      <c r="B357" s="7">
        <f t="shared" si="31"/>
        <v>561</v>
      </c>
      <c r="C357" s="7">
        <f t="shared" si="28"/>
        <v>584</v>
      </c>
      <c r="D357" s="168" t="s">
        <v>895</v>
      </c>
      <c r="E357" s="179" t="s">
        <v>2116</v>
      </c>
      <c r="F357" s="7">
        <v>24</v>
      </c>
      <c r="G357" s="7">
        <v>1</v>
      </c>
      <c r="H357" s="7"/>
      <c r="I357" s="9">
        <f t="shared" si="32"/>
        <v>48</v>
      </c>
      <c r="J357" s="9">
        <f t="shared" si="33"/>
        <v>24</v>
      </c>
      <c r="K357" s="57" t="s">
        <v>266</v>
      </c>
      <c r="L357" s="11" t="s">
        <v>234</v>
      </c>
      <c r="M357" s="11"/>
      <c r="N357" s="11"/>
      <c r="O357" s="11"/>
      <c r="P357" s="136"/>
      <c r="Q357" s="136"/>
      <c r="R357" s="11"/>
      <c r="S357" s="11" t="s">
        <v>1181</v>
      </c>
      <c r="T357" s="117"/>
    </row>
    <row r="358" spans="1:20" x14ac:dyDescent="0.2">
      <c r="A358" s="33" t="s">
        <v>879</v>
      </c>
      <c r="B358" s="7">
        <f t="shared" si="31"/>
        <v>585</v>
      </c>
      <c r="C358" s="7">
        <f t="shared" si="28"/>
        <v>608</v>
      </c>
      <c r="D358" s="9" t="s">
        <v>895</v>
      </c>
      <c r="E358" s="8" t="s">
        <v>2141</v>
      </c>
      <c r="F358" s="7">
        <v>24</v>
      </c>
      <c r="G358" s="7">
        <v>1</v>
      </c>
      <c r="H358" s="7"/>
      <c r="I358" s="9">
        <f t="shared" si="32"/>
        <v>48</v>
      </c>
      <c r="J358" s="9">
        <f t="shared" si="33"/>
        <v>24</v>
      </c>
      <c r="K358" s="57" t="s">
        <v>266</v>
      </c>
      <c r="L358" s="11" t="s">
        <v>234</v>
      </c>
      <c r="M358" s="11"/>
      <c r="N358" s="11"/>
      <c r="O358" s="11"/>
      <c r="P358" s="136"/>
      <c r="Q358" s="136"/>
      <c r="R358" s="11"/>
      <c r="S358" s="11" t="s">
        <v>1181</v>
      </c>
      <c r="T358" s="157"/>
    </row>
    <row r="359" spans="1:20" x14ac:dyDescent="0.2">
      <c r="A359" s="33" t="s">
        <v>879</v>
      </c>
      <c r="B359" s="7">
        <f t="shared" si="31"/>
        <v>609</v>
      </c>
      <c r="C359" s="7">
        <f t="shared" si="28"/>
        <v>632</v>
      </c>
      <c r="D359" s="168" t="s">
        <v>895</v>
      </c>
      <c r="E359" s="179" t="s">
        <v>2166</v>
      </c>
      <c r="F359" s="7">
        <v>24</v>
      </c>
      <c r="G359" s="7">
        <v>1</v>
      </c>
      <c r="H359" s="7"/>
      <c r="I359" s="9">
        <f t="shared" si="32"/>
        <v>48</v>
      </c>
      <c r="J359" s="9">
        <f t="shared" si="33"/>
        <v>24</v>
      </c>
      <c r="K359" s="57" t="s">
        <v>266</v>
      </c>
      <c r="L359" s="11" t="s">
        <v>234</v>
      </c>
      <c r="M359" s="11"/>
      <c r="N359" s="11"/>
      <c r="O359" s="11"/>
      <c r="P359" s="136"/>
      <c r="Q359" s="136"/>
      <c r="R359" s="11"/>
      <c r="S359" s="11" t="s">
        <v>1181</v>
      </c>
      <c r="T359" s="117"/>
    </row>
    <row r="360" spans="1:20" x14ac:dyDescent="0.2">
      <c r="A360" s="33" t="s">
        <v>879</v>
      </c>
      <c r="B360" s="7">
        <f t="shared" si="31"/>
        <v>633</v>
      </c>
      <c r="C360" s="7">
        <f t="shared" si="28"/>
        <v>656</v>
      </c>
      <c r="D360" s="9" t="s">
        <v>895</v>
      </c>
      <c r="E360" s="8" t="s">
        <v>2191</v>
      </c>
      <c r="F360" s="7">
        <v>24</v>
      </c>
      <c r="G360" s="7">
        <v>1</v>
      </c>
      <c r="H360" s="7"/>
      <c r="I360" s="9">
        <f t="shared" si="32"/>
        <v>48</v>
      </c>
      <c r="J360" s="9">
        <f t="shared" si="33"/>
        <v>24</v>
      </c>
      <c r="K360" s="57" t="s">
        <v>266</v>
      </c>
      <c r="L360" s="11" t="s">
        <v>234</v>
      </c>
      <c r="M360" s="11"/>
      <c r="N360" s="11"/>
      <c r="O360" s="11"/>
      <c r="P360" s="136"/>
      <c r="Q360" s="136"/>
      <c r="R360" s="11"/>
      <c r="S360" s="11" t="s">
        <v>1181</v>
      </c>
      <c r="T360" s="157"/>
    </row>
    <row r="361" spans="1:20" x14ac:dyDescent="0.2">
      <c r="A361" s="33" t="s">
        <v>879</v>
      </c>
      <c r="B361" s="7">
        <f t="shared" si="31"/>
        <v>657</v>
      </c>
      <c r="C361" s="7">
        <f t="shared" si="28"/>
        <v>680</v>
      </c>
      <c r="D361" s="168" t="s">
        <v>895</v>
      </c>
      <c r="E361" s="179" t="s">
        <v>2261</v>
      </c>
      <c r="F361" s="7">
        <v>24</v>
      </c>
      <c r="G361" s="7">
        <v>1</v>
      </c>
      <c r="H361" s="7"/>
      <c r="I361" s="9">
        <f t="shared" si="32"/>
        <v>48</v>
      </c>
      <c r="J361" s="9">
        <f t="shared" si="33"/>
        <v>24</v>
      </c>
      <c r="K361" s="57" t="s">
        <v>266</v>
      </c>
      <c r="L361" s="11" t="s">
        <v>234</v>
      </c>
      <c r="M361" s="11"/>
      <c r="N361" s="11"/>
      <c r="O361" s="11"/>
      <c r="P361" s="136"/>
      <c r="Q361" s="136"/>
      <c r="R361" s="11"/>
      <c r="S361" s="11" t="s">
        <v>1181</v>
      </c>
      <c r="T361" s="117"/>
    </row>
    <row r="362" spans="1:20" x14ac:dyDescent="0.2">
      <c r="A362" s="33" t="s">
        <v>879</v>
      </c>
      <c r="B362" s="7">
        <f t="shared" si="31"/>
        <v>681</v>
      </c>
      <c r="C362" s="7">
        <f t="shared" si="28"/>
        <v>704</v>
      </c>
      <c r="D362" s="9" t="s">
        <v>895</v>
      </c>
      <c r="E362" s="8" t="s">
        <v>2262</v>
      </c>
      <c r="F362" s="7">
        <v>24</v>
      </c>
      <c r="G362" s="7">
        <v>1</v>
      </c>
      <c r="H362" s="7"/>
      <c r="I362" s="9">
        <f t="shared" si="32"/>
        <v>48</v>
      </c>
      <c r="J362" s="9">
        <f t="shared" si="33"/>
        <v>24</v>
      </c>
      <c r="K362" s="57" t="s">
        <v>266</v>
      </c>
      <c r="L362" s="11" t="s">
        <v>234</v>
      </c>
      <c r="M362" s="11"/>
      <c r="N362" s="11"/>
      <c r="O362" s="11"/>
      <c r="P362" s="136"/>
      <c r="Q362" s="136"/>
      <c r="R362" s="11"/>
      <c r="S362" s="11" t="s">
        <v>1181</v>
      </c>
      <c r="T362" s="157"/>
    </row>
    <row r="363" spans="1:20" x14ac:dyDescent="0.2">
      <c r="A363" s="33" t="s">
        <v>879</v>
      </c>
      <c r="B363" s="7">
        <f t="shared" si="31"/>
        <v>705</v>
      </c>
      <c r="C363" s="7">
        <f t="shared" si="28"/>
        <v>728</v>
      </c>
      <c r="D363" s="168" t="s">
        <v>895</v>
      </c>
      <c r="E363" s="179" t="s">
        <v>2263</v>
      </c>
      <c r="F363" s="7">
        <v>24</v>
      </c>
      <c r="G363" s="7">
        <v>1</v>
      </c>
      <c r="H363" s="7"/>
      <c r="I363" s="9">
        <f t="shared" si="32"/>
        <v>48</v>
      </c>
      <c r="J363" s="9">
        <f t="shared" si="33"/>
        <v>24</v>
      </c>
      <c r="K363" s="57" t="s">
        <v>266</v>
      </c>
      <c r="L363" s="11" t="s">
        <v>234</v>
      </c>
      <c r="M363" s="11"/>
      <c r="N363" s="11"/>
      <c r="O363" s="11"/>
      <c r="P363" s="136"/>
      <c r="Q363" s="136"/>
      <c r="R363" s="11"/>
      <c r="S363" s="11" t="s">
        <v>1181</v>
      </c>
      <c r="T363" s="117"/>
    </row>
    <row r="364" spans="1:20" x14ac:dyDescent="0.2">
      <c r="A364" s="33" t="s">
        <v>879</v>
      </c>
      <c r="B364" s="7">
        <f t="shared" si="31"/>
        <v>729</v>
      </c>
      <c r="C364" s="7">
        <f t="shared" si="28"/>
        <v>752</v>
      </c>
      <c r="D364" s="9" t="s">
        <v>895</v>
      </c>
      <c r="E364" s="8" t="s">
        <v>2264</v>
      </c>
      <c r="F364" s="7">
        <v>24</v>
      </c>
      <c r="G364" s="7">
        <v>1</v>
      </c>
      <c r="H364" s="7"/>
      <c r="I364" s="9">
        <f t="shared" si="32"/>
        <v>48</v>
      </c>
      <c r="J364" s="9">
        <f t="shared" si="33"/>
        <v>24</v>
      </c>
      <c r="K364" s="57" t="s">
        <v>266</v>
      </c>
      <c r="L364" s="11" t="s">
        <v>234</v>
      </c>
      <c r="M364" s="11"/>
      <c r="N364" s="11"/>
      <c r="O364" s="11"/>
      <c r="P364" s="136"/>
      <c r="Q364" s="136"/>
      <c r="R364" s="11"/>
      <c r="S364" s="11" t="s">
        <v>1181</v>
      </c>
      <c r="T364" s="157"/>
    </row>
    <row r="365" spans="1:20" x14ac:dyDescent="0.2">
      <c r="A365" s="33" t="s">
        <v>879</v>
      </c>
      <c r="B365" s="7">
        <f t="shared" si="31"/>
        <v>753</v>
      </c>
      <c r="C365" s="7">
        <f t="shared" si="28"/>
        <v>776</v>
      </c>
      <c r="D365" s="168" t="s">
        <v>895</v>
      </c>
      <c r="E365" s="179" t="s">
        <v>2265</v>
      </c>
      <c r="F365" s="7">
        <v>24</v>
      </c>
      <c r="G365" s="7">
        <v>1</v>
      </c>
      <c r="H365" s="7"/>
      <c r="I365" s="9">
        <f t="shared" si="32"/>
        <v>48</v>
      </c>
      <c r="J365" s="9">
        <f t="shared" si="33"/>
        <v>24</v>
      </c>
      <c r="K365" s="57" t="s">
        <v>266</v>
      </c>
      <c r="L365" s="11" t="s">
        <v>234</v>
      </c>
      <c r="M365" s="11"/>
      <c r="N365" s="11"/>
      <c r="O365" s="11"/>
      <c r="P365" s="136"/>
      <c r="Q365" s="136"/>
      <c r="R365" s="11"/>
      <c r="S365" s="11" t="s">
        <v>1181</v>
      </c>
      <c r="T365" s="117"/>
    </row>
    <row r="366" spans="1:20" x14ac:dyDescent="0.2">
      <c r="A366" s="33" t="s">
        <v>879</v>
      </c>
      <c r="B366" s="7">
        <f t="shared" si="31"/>
        <v>777</v>
      </c>
      <c r="C366" s="7">
        <f t="shared" si="28"/>
        <v>800</v>
      </c>
      <c r="D366" s="9" t="s">
        <v>895</v>
      </c>
      <c r="E366" s="8" t="s">
        <v>2266</v>
      </c>
      <c r="F366" s="7">
        <v>24</v>
      </c>
      <c r="G366" s="7">
        <v>1</v>
      </c>
      <c r="H366" s="7"/>
      <c r="I366" s="9">
        <f t="shared" si="32"/>
        <v>48</v>
      </c>
      <c r="J366" s="9">
        <f t="shared" si="33"/>
        <v>24</v>
      </c>
      <c r="K366" s="57" t="s">
        <v>266</v>
      </c>
      <c r="L366" s="11" t="s">
        <v>234</v>
      </c>
      <c r="M366" s="11"/>
      <c r="N366" s="11"/>
      <c r="O366" s="11"/>
      <c r="P366" s="10"/>
      <c r="Q366" s="10"/>
      <c r="R366" s="11"/>
      <c r="S366" s="11" t="s">
        <v>1181</v>
      </c>
      <c r="T366" s="157"/>
    </row>
    <row r="367" spans="1:20" x14ac:dyDescent="0.2">
      <c r="A367" s="33"/>
      <c r="B367" s="47">
        <f>B368</f>
        <v>2401</v>
      </c>
      <c r="C367" s="46"/>
      <c r="D367" s="48"/>
      <c r="E367" s="26" t="s">
        <v>297</v>
      </c>
      <c r="F367" s="46"/>
      <c r="G367" s="46"/>
      <c r="H367" s="46"/>
      <c r="I367" s="48"/>
      <c r="J367" s="48"/>
      <c r="K367" s="49"/>
      <c r="L367" s="32"/>
      <c r="M367" s="32"/>
      <c r="N367" s="32"/>
      <c r="O367" s="32"/>
      <c r="P367" s="122"/>
      <c r="R367" s="143"/>
      <c r="S367" s="143"/>
      <c r="T367" s="156"/>
    </row>
    <row r="368" spans="1:20" x14ac:dyDescent="0.2">
      <c r="A368" s="33" t="s">
        <v>879</v>
      </c>
      <c r="B368" s="7">
        <v>2401</v>
      </c>
      <c r="C368" s="7">
        <f>B368+($F368*$G368)-1</f>
        <v>2401</v>
      </c>
      <c r="D368" s="9" t="s">
        <v>895</v>
      </c>
      <c r="E368" s="8" t="s">
        <v>594</v>
      </c>
      <c r="F368" s="7">
        <v>1</v>
      </c>
      <c r="G368" s="7">
        <v>1</v>
      </c>
      <c r="H368" s="7"/>
      <c r="I368" s="9">
        <f t="shared" ref="I368:I378" si="34">F368*G368*2</f>
        <v>2</v>
      </c>
      <c r="J368" s="9">
        <f t="shared" ref="J368:J378" si="35">C368-B368+1</f>
        <v>1</v>
      </c>
      <c r="K368" s="165" t="s">
        <v>1414</v>
      </c>
      <c r="L368" s="11" t="s">
        <v>234</v>
      </c>
      <c r="M368" s="11"/>
      <c r="N368" s="11"/>
      <c r="O368" s="11"/>
      <c r="P368" s="128"/>
      <c r="Q368" s="128"/>
      <c r="R368" s="11"/>
      <c r="S368" s="11" t="s">
        <v>1181</v>
      </c>
      <c r="T368" s="157"/>
    </row>
    <row r="369" spans="1:20" ht="11.25" customHeight="1" x14ac:dyDescent="0.2">
      <c r="A369" s="33" t="s">
        <v>879</v>
      </c>
      <c r="B369" s="7">
        <f>C368+1</f>
        <v>2402</v>
      </c>
      <c r="C369" s="7">
        <f t="shared" ref="C369:C378" si="36">B369+($F369*$G369)-1</f>
        <v>2402</v>
      </c>
      <c r="D369" s="168" t="s">
        <v>895</v>
      </c>
      <c r="E369" s="179" t="s">
        <v>773</v>
      </c>
      <c r="F369" s="7">
        <v>1</v>
      </c>
      <c r="G369" s="7">
        <v>1</v>
      </c>
      <c r="H369" s="7"/>
      <c r="I369" s="9">
        <f t="shared" si="34"/>
        <v>2</v>
      </c>
      <c r="J369" s="9">
        <f t="shared" si="35"/>
        <v>1</v>
      </c>
      <c r="K369" s="56" t="s">
        <v>619</v>
      </c>
      <c r="L369" s="11" t="s">
        <v>234</v>
      </c>
      <c r="M369" s="11"/>
      <c r="N369" s="11"/>
      <c r="O369" s="11"/>
      <c r="P369" s="136"/>
      <c r="Q369" s="136"/>
      <c r="R369" s="11"/>
      <c r="S369" s="11" t="s">
        <v>1181</v>
      </c>
      <c r="T369" s="117"/>
    </row>
    <row r="370" spans="1:20" x14ac:dyDescent="0.2">
      <c r="A370" s="33" t="s">
        <v>879</v>
      </c>
      <c r="B370" s="7">
        <f>C369+1</f>
        <v>2403</v>
      </c>
      <c r="C370" s="7">
        <f t="shared" si="36"/>
        <v>2403</v>
      </c>
      <c r="D370" s="9" t="s">
        <v>895</v>
      </c>
      <c r="E370" s="8" t="s">
        <v>774</v>
      </c>
      <c r="F370" s="7">
        <v>1</v>
      </c>
      <c r="G370" s="7">
        <v>1</v>
      </c>
      <c r="H370" s="7"/>
      <c r="I370" s="9">
        <f t="shared" si="34"/>
        <v>2</v>
      </c>
      <c r="J370" s="9">
        <f t="shared" si="35"/>
        <v>1</v>
      </c>
      <c r="K370" s="56" t="s">
        <v>257</v>
      </c>
      <c r="L370" s="11" t="s">
        <v>234</v>
      </c>
      <c r="M370" s="11"/>
      <c r="N370" s="11"/>
      <c r="O370" s="11"/>
      <c r="P370" s="11"/>
      <c r="Q370" s="11"/>
      <c r="R370" s="11"/>
      <c r="S370" s="11" t="s">
        <v>1181</v>
      </c>
      <c r="T370" s="157"/>
    </row>
    <row r="371" spans="1:20" x14ac:dyDescent="0.2">
      <c r="A371" s="33" t="s">
        <v>879</v>
      </c>
      <c r="B371" s="7">
        <f t="shared" ref="B371:B378" si="37">C370+1</f>
        <v>2404</v>
      </c>
      <c r="C371" s="7">
        <f t="shared" si="36"/>
        <v>2404</v>
      </c>
      <c r="D371" s="168" t="s">
        <v>895</v>
      </c>
      <c r="E371" s="179" t="s">
        <v>864</v>
      </c>
      <c r="F371" s="7">
        <v>1</v>
      </c>
      <c r="G371" s="7">
        <v>1</v>
      </c>
      <c r="H371" s="7"/>
      <c r="I371" s="9">
        <f t="shared" si="34"/>
        <v>2</v>
      </c>
      <c r="J371" s="9">
        <f t="shared" si="35"/>
        <v>1</v>
      </c>
      <c r="K371" s="57" t="s">
        <v>903</v>
      </c>
      <c r="L371" s="11" t="s">
        <v>234</v>
      </c>
      <c r="M371" s="11"/>
      <c r="N371" s="11"/>
      <c r="O371" s="11"/>
      <c r="P371" s="136"/>
      <c r="Q371" s="136"/>
      <c r="R371" s="11"/>
      <c r="S371" s="11" t="s">
        <v>1181</v>
      </c>
      <c r="T371" s="117"/>
    </row>
    <row r="372" spans="1:20" x14ac:dyDescent="0.2">
      <c r="A372" s="33" t="s">
        <v>879</v>
      </c>
      <c r="B372" s="7">
        <f t="shared" si="37"/>
        <v>2405</v>
      </c>
      <c r="C372" s="7">
        <f t="shared" si="36"/>
        <v>2405</v>
      </c>
      <c r="D372" s="9" t="s">
        <v>895</v>
      </c>
      <c r="E372" s="8" t="s">
        <v>865</v>
      </c>
      <c r="F372" s="7">
        <v>1</v>
      </c>
      <c r="G372" s="7">
        <v>1</v>
      </c>
      <c r="H372" s="7"/>
      <c r="I372" s="9">
        <f t="shared" si="34"/>
        <v>2</v>
      </c>
      <c r="J372" s="9">
        <f t="shared" si="35"/>
        <v>1</v>
      </c>
      <c r="K372" s="57" t="s">
        <v>904</v>
      </c>
      <c r="L372" s="11" t="s">
        <v>234</v>
      </c>
      <c r="M372" s="11"/>
      <c r="N372" s="11"/>
      <c r="O372" s="11"/>
      <c r="P372" s="11"/>
      <c r="Q372" s="11"/>
      <c r="R372" s="11"/>
      <c r="S372" s="11" t="s">
        <v>1181</v>
      </c>
      <c r="T372" s="157"/>
    </row>
    <row r="373" spans="1:20" x14ac:dyDescent="0.2">
      <c r="A373" s="33" t="s">
        <v>879</v>
      </c>
      <c r="B373" s="7">
        <f t="shared" si="37"/>
        <v>2406</v>
      </c>
      <c r="C373" s="7">
        <f t="shared" si="36"/>
        <v>2406</v>
      </c>
      <c r="D373" s="168" t="s">
        <v>895</v>
      </c>
      <c r="E373" s="179" t="s">
        <v>863</v>
      </c>
      <c r="F373" s="7">
        <v>1</v>
      </c>
      <c r="G373" s="7">
        <v>1</v>
      </c>
      <c r="H373" s="7"/>
      <c r="I373" s="9">
        <f t="shared" si="34"/>
        <v>2</v>
      </c>
      <c r="J373" s="9">
        <f t="shared" si="35"/>
        <v>1</v>
      </c>
      <c r="K373" s="57" t="s">
        <v>903</v>
      </c>
      <c r="L373" s="11" t="s">
        <v>234</v>
      </c>
      <c r="M373" s="11"/>
      <c r="N373" s="11"/>
      <c r="O373" s="11"/>
      <c r="P373" s="136"/>
      <c r="Q373" s="136"/>
      <c r="R373" s="11"/>
      <c r="S373" s="11" t="s">
        <v>1181</v>
      </c>
      <c r="T373" s="117"/>
    </row>
    <row r="374" spans="1:20" x14ac:dyDescent="0.2">
      <c r="A374" s="33" t="s">
        <v>879</v>
      </c>
      <c r="B374" s="7">
        <f t="shared" si="37"/>
        <v>2407</v>
      </c>
      <c r="C374" s="7">
        <f t="shared" si="36"/>
        <v>2407</v>
      </c>
      <c r="D374" s="9" t="s">
        <v>895</v>
      </c>
      <c r="E374" s="8" t="s">
        <v>862</v>
      </c>
      <c r="F374" s="7">
        <v>1</v>
      </c>
      <c r="G374" s="7">
        <v>1</v>
      </c>
      <c r="H374" s="7"/>
      <c r="I374" s="9">
        <f t="shared" si="34"/>
        <v>2</v>
      </c>
      <c r="J374" s="9">
        <f t="shared" si="35"/>
        <v>1</v>
      </c>
      <c r="K374" s="57" t="s">
        <v>904</v>
      </c>
      <c r="L374" s="11" t="s">
        <v>234</v>
      </c>
      <c r="M374" s="11"/>
      <c r="N374" s="11"/>
      <c r="O374" s="11"/>
      <c r="P374" s="11"/>
      <c r="Q374" s="11"/>
      <c r="R374" s="11"/>
      <c r="S374" s="11" t="s">
        <v>1181</v>
      </c>
      <c r="T374" s="157"/>
    </row>
    <row r="375" spans="1:20" x14ac:dyDescent="0.2">
      <c r="A375" s="33" t="s">
        <v>879</v>
      </c>
      <c r="B375" s="7">
        <f t="shared" si="37"/>
        <v>2408</v>
      </c>
      <c r="C375" s="7">
        <f t="shared" si="36"/>
        <v>2408</v>
      </c>
      <c r="D375" s="168" t="s">
        <v>895</v>
      </c>
      <c r="E375" s="179" t="s">
        <v>355</v>
      </c>
      <c r="F375" s="7">
        <v>1</v>
      </c>
      <c r="G375" s="7">
        <v>1</v>
      </c>
      <c r="H375" s="7"/>
      <c r="I375" s="9">
        <f t="shared" si="34"/>
        <v>2</v>
      </c>
      <c r="J375" s="9">
        <f t="shared" si="35"/>
        <v>1</v>
      </c>
      <c r="K375" s="57" t="s">
        <v>388</v>
      </c>
      <c r="L375" s="11" t="s">
        <v>234</v>
      </c>
      <c r="M375" s="11"/>
      <c r="N375" s="11"/>
      <c r="O375" s="11"/>
      <c r="P375" s="136"/>
      <c r="Q375" s="136"/>
      <c r="R375" s="11"/>
      <c r="S375" s="11" t="s">
        <v>1181</v>
      </c>
      <c r="T375" s="117"/>
    </row>
    <row r="376" spans="1:20" x14ac:dyDescent="0.2">
      <c r="A376" s="33" t="s">
        <v>879</v>
      </c>
      <c r="B376" s="7">
        <f t="shared" si="37"/>
        <v>2409</v>
      </c>
      <c r="C376" s="7">
        <f t="shared" si="36"/>
        <v>2409</v>
      </c>
      <c r="D376" s="9" t="s">
        <v>895</v>
      </c>
      <c r="E376" s="8" t="s">
        <v>356</v>
      </c>
      <c r="F376" s="7">
        <v>1</v>
      </c>
      <c r="G376" s="7">
        <v>1</v>
      </c>
      <c r="H376" s="7"/>
      <c r="I376" s="9">
        <f t="shared" si="34"/>
        <v>2</v>
      </c>
      <c r="J376" s="9">
        <f t="shared" si="35"/>
        <v>1</v>
      </c>
      <c r="K376" s="57" t="s">
        <v>388</v>
      </c>
      <c r="L376" s="11" t="s">
        <v>234</v>
      </c>
      <c r="M376" s="11"/>
      <c r="N376" s="11"/>
      <c r="O376" s="11"/>
      <c r="P376" s="11"/>
      <c r="Q376" s="11"/>
      <c r="R376" s="11"/>
      <c r="S376" s="11" t="s">
        <v>1181</v>
      </c>
      <c r="T376" s="157"/>
    </row>
    <row r="377" spans="1:20" x14ac:dyDescent="0.2">
      <c r="A377" s="33" t="s">
        <v>879</v>
      </c>
      <c r="B377" s="7">
        <f t="shared" si="37"/>
        <v>2410</v>
      </c>
      <c r="C377" s="7">
        <f t="shared" si="36"/>
        <v>2410</v>
      </c>
      <c r="D377" s="168" t="s">
        <v>895</v>
      </c>
      <c r="E377" s="179" t="s">
        <v>357</v>
      </c>
      <c r="F377" s="7">
        <v>1</v>
      </c>
      <c r="G377" s="7">
        <v>1</v>
      </c>
      <c r="H377" s="7"/>
      <c r="I377" s="9">
        <f t="shared" si="34"/>
        <v>2</v>
      </c>
      <c r="J377" s="9">
        <f t="shared" si="35"/>
        <v>1</v>
      </c>
      <c r="K377" s="57" t="s">
        <v>389</v>
      </c>
      <c r="L377" s="11" t="s">
        <v>234</v>
      </c>
      <c r="M377" s="11"/>
      <c r="N377" s="11"/>
      <c r="O377" s="11"/>
      <c r="P377" s="136"/>
      <c r="Q377" s="136"/>
      <c r="R377" s="11"/>
      <c r="S377" s="11" t="s">
        <v>1181</v>
      </c>
      <c r="T377" s="117"/>
    </row>
    <row r="378" spans="1:20" x14ac:dyDescent="0.2">
      <c r="A378" s="33" t="s">
        <v>879</v>
      </c>
      <c r="B378" s="7">
        <f t="shared" si="37"/>
        <v>2411</v>
      </c>
      <c r="C378" s="7">
        <f t="shared" si="36"/>
        <v>2411</v>
      </c>
      <c r="D378" s="9" t="s">
        <v>895</v>
      </c>
      <c r="E378" s="8" t="s">
        <v>358</v>
      </c>
      <c r="F378" s="7">
        <v>1</v>
      </c>
      <c r="G378" s="7">
        <v>1</v>
      </c>
      <c r="H378" s="7"/>
      <c r="I378" s="9">
        <f t="shared" si="34"/>
        <v>2</v>
      </c>
      <c r="J378" s="9">
        <f t="shared" si="35"/>
        <v>1</v>
      </c>
      <c r="K378" s="57" t="s">
        <v>389</v>
      </c>
      <c r="L378" s="11" t="s">
        <v>234</v>
      </c>
      <c r="M378" s="11"/>
      <c r="N378" s="11"/>
      <c r="O378" s="11"/>
      <c r="P378" s="11"/>
      <c r="Q378" s="11"/>
      <c r="R378" s="11"/>
      <c r="S378" s="11" t="s">
        <v>1181</v>
      </c>
      <c r="T378" s="157"/>
    </row>
    <row r="379" spans="1:20" x14ac:dyDescent="0.2">
      <c r="A379" s="33"/>
      <c r="B379" s="47">
        <f>B382</f>
        <v>0</v>
      </c>
      <c r="C379" s="46"/>
      <c r="D379" s="48"/>
      <c r="E379" s="26"/>
      <c r="F379" s="46"/>
      <c r="G379" s="46"/>
      <c r="H379" s="46"/>
      <c r="I379" s="48"/>
      <c r="J379" s="48"/>
      <c r="K379" s="49"/>
      <c r="L379" s="32"/>
      <c r="M379" s="32"/>
      <c r="N379" s="32"/>
      <c r="O379" s="32"/>
      <c r="P379" s="19"/>
      <c r="Q379" s="19"/>
      <c r="R379" s="143"/>
      <c r="S379" s="143"/>
      <c r="T379" s="156"/>
    </row>
    <row r="380" spans="1:20" x14ac:dyDescent="0.2">
      <c r="A380" s="33" t="s">
        <v>879</v>
      </c>
      <c r="B380" s="330"/>
      <c r="C380" s="330"/>
      <c r="D380" s="333"/>
      <c r="E380" s="339"/>
      <c r="F380" s="342"/>
      <c r="G380" s="330"/>
      <c r="H380" s="330"/>
      <c r="I380" s="333"/>
      <c r="J380" s="333"/>
      <c r="K380" s="334"/>
      <c r="L380" s="335"/>
      <c r="M380" s="335"/>
      <c r="N380" s="335"/>
      <c r="O380" s="11"/>
      <c r="P380" s="340"/>
      <c r="Q380" s="340"/>
      <c r="R380" s="11"/>
      <c r="S380" s="11"/>
      <c r="T380" s="338"/>
    </row>
    <row r="381" spans="1:20" x14ac:dyDescent="0.2">
      <c r="A381" s="33" t="s">
        <v>879</v>
      </c>
      <c r="B381" s="330"/>
      <c r="C381" s="330"/>
      <c r="D381" s="333"/>
      <c r="E381" s="339"/>
      <c r="F381" s="342"/>
      <c r="G381" s="330"/>
      <c r="H381" s="330"/>
      <c r="I381" s="333"/>
      <c r="J381" s="333"/>
      <c r="K381" s="334"/>
      <c r="L381" s="335"/>
      <c r="M381" s="335"/>
      <c r="N381" s="335"/>
      <c r="O381" s="11"/>
      <c r="P381" s="340"/>
      <c r="Q381" s="340"/>
      <c r="R381" s="11"/>
      <c r="S381" s="11"/>
      <c r="T381" s="341"/>
    </row>
    <row r="382" spans="1:20" x14ac:dyDescent="0.2">
      <c r="A382" s="33" t="s">
        <v>879</v>
      </c>
      <c r="B382" s="330"/>
      <c r="C382" s="330"/>
      <c r="D382" s="331"/>
      <c r="E382" s="332"/>
      <c r="F382" s="330"/>
      <c r="G382" s="330"/>
      <c r="H382" s="330"/>
      <c r="I382" s="333"/>
      <c r="J382" s="333"/>
      <c r="K382" s="334"/>
      <c r="L382" s="335"/>
      <c r="M382" s="335"/>
      <c r="N382" s="335"/>
      <c r="O382" s="11"/>
      <c r="P382" s="336"/>
      <c r="Q382" s="336"/>
      <c r="R382" s="11"/>
      <c r="S382" s="11"/>
      <c r="T382" s="338"/>
    </row>
    <row r="383" spans="1:20" x14ac:dyDescent="0.2">
      <c r="A383" s="33" t="s">
        <v>879</v>
      </c>
      <c r="B383" s="330"/>
      <c r="C383" s="330"/>
      <c r="D383" s="331"/>
      <c r="E383" s="332"/>
      <c r="F383" s="330"/>
      <c r="G383" s="330"/>
      <c r="H383" s="330"/>
      <c r="I383" s="333"/>
      <c r="J383" s="333"/>
      <c r="K383" s="334"/>
      <c r="L383" s="335"/>
      <c r="M383" s="335"/>
      <c r="N383" s="335"/>
      <c r="O383" s="11"/>
      <c r="P383" s="336"/>
      <c r="Q383" s="336"/>
      <c r="R383" s="11"/>
      <c r="S383" s="11"/>
      <c r="T383" s="338"/>
    </row>
    <row r="384" spans="1:20" x14ac:dyDescent="0.2">
      <c r="A384" s="33" t="s">
        <v>879</v>
      </c>
      <c r="B384" s="330"/>
      <c r="C384" s="330"/>
      <c r="D384" s="333"/>
      <c r="E384" s="339"/>
      <c r="F384" s="342"/>
      <c r="G384" s="330"/>
      <c r="H384" s="330"/>
      <c r="I384" s="333"/>
      <c r="J384" s="333"/>
      <c r="K384" s="334"/>
      <c r="L384" s="335"/>
      <c r="M384" s="335"/>
      <c r="N384" s="335"/>
      <c r="O384" s="11"/>
      <c r="P384" s="340"/>
      <c r="Q384" s="340"/>
      <c r="R384" s="11"/>
      <c r="S384" s="11"/>
      <c r="T384" s="338"/>
    </row>
    <row r="385" spans="1:20" x14ac:dyDescent="0.2">
      <c r="A385" s="33" t="s">
        <v>879</v>
      </c>
      <c r="B385" s="330"/>
      <c r="C385" s="330"/>
      <c r="D385" s="331"/>
      <c r="E385" s="332"/>
      <c r="F385" s="330"/>
      <c r="G385" s="330"/>
      <c r="H385" s="330"/>
      <c r="I385" s="333"/>
      <c r="J385" s="333"/>
      <c r="K385" s="334"/>
      <c r="L385" s="335"/>
      <c r="M385" s="335"/>
      <c r="N385" s="335"/>
      <c r="O385" s="11"/>
      <c r="P385" s="336"/>
      <c r="Q385" s="336"/>
      <c r="R385" s="11"/>
      <c r="S385" s="11"/>
      <c r="T385" s="338"/>
    </row>
    <row r="386" spans="1:20" x14ac:dyDescent="0.2">
      <c r="A386" s="33" t="s">
        <v>879</v>
      </c>
      <c r="B386" s="330"/>
      <c r="C386" s="330"/>
      <c r="D386" s="333"/>
      <c r="E386" s="339"/>
      <c r="F386" s="342"/>
      <c r="G386" s="330"/>
      <c r="H386" s="330"/>
      <c r="I386" s="333"/>
      <c r="J386" s="333"/>
      <c r="K386" s="334"/>
      <c r="L386" s="335"/>
      <c r="M386" s="335"/>
      <c r="N386" s="335"/>
      <c r="O386" s="11"/>
      <c r="P386" s="340"/>
      <c r="Q386" s="340"/>
      <c r="R386" s="11"/>
      <c r="S386" s="11"/>
      <c r="T386" s="341"/>
    </row>
    <row r="387" spans="1:20" x14ac:dyDescent="0.2">
      <c r="A387" s="33" t="s">
        <v>879</v>
      </c>
      <c r="B387" s="330"/>
      <c r="C387" s="330"/>
      <c r="D387" s="331"/>
      <c r="E387" s="332"/>
      <c r="F387" s="330"/>
      <c r="G387" s="330"/>
      <c r="H387" s="330"/>
      <c r="I387" s="333"/>
      <c r="J387" s="333"/>
      <c r="K387" s="334"/>
      <c r="L387" s="335"/>
      <c r="M387" s="335"/>
      <c r="N387" s="335"/>
      <c r="O387" s="11"/>
      <c r="P387" s="336"/>
      <c r="Q387" s="336"/>
      <c r="R387" s="11"/>
      <c r="S387" s="11"/>
      <c r="T387" s="338"/>
    </row>
    <row r="388" spans="1:20" x14ac:dyDescent="0.2">
      <c r="A388" s="33" t="s">
        <v>879</v>
      </c>
      <c r="B388" s="330"/>
      <c r="C388" s="330"/>
      <c r="D388" s="333"/>
      <c r="E388" s="339"/>
      <c r="F388" s="342"/>
      <c r="G388" s="330"/>
      <c r="H388" s="330"/>
      <c r="I388" s="333"/>
      <c r="J388" s="333"/>
      <c r="K388" s="334"/>
      <c r="L388" s="335"/>
      <c r="M388" s="335"/>
      <c r="N388" s="335"/>
      <c r="O388" s="11"/>
      <c r="P388" s="340"/>
      <c r="Q388" s="340"/>
      <c r="R388" s="11"/>
      <c r="S388" s="11"/>
      <c r="T388" s="338"/>
    </row>
    <row r="389" spans="1:20" x14ac:dyDescent="0.2">
      <c r="A389" s="33" t="s">
        <v>879</v>
      </c>
      <c r="B389" s="330"/>
      <c r="C389" s="330"/>
      <c r="D389" s="333"/>
      <c r="E389" s="339"/>
      <c r="F389" s="342"/>
      <c r="G389" s="330"/>
      <c r="H389" s="330"/>
      <c r="I389" s="333"/>
      <c r="J389" s="333"/>
      <c r="K389" s="334"/>
      <c r="L389" s="335"/>
      <c r="M389" s="335"/>
      <c r="N389" s="335"/>
      <c r="O389" s="11"/>
      <c r="P389" s="340"/>
      <c r="Q389" s="340"/>
      <c r="R389" s="11"/>
      <c r="S389" s="11"/>
      <c r="T389" s="338"/>
    </row>
    <row r="390" spans="1:20" x14ac:dyDescent="0.2">
      <c r="A390" s="33" t="s">
        <v>879</v>
      </c>
      <c r="B390" s="330"/>
      <c r="C390" s="330"/>
      <c r="D390" s="333"/>
      <c r="E390" s="339"/>
      <c r="F390" s="342"/>
      <c r="G390" s="330"/>
      <c r="H390" s="330"/>
      <c r="I390" s="333"/>
      <c r="J390" s="333"/>
      <c r="K390" s="334"/>
      <c r="L390" s="335"/>
      <c r="M390" s="335"/>
      <c r="N390" s="335"/>
      <c r="O390" s="11"/>
      <c r="P390" s="340"/>
      <c r="Q390" s="340"/>
      <c r="R390" s="11"/>
      <c r="S390" s="11"/>
      <c r="T390" s="341"/>
    </row>
    <row r="391" spans="1:20" x14ac:dyDescent="0.2">
      <c r="A391" s="33" t="s">
        <v>879</v>
      </c>
      <c r="B391" s="330"/>
      <c r="C391" s="330"/>
      <c r="D391" s="331"/>
      <c r="E391" s="332"/>
      <c r="F391" s="330"/>
      <c r="G391" s="330"/>
      <c r="H391" s="330"/>
      <c r="I391" s="333"/>
      <c r="J391" s="333"/>
      <c r="K391" s="334"/>
      <c r="L391" s="335"/>
      <c r="M391" s="335"/>
      <c r="N391" s="335"/>
      <c r="O391" s="11"/>
      <c r="P391" s="336"/>
      <c r="Q391" s="336"/>
      <c r="R391" s="11"/>
      <c r="S391" s="11"/>
      <c r="T391" s="338"/>
    </row>
    <row r="392" spans="1:20" x14ac:dyDescent="0.2">
      <c r="A392" s="33" t="s">
        <v>879</v>
      </c>
      <c r="B392" s="330"/>
      <c r="C392" s="330"/>
      <c r="D392" s="331"/>
      <c r="E392" s="332"/>
      <c r="F392" s="330"/>
      <c r="G392" s="330"/>
      <c r="H392" s="330"/>
      <c r="I392" s="333"/>
      <c r="J392" s="333"/>
      <c r="K392" s="334"/>
      <c r="L392" s="335"/>
      <c r="M392" s="335"/>
      <c r="N392" s="335"/>
      <c r="O392" s="11"/>
      <c r="P392" s="336"/>
      <c r="Q392" s="336"/>
      <c r="R392" s="11"/>
      <c r="S392" s="11"/>
      <c r="T392" s="338"/>
    </row>
    <row r="393" spans="1:20" x14ac:dyDescent="0.2">
      <c r="A393" s="33" t="s">
        <v>879</v>
      </c>
      <c r="B393" s="330"/>
      <c r="C393" s="330"/>
      <c r="D393" s="333"/>
      <c r="E393" s="339"/>
      <c r="F393" s="342"/>
      <c r="G393" s="330"/>
      <c r="H393" s="330"/>
      <c r="I393" s="333"/>
      <c r="J393" s="333"/>
      <c r="K393" s="334"/>
      <c r="L393" s="335"/>
      <c r="M393" s="335"/>
      <c r="N393" s="335"/>
      <c r="O393" s="11"/>
      <c r="P393" s="340"/>
      <c r="Q393" s="340"/>
      <c r="R393" s="11"/>
      <c r="S393" s="11"/>
      <c r="T393" s="341"/>
    </row>
    <row r="394" spans="1:20" x14ac:dyDescent="0.2">
      <c r="A394" s="33" t="s">
        <v>879</v>
      </c>
      <c r="B394" s="330"/>
      <c r="C394" s="330"/>
      <c r="D394" s="331"/>
      <c r="E394" s="332"/>
      <c r="F394" s="330"/>
      <c r="G394" s="330"/>
      <c r="H394" s="330"/>
      <c r="I394" s="333"/>
      <c r="J394" s="333"/>
      <c r="K394" s="334"/>
      <c r="L394" s="335"/>
      <c r="M394" s="335"/>
      <c r="N394" s="335"/>
      <c r="O394" s="11"/>
      <c r="P394" s="336"/>
      <c r="Q394" s="336"/>
      <c r="R394" s="11"/>
      <c r="S394" s="11"/>
      <c r="T394" s="338"/>
    </row>
    <row r="395" spans="1:20" ht="12.75" x14ac:dyDescent="0.2">
      <c r="A395" s="33"/>
      <c r="B395" s="47">
        <f>B396</f>
        <v>3001</v>
      </c>
      <c r="C395" s="46"/>
      <c r="D395" s="48"/>
      <c r="E395" s="26" t="s">
        <v>81</v>
      </c>
      <c r="F395" s="46"/>
      <c r="G395" s="46"/>
      <c r="H395" s="46"/>
      <c r="I395" s="48"/>
      <c r="J395" s="48"/>
      <c r="K395" s="183"/>
      <c r="L395" s="32"/>
      <c r="M395" s="32"/>
      <c r="N395" s="32"/>
      <c r="O395" s="32"/>
      <c r="P395" s="19"/>
      <c r="Q395" s="19"/>
      <c r="R395" s="143"/>
      <c r="S395" s="143"/>
      <c r="T395" s="156"/>
    </row>
    <row r="396" spans="1:20" x14ac:dyDescent="0.2">
      <c r="A396" s="33" t="s">
        <v>879</v>
      </c>
      <c r="B396" s="7">
        <v>3001</v>
      </c>
      <c r="C396" s="7">
        <f t="shared" ref="C396:C408" si="38">B396+($F396*$G396)-1</f>
        <v>3001</v>
      </c>
      <c r="D396" s="9" t="s">
        <v>895</v>
      </c>
      <c r="E396" s="8" t="s">
        <v>87</v>
      </c>
      <c r="F396" s="7">
        <v>1</v>
      </c>
      <c r="G396" s="7">
        <v>1</v>
      </c>
      <c r="H396" s="7"/>
      <c r="I396" s="9">
        <f t="shared" ref="I396:I408" si="39">F396*G396*2</f>
        <v>2</v>
      </c>
      <c r="J396" s="9">
        <f t="shared" ref="J396:J408" si="40">C396-B396+1</f>
        <v>1</v>
      </c>
      <c r="K396" s="10" t="s">
        <v>673</v>
      </c>
      <c r="L396" s="11" t="s">
        <v>234</v>
      </c>
      <c r="M396" s="11"/>
      <c r="N396" s="11"/>
      <c r="O396" s="11"/>
      <c r="P396" s="123"/>
      <c r="Q396" s="121"/>
      <c r="R396" s="11"/>
      <c r="S396" s="11" t="s">
        <v>1181</v>
      </c>
      <c r="T396" s="157"/>
    </row>
    <row r="397" spans="1:20" x14ac:dyDescent="0.2">
      <c r="A397" s="33" t="s">
        <v>879</v>
      </c>
      <c r="B397" s="7">
        <f t="shared" ref="B397:B404" si="41">C396+1</f>
        <v>3002</v>
      </c>
      <c r="C397" s="7">
        <f t="shared" si="38"/>
        <v>3002</v>
      </c>
      <c r="D397" s="9" t="s">
        <v>895</v>
      </c>
      <c r="E397" s="8" t="s">
        <v>88</v>
      </c>
      <c r="F397" s="7">
        <v>1</v>
      </c>
      <c r="G397" s="7">
        <v>1</v>
      </c>
      <c r="H397" s="7"/>
      <c r="I397" s="9">
        <f t="shared" si="39"/>
        <v>2</v>
      </c>
      <c r="J397" s="9">
        <f t="shared" si="40"/>
        <v>1</v>
      </c>
      <c r="K397" s="10" t="s">
        <v>673</v>
      </c>
      <c r="L397" s="11" t="s">
        <v>234</v>
      </c>
      <c r="M397" s="11"/>
      <c r="N397" s="11"/>
      <c r="O397" s="11"/>
      <c r="P397" s="121"/>
      <c r="Q397" s="121"/>
      <c r="R397" s="11"/>
      <c r="S397" s="11" t="s">
        <v>1181</v>
      </c>
      <c r="T397" s="157"/>
    </row>
    <row r="398" spans="1:20" x14ac:dyDescent="0.2">
      <c r="A398" s="33" t="s">
        <v>879</v>
      </c>
      <c r="B398" s="7">
        <f t="shared" si="41"/>
        <v>3003</v>
      </c>
      <c r="C398" s="7">
        <f t="shared" si="38"/>
        <v>3003</v>
      </c>
      <c r="D398" s="9" t="s">
        <v>895</v>
      </c>
      <c r="E398" s="8" t="s">
        <v>82</v>
      </c>
      <c r="F398" s="7">
        <v>1</v>
      </c>
      <c r="G398" s="7">
        <v>1</v>
      </c>
      <c r="H398" s="7"/>
      <c r="I398" s="9">
        <f t="shared" si="39"/>
        <v>2</v>
      </c>
      <c r="J398" s="9">
        <f t="shared" si="40"/>
        <v>1</v>
      </c>
      <c r="K398" s="10" t="s">
        <v>673</v>
      </c>
      <c r="L398" s="11" t="s">
        <v>234</v>
      </c>
      <c r="M398" s="11"/>
      <c r="N398" s="11"/>
      <c r="O398" s="11"/>
      <c r="P398" s="123"/>
      <c r="Q398" s="121"/>
      <c r="R398" s="11"/>
      <c r="S398" s="11" t="s">
        <v>1181</v>
      </c>
      <c r="T398" s="157"/>
    </row>
    <row r="399" spans="1:20" x14ac:dyDescent="0.2">
      <c r="A399" s="33" t="s">
        <v>879</v>
      </c>
      <c r="B399" s="7">
        <f t="shared" si="41"/>
        <v>3004</v>
      </c>
      <c r="C399" s="7">
        <f t="shared" si="38"/>
        <v>3004</v>
      </c>
      <c r="D399" s="9" t="s">
        <v>895</v>
      </c>
      <c r="E399" s="8" t="s">
        <v>89</v>
      </c>
      <c r="F399" s="7">
        <v>1</v>
      </c>
      <c r="G399" s="7">
        <v>1</v>
      </c>
      <c r="H399" s="7"/>
      <c r="I399" s="9">
        <f t="shared" si="39"/>
        <v>2</v>
      </c>
      <c r="J399" s="9">
        <f t="shared" si="40"/>
        <v>1</v>
      </c>
      <c r="K399" s="10" t="s">
        <v>673</v>
      </c>
      <c r="L399" s="11" t="s">
        <v>234</v>
      </c>
      <c r="M399" s="11"/>
      <c r="N399" s="11"/>
      <c r="O399" s="11"/>
      <c r="P399" s="121"/>
      <c r="Q399" s="121"/>
      <c r="R399" s="11"/>
      <c r="S399" s="11" t="s">
        <v>1181</v>
      </c>
      <c r="T399" s="157"/>
    </row>
    <row r="400" spans="1:20" x14ac:dyDescent="0.2">
      <c r="A400" s="33" t="s">
        <v>879</v>
      </c>
      <c r="B400" s="7">
        <f t="shared" si="41"/>
        <v>3005</v>
      </c>
      <c r="C400" s="7">
        <f t="shared" si="38"/>
        <v>3005</v>
      </c>
      <c r="D400" s="9" t="s">
        <v>895</v>
      </c>
      <c r="E400" s="8" t="s">
        <v>83</v>
      </c>
      <c r="F400" s="7">
        <v>1</v>
      </c>
      <c r="G400" s="7">
        <v>1</v>
      </c>
      <c r="H400" s="7"/>
      <c r="I400" s="9">
        <f t="shared" si="39"/>
        <v>2</v>
      </c>
      <c r="J400" s="9">
        <f t="shared" si="40"/>
        <v>1</v>
      </c>
      <c r="K400" s="10" t="s">
        <v>673</v>
      </c>
      <c r="L400" s="11" t="s">
        <v>234</v>
      </c>
      <c r="M400" s="11"/>
      <c r="N400" s="11"/>
      <c r="O400" s="11"/>
      <c r="P400" s="123"/>
      <c r="Q400" s="121"/>
      <c r="R400" s="11"/>
      <c r="S400" s="11" t="s">
        <v>1181</v>
      </c>
      <c r="T400" s="157"/>
    </row>
    <row r="401" spans="1:20" x14ac:dyDescent="0.2">
      <c r="A401" s="33" t="s">
        <v>879</v>
      </c>
      <c r="B401" s="7">
        <f t="shared" si="41"/>
        <v>3006</v>
      </c>
      <c r="C401" s="7">
        <f t="shared" si="38"/>
        <v>3006</v>
      </c>
      <c r="D401" s="9" t="s">
        <v>895</v>
      </c>
      <c r="E401" s="8" t="s">
        <v>90</v>
      </c>
      <c r="F401" s="7">
        <v>1</v>
      </c>
      <c r="G401" s="7">
        <v>1</v>
      </c>
      <c r="H401" s="7"/>
      <c r="I401" s="9">
        <f t="shared" si="39"/>
        <v>2</v>
      </c>
      <c r="J401" s="9">
        <f t="shared" si="40"/>
        <v>1</v>
      </c>
      <c r="K401" s="10" t="s">
        <v>673</v>
      </c>
      <c r="L401" s="11" t="s">
        <v>234</v>
      </c>
      <c r="M401" s="11"/>
      <c r="N401" s="11"/>
      <c r="O401" s="11"/>
      <c r="P401" s="123"/>
      <c r="Q401" s="121"/>
      <c r="R401" s="11"/>
      <c r="S401" s="11" t="s">
        <v>1181</v>
      </c>
      <c r="T401" s="157"/>
    </row>
    <row r="402" spans="1:20" x14ac:dyDescent="0.2">
      <c r="A402" s="33" t="s">
        <v>879</v>
      </c>
      <c r="B402" s="7">
        <f t="shared" si="41"/>
        <v>3007</v>
      </c>
      <c r="C402" s="7">
        <f t="shared" si="38"/>
        <v>3007</v>
      </c>
      <c r="D402" s="9" t="s">
        <v>895</v>
      </c>
      <c r="E402" s="8" t="s">
        <v>91</v>
      </c>
      <c r="F402" s="7">
        <v>1</v>
      </c>
      <c r="G402" s="7">
        <v>1</v>
      </c>
      <c r="H402" s="7"/>
      <c r="I402" s="9">
        <f t="shared" si="39"/>
        <v>2</v>
      </c>
      <c r="J402" s="9">
        <f t="shared" si="40"/>
        <v>1</v>
      </c>
      <c r="K402" s="10" t="s">
        <v>673</v>
      </c>
      <c r="L402" s="11" t="s">
        <v>234</v>
      </c>
      <c r="M402" s="11"/>
      <c r="N402" s="11"/>
      <c r="O402" s="11"/>
      <c r="P402" s="123"/>
      <c r="Q402" s="121"/>
      <c r="R402" s="11"/>
      <c r="S402" s="11" t="s">
        <v>1181</v>
      </c>
      <c r="T402" s="157"/>
    </row>
    <row r="403" spans="1:20" x14ac:dyDescent="0.2">
      <c r="A403" s="33" t="s">
        <v>879</v>
      </c>
      <c r="B403" s="7">
        <f t="shared" si="41"/>
        <v>3008</v>
      </c>
      <c r="C403" s="7">
        <f t="shared" si="38"/>
        <v>3008</v>
      </c>
      <c r="D403" s="9" t="s">
        <v>895</v>
      </c>
      <c r="E403" s="8" t="s">
        <v>84</v>
      </c>
      <c r="F403" s="7">
        <v>1</v>
      </c>
      <c r="G403" s="7">
        <v>1</v>
      </c>
      <c r="H403" s="7"/>
      <c r="I403" s="9">
        <f t="shared" si="39"/>
        <v>2</v>
      </c>
      <c r="J403" s="9">
        <f t="shared" si="40"/>
        <v>1</v>
      </c>
      <c r="K403" s="10" t="s">
        <v>673</v>
      </c>
      <c r="L403" s="11" t="s">
        <v>234</v>
      </c>
      <c r="M403" s="11"/>
      <c r="N403" s="11"/>
      <c r="O403" s="11"/>
      <c r="P403" s="123"/>
      <c r="Q403" s="121"/>
      <c r="R403" s="11"/>
      <c r="S403" s="11" t="s">
        <v>1181</v>
      </c>
      <c r="T403" s="157"/>
    </row>
    <row r="404" spans="1:20" x14ac:dyDescent="0.2">
      <c r="A404" s="33" t="s">
        <v>879</v>
      </c>
      <c r="B404" s="7">
        <f t="shared" si="41"/>
        <v>3009</v>
      </c>
      <c r="C404" s="7">
        <f t="shared" si="38"/>
        <v>3009</v>
      </c>
      <c r="D404" s="9" t="s">
        <v>895</v>
      </c>
      <c r="E404" s="8" t="s">
        <v>85</v>
      </c>
      <c r="F404" s="7">
        <v>1</v>
      </c>
      <c r="G404" s="7">
        <v>1</v>
      </c>
      <c r="H404" s="7"/>
      <c r="I404" s="9">
        <f t="shared" si="39"/>
        <v>2</v>
      </c>
      <c r="J404" s="9">
        <f t="shared" si="40"/>
        <v>1</v>
      </c>
      <c r="K404" s="10" t="s">
        <v>673</v>
      </c>
      <c r="L404" s="11" t="s">
        <v>234</v>
      </c>
      <c r="M404" s="11"/>
      <c r="N404" s="11"/>
      <c r="O404" s="11"/>
      <c r="P404" s="123"/>
      <c r="Q404" s="121"/>
      <c r="R404" s="11"/>
      <c r="S404" s="11" t="s">
        <v>1181</v>
      </c>
      <c r="T404" s="157"/>
    </row>
    <row r="405" spans="1:20" x14ac:dyDescent="0.2">
      <c r="A405" s="33" t="s">
        <v>879</v>
      </c>
      <c r="B405" s="7">
        <f>C404+1</f>
        <v>3010</v>
      </c>
      <c r="C405" s="7">
        <f t="shared" si="38"/>
        <v>3010</v>
      </c>
      <c r="D405" s="9" t="s">
        <v>895</v>
      </c>
      <c r="E405" s="8" t="s">
        <v>92</v>
      </c>
      <c r="F405" s="7">
        <v>1</v>
      </c>
      <c r="G405" s="7">
        <v>1</v>
      </c>
      <c r="H405" s="7"/>
      <c r="I405" s="9">
        <f t="shared" si="39"/>
        <v>2</v>
      </c>
      <c r="J405" s="9">
        <f t="shared" si="40"/>
        <v>1</v>
      </c>
      <c r="K405" s="10" t="s">
        <v>673</v>
      </c>
      <c r="L405" s="11" t="s">
        <v>234</v>
      </c>
      <c r="M405" s="11"/>
      <c r="N405" s="11"/>
      <c r="O405" s="11"/>
      <c r="P405" s="123"/>
      <c r="Q405" s="121"/>
      <c r="R405" s="11"/>
      <c r="S405" s="11" t="s">
        <v>1181</v>
      </c>
      <c r="T405" s="157"/>
    </row>
    <row r="406" spans="1:20" x14ac:dyDescent="0.2">
      <c r="A406" s="33" t="s">
        <v>879</v>
      </c>
      <c r="B406" s="7">
        <f>C405+1</f>
        <v>3011</v>
      </c>
      <c r="C406" s="7">
        <f t="shared" si="38"/>
        <v>3011</v>
      </c>
      <c r="D406" s="9" t="s">
        <v>895</v>
      </c>
      <c r="E406" s="8" t="s">
        <v>147</v>
      </c>
      <c r="F406" s="7">
        <v>1</v>
      </c>
      <c r="G406" s="7">
        <v>1</v>
      </c>
      <c r="H406" s="7"/>
      <c r="I406" s="9">
        <f t="shared" si="39"/>
        <v>2</v>
      </c>
      <c r="J406" s="9">
        <f t="shared" si="40"/>
        <v>1</v>
      </c>
      <c r="K406" s="10" t="s">
        <v>673</v>
      </c>
      <c r="L406" s="11" t="s">
        <v>234</v>
      </c>
      <c r="M406" s="11"/>
      <c r="N406" s="11"/>
      <c r="O406" s="11"/>
      <c r="P406" s="123"/>
      <c r="Q406" s="121"/>
      <c r="R406" s="11"/>
      <c r="S406" s="11" t="s">
        <v>1181</v>
      </c>
      <c r="T406" s="157"/>
    </row>
    <row r="407" spans="1:20" x14ac:dyDescent="0.2">
      <c r="A407" s="33" t="s">
        <v>879</v>
      </c>
      <c r="B407" s="7">
        <f>C406+1</f>
        <v>3012</v>
      </c>
      <c r="C407" s="7">
        <f t="shared" si="38"/>
        <v>3012</v>
      </c>
      <c r="D407" s="9" t="s">
        <v>895</v>
      </c>
      <c r="E407" s="8" t="s">
        <v>148</v>
      </c>
      <c r="F407" s="7">
        <v>1</v>
      </c>
      <c r="G407" s="7">
        <v>1</v>
      </c>
      <c r="H407" s="7"/>
      <c r="I407" s="9">
        <f t="shared" si="39"/>
        <v>2</v>
      </c>
      <c r="J407" s="9">
        <f t="shared" si="40"/>
        <v>1</v>
      </c>
      <c r="K407" s="10" t="s">
        <v>673</v>
      </c>
      <c r="L407" s="11" t="s">
        <v>234</v>
      </c>
      <c r="M407" s="11"/>
      <c r="N407" s="11"/>
      <c r="O407" s="11"/>
      <c r="P407" s="123"/>
      <c r="Q407" s="121"/>
      <c r="R407" s="11"/>
      <c r="S407" s="11" t="s">
        <v>1181</v>
      </c>
      <c r="T407" s="157"/>
    </row>
    <row r="408" spans="1:20" x14ac:dyDescent="0.2">
      <c r="A408" s="33" t="s">
        <v>879</v>
      </c>
      <c r="B408" s="7">
        <f>C407+1</f>
        <v>3013</v>
      </c>
      <c r="C408" s="7">
        <f t="shared" si="38"/>
        <v>3013</v>
      </c>
      <c r="D408" s="9" t="s">
        <v>895</v>
      </c>
      <c r="E408" s="8" t="s">
        <v>122</v>
      </c>
      <c r="F408" s="7">
        <v>1</v>
      </c>
      <c r="G408" s="7">
        <v>1</v>
      </c>
      <c r="H408" s="7"/>
      <c r="I408" s="9">
        <f t="shared" si="39"/>
        <v>2</v>
      </c>
      <c r="J408" s="9">
        <f t="shared" si="40"/>
        <v>1</v>
      </c>
      <c r="K408" s="10" t="s">
        <v>673</v>
      </c>
      <c r="L408" s="11" t="s">
        <v>234</v>
      </c>
      <c r="M408" s="11"/>
      <c r="N408" s="11"/>
      <c r="O408" s="11"/>
      <c r="P408" s="123"/>
      <c r="Q408" s="121"/>
      <c r="R408" s="11"/>
      <c r="S408" s="11" t="s">
        <v>1181</v>
      </c>
      <c r="T408" s="157"/>
    </row>
    <row r="409" spans="1:20" ht="12.75" x14ac:dyDescent="0.2">
      <c r="A409" s="33"/>
      <c r="B409" s="47">
        <f>B410</f>
        <v>3021</v>
      </c>
      <c r="C409" s="46"/>
      <c r="D409" s="48"/>
      <c r="E409" s="26" t="s">
        <v>86</v>
      </c>
      <c r="F409" s="46"/>
      <c r="G409" s="46"/>
      <c r="H409" s="46"/>
      <c r="I409" s="48"/>
      <c r="J409" s="48"/>
      <c r="K409" s="183"/>
      <c r="L409" s="32"/>
      <c r="M409" s="32"/>
      <c r="N409" s="32"/>
      <c r="O409" s="32"/>
      <c r="P409" s="19"/>
      <c r="Q409" s="19"/>
      <c r="R409" s="143"/>
      <c r="S409" s="143"/>
      <c r="T409" s="156"/>
    </row>
    <row r="410" spans="1:20" x14ac:dyDescent="0.2">
      <c r="A410" s="33" t="s">
        <v>879</v>
      </c>
      <c r="B410" s="330">
        <f>3021</f>
        <v>3021</v>
      </c>
      <c r="C410" s="330">
        <f t="shared" ref="C410:C423" si="42">B410+($F410*$G410)-1</f>
        <v>3021</v>
      </c>
      <c r="D410" s="333" t="s">
        <v>895</v>
      </c>
      <c r="E410" s="339" t="s">
        <v>114</v>
      </c>
      <c r="F410" s="330">
        <v>1</v>
      </c>
      <c r="G410" s="330">
        <v>1</v>
      </c>
      <c r="H410" s="330"/>
      <c r="I410" s="333">
        <f t="shared" ref="I410:I434" si="43">F410*G410*2</f>
        <v>2</v>
      </c>
      <c r="J410" s="333">
        <f t="shared" ref="J410:J434" si="44">C410-B410+1</f>
        <v>1</v>
      </c>
      <c r="K410" s="340" t="s">
        <v>115</v>
      </c>
      <c r="L410" s="335" t="s">
        <v>234</v>
      </c>
      <c r="M410" s="335"/>
      <c r="N410" s="335"/>
      <c r="O410" s="11"/>
      <c r="P410" s="340"/>
      <c r="Q410" s="340"/>
      <c r="R410" s="11"/>
      <c r="S410" s="11" t="s">
        <v>1181</v>
      </c>
      <c r="T410" s="338"/>
    </row>
    <row r="411" spans="1:20" x14ac:dyDescent="0.2">
      <c r="A411" s="33" t="s">
        <v>879</v>
      </c>
      <c r="B411" s="330">
        <f>C410+1</f>
        <v>3022</v>
      </c>
      <c r="C411" s="330">
        <f t="shared" si="42"/>
        <v>3022</v>
      </c>
      <c r="D411" s="333" t="s">
        <v>895</v>
      </c>
      <c r="E411" s="339" t="s">
        <v>1095</v>
      </c>
      <c r="F411" s="330">
        <v>1</v>
      </c>
      <c r="G411" s="330">
        <v>1</v>
      </c>
      <c r="H411" s="330"/>
      <c r="I411" s="333">
        <f t="shared" si="43"/>
        <v>2</v>
      </c>
      <c r="J411" s="333">
        <f t="shared" si="44"/>
        <v>1</v>
      </c>
      <c r="K411" s="340" t="s">
        <v>113</v>
      </c>
      <c r="L411" s="335" t="s">
        <v>234</v>
      </c>
      <c r="M411" s="335"/>
      <c r="N411" s="335"/>
      <c r="O411" s="11"/>
      <c r="P411" s="340"/>
      <c r="Q411" s="340"/>
      <c r="R411" s="11"/>
      <c r="S411" s="11" t="s">
        <v>1181</v>
      </c>
      <c r="T411" s="338"/>
    </row>
    <row r="412" spans="1:20" x14ac:dyDescent="0.2">
      <c r="A412" s="33" t="s">
        <v>879</v>
      </c>
      <c r="B412" s="330">
        <f>C411+1</f>
        <v>3023</v>
      </c>
      <c r="C412" s="330">
        <f t="shared" si="42"/>
        <v>3023</v>
      </c>
      <c r="D412" s="333" t="s">
        <v>895</v>
      </c>
      <c r="E412" s="339" t="s">
        <v>93</v>
      </c>
      <c r="F412" s="330">
        <v>1</v>
      </c>
      <c r="G412" s="330">
        <v>1</v>
      </c>
      <c r="H412" s="330"/>
      <c r="I412" s="333">
        <f t="shared" si="43"/>
        <v>2</v>
      </c>
      <c r="J412" s="333">
        <f t="shared" si="44"/>
        <v>1</v>
      </c>
      <c r="K412" s="340" t="s">
        <v>673</v>
      </c>
      <c r="L412" s="335" t="s">
        <v>234</v>
      </c>
      <c r="M412" s="335"/>
      <c r="N412" s="335"/>
      <c r="O412" s="11"/>
      <c r="P412" s="340"/>
      <c r="Q412" s="340"/>
      <c r="R412" s="11"/>
      <c r="S412" s="11" t="s">
        <v>1181</v>
      </c>
      <c r="T412" s="338"/>
    </row>
    <row r="413" spans="1:20" x14ac:dyDescent="0.2">
      <c r="A413" s="33" t="s">
        <v>879</v>
      </c>
      <c r="B413" s="330">
        <f>C412+1</f>
        <v>3024</v>
      </c>
      <c r="C413" s="330">
        <f t="shared" si="42"/>
        <v>3024</v>
      </c>
      <c r="D413" s="333" t="s">
        <v>895</v>
      </c>
      <c r="E413" s="339" t="s">
        <v>94</v>
      </c>
      <c r="F413" s="330">
        <v>1</v>
      </c>
      <c r="G413" s="330">
        <v>1</v>
      </c>
      <c r="H413" s="330"/>
      <c r="I413" s="333">
        <f t="shared" si="43"/>
        <v>2</v>
      </c>
      <c r="J413" s="333">
        <f t="shared" si="44"/>
        <v>1</v>
      </c>
      <c r="K413" s="340" t="s">
        <v>673</v>
      </c>
      <c r="L413" s="335" t="s">
        <v>234</v>
      </c>
      <c r="M413" s="335"/>
      <c r="N413" s="335"/>
      <c r="O413" s="11"/>
      <c r="P413" s="340"/>
      <c r="Q413" s="340"/>
      <c r="R413" s="11"/>
      <c r="S413" s="11" t="s">
        <v>1181</v>
      </c>
      <c r="T413" s="338"/>
    </row>
    <row r="414" spans="1:20" x14ac:dyDescent="0.2">
      <c r="A414" s="33" t="s">
        <v>879</v>
      </c>
      <c r="B414" s="330">
        <f>C413+1</f>
        <v>3025</v>
      </c>
      <c r="C414" s="330">
        <f t="shared" si="42"/>
        <v>3025</v>
      </c>
      <c r="D414" s="333" t="s">
        <v>895</v>
      </c>
      <c r="E414" s="339" t="s">
        <v>95</v>
      </c>
      <c r="F414" s="330">
        <v>1</v>
      </c>
      <c r="G414" s="330">
        <v>1</v>
      </c>
      <c r="H414" s="330"/>
      <c r="I414" s="333">
        <f t="shared" si="43"/>
        <v>2</v>
      </c>
      <c r="J414" s="333">
        <f t="shared" si="44"/>
        <v>1</v>
      </c>
      <c r="K414" s="340" t="s">
        <v>673</v>
      </c>
      <c r="L414" s="335" t="s">
        <v>234</v>
      </c>
      <c r="M414" s="335"/>
      <c r="N414" s="335"/>
      <c r="O414" s="11"/>
      <c r="P414" s="340"/>
      <c r="Q414" s="340"/>
      <c r="R414" s="11"/>
      <c r="S414" s="11" t="s">
        <v>1181</v>
      </c>
      <c r="T414" s="338"/>
    </row>
    <row r="415" spans="1:20" x14ac:dyDescent="0.2">
      <c r="A415" s="33" t="s">
        <v>879</v>
      </c>
      <c r="B415" s="330">
        <f>C414+1</f>
        <v>3026</v>
      </c>
      <c r="C415" s="330">
        <f t="shared" si="42"/>
        <v>3026</v>
      </c>
      <c r="D415" s="333" t="s">
        <v>895</v>
      </c>
      <c r="E415" s="339" t="s">
        <v>96</v>
      </c>
      <c r="F415" s="330">
        <v>1</v>
      </c>
      <c r="G415" s="330">
        <v>1</v>
      </c>
      <c r="H415" s="330"/>
      <c r="I415" s="333">
        <f t="shared" si="43"/>
        <v>2</v>
      </c>
      <c r="J415" s="333">
        <f t="shared" si="44"/>
        <v>1</v>
      </c>
      <c r="K415" s="340" t="s">
        <v>673</v>
      </c>
      <c r="L415" s="335" t="s">
        <v>234</v>
      </c>
      <c r="M415" s="335"/>
      <c r="N415" s="335"/>
      <c r="O415" s="11"/>
      <c r="P415" s="340"/>
      <c r="Q415" s="340"/>
      <c r="R415" s="11"/>
      <c r="S415" s="11" t="s">
        <v>1181</v>
      </c>
      <c r="T415" s="338"/>
    </row>
    <row r="416" spans="1:20" x14ac:dyDescent="0.2">
      <c r="A416" s="33" t="s">
        <v>879</v>
      </c>
      <c r="B416" s="330">
        <f t="shared" ref="B416:B421" si="45">C415+1</f>
        <v>3027</v>
      </c>
      <c r="C416" s="330">
        <f t="shared" si="42"/>
        <v>3027</v>
      </c>
      <c r="D416" s="333" t="s">
        <v>895</v>
      </c>
      <c r="E416" s="339" t="s">
        <v>99</v>
      </c>
      <c r="F416" s="330">
        <v>1</v>
      </c>
      <c r="G416" s="330">
        <v>1</v>
      </c>
      <c r="H416" s="330"/>
      <c r="I416" s="333">
        <f t="shared" si="43"/>
        <v>2</v>
      </c>
      <c r="J416" s="333">
        <f t="shared" si="44"/>
        <v>1</v>
      </c>
      <c r="K416" s="340" t="s">
        <v>673</v>
      </c>
      <c r="L416" s="335" t="s">
        <v>234</v>
      </c>
      <c r="M416" s="335"/>
      <c r="N416" s="335"/>
      <c r="O416" s="11"/>
      <c r="P416" s="340"/>
      <c r="Q416" s="340"/>
      <c r="R416" s="11"/>
      <c r="S416" s="11" t="s">
        <v>1181</v>
      </c>
      <c r="T416" s="338"/>
    </row>
    <row r="417" spans="1:180" x14ac:dyDescent="0.2">
      <c r="A417" s="33" t="s">
        <v>879</v>
      </c>
      <c r="B417" s="330">
        <f t="shared" si="45"/>
        <v>3028</v>
      </c>
      <c r="C417" s="330">
        <f t="shared" si="42"/>
        <v>3028</v>
      </c>
      <c r="D417" s="333" t="s">
        <v>895</v>
      </c>
      <c r="E417" s="339" t="s">
        <v>100</v>
      </c>
      <c r="F417" s="330">
        <v>1</v>
      </c>
      <c r="G417" s="330">
        <v>1</v>
      </c>
      <c r="H417" s="330"/>
      <c r="I417" s="333">
        <f t="shared" si="43"/>
        <v>2</v>
      </c>
      <c r="J417" s="333">
        <f t="shared" si="44"/>
        <v>1</v>
      </c>
      <c r="K417" s="340" t="s">
        <v>673</v>
      </c>
      <c r="L417" s="335" t="s">
        <v>234</v>
      </c>
      <c r="M417" s="335"/>
      <c r="N417" s="335"/>
      <c r="O417" s="11"/>
      <c r="P417" s="340"/>
      <c r="Q417" s="340"/>
      <c r="R417" s="11"/>
      <c r="S417" s="11" t="s">
        <v>1181</v>
      </c>
      <c r="T417" s="338"/>
    </row>
    <row r="418" spans="1:180" x14ac:dyDescent="0.2">
      <c r="A418" s="33" t="s">
        <v>879</v>
      </c>
      <c r="B418" s="330">
        <f t="shared" si="45"/>
        <v>3029</v>
      </c>
      <c r="C418" s="330">
        <f t="shared" si="42"/>
        <v>3029</v>
      </c>
      <c r="D418" s="333" t="s">
        <v>895</v>
      </c>
      <c r="E418" s="339" t="s">
        <v>97</v>
      </c>
      <c r="F418" s="330">
        <v>1</v>
      </c>
      <c r="G418" s="330">
        <v>1</v>
      </c>
      <c r="H418" s="330"/>
      <c r="I418" s="333">
        <f t="shared" si="43"/>
        <v>2</v>
      </c>
      <c r="J418" s="333">
        <f t="shared" si="44"/>
        <v>1</v>
      </c>
      <c r="K418" s="340" t="s">
        <v>673</v>
      </c>
      <c r="L418" s="335" t="s">
        <v>234</v>
      </c>
      <c r="M418" s="335"/>
      <c r="N418" s="335"/>
      <c r="O418" s="11"/>
      <c r="P418" s="340"/>
      <c r="Q418" s="340"/>
      <c r="R418" s="11"/>
      <c r="S418" s="11" t="s">
        <v>1181</v>
      </c>
      <c r="T418" s="338"/>
    </row>
    <row r="419" spans="1:180" x14ac:dyDescent="0.2">
      <c r="A419" s="33" t="s">
        <v>879</v>
      </c>
      <c r="B419" s="330">
        <f t="shared" si="45"/>
        <v>3030</v>
      </c>
      <c r="C419" s="330">
        <f t="shared" si="42"/>
        <v>3030</v>
      </c>
      <c r="D419" s="333" t="s">
        <v>895</v>
      </c>
      <c r="E419" s="339" t="s">
        <v>641</v>
      </c>
      <c r="F419" s="330">
        <v>1</v>
      </c>
      <c r="G419" s="330">
        <v>1</v>
      </c>
      <c r="H419" s="330"/>
      <c r="I419" s="333">
        <f t="shared" si="43"/>
        <v>2</v>
      </c>
      <c r="J419" s="333">
        <f t="shared" si="44"/>
        <v>1</v>
      </c>
      <c r="K419" s="340" t="s">
        <v>673</v>
      </c>
      <c r="L419" s="335" t="s">
        <v>234</v>
      </c>
      <c r="M419" s="335"/>
      <c r="N419" s="335"/>
      <c r="O419" s="11"/>
      <c r="P419" s="340"/>
      <c r="Q419" s="340"/>
      <c r="R419" s="11"/>
      <c r="S419" s="11" t="s">
        <v>1181</v>
      </c>
      <c r="T419" s="338"/>
    </row>
    <row r="420" spans="1:180" x14ac:dyDescent="0.2">
      <c r="A420" s="33" t="s">
        <v>879</v>
      </c>
      <c r="B420" s="330">
        <f t="shared" si="45"/>
        <v>3031</v>
      </c>
      <c r="C420" s="330">
        <f t="shared" si="42"/>
        <v>3031</v>
      </c>
      <c r="D420" s="333" t="s">
        <v>895</v>
      </c>
      <c r="E420" s="339" t="s">
        <v>306</v>
      </c>
      <c r="F420" s="330">
        <v>1</v>
      </c>
      <c r="G420" s="330">
        <v>1</v>
      </c>
      <c r="H420" s="330"/>
      <c r="I420" s="333">
        <f t="shared" si="43"/>
        <v>2</v>
      </c>
      <c r="J420" s="333">
        <f t="shared" si="44"/>
        <v>1</v>
      </c>
      <c r="K420" s="340" t="s">
        <v>673</v>
      </c>
      <c r="L420" s="335" t="s">
        <v>234</v>
      </c>
      <c r="M420" s="335"/>
      <c r="N420" s="335"/>
      <c r="O420" s="11"/>
      <c r="P420" s="340"/>
      <c r="Q420" s="340"/>
      <c r="R420" s="11"/>
      <c r="S420" s="11" t="s">
        <v>1181</v>
      </c>
      <c r="T420" s="338"/>
    </row>
    <row r="421" spans="1:180" x14ac:dyDescent="0.2">
      <c r="A421" s="33" t="s">
        <v>879</v>
      </c>
      <c r="B421" s="330">
        <f t="shared" si="45"/>
        <v>3032</v>
      </c>
      <c r="C421" s="330">
        <f t="shared" si="42"/>
        <v>3032</v>
      </c>
      <c r="D421" s="333" t="s">
        <v>895</v>
      </c>
      <c r="E421" s="339" t="s">
        <v>108</v>
      </c>
      <c r="F421" s="330">
        <v>1</v>
      </c>
      <c r="G421" s="330">
        <v>1</v>
      </c>
      <c r="H421" s="330"/>
      <c r="I421" s="333">
        <f t="shared" si="43"/>
        <v>2</v>
      </c>
      <c r="J421" s="333">
        <f t="shared" si="44"/>
        <v>1</v>
      </c>
      <c r="K421" s="340" t="s">
        <v>673</v>
      </c>
      <c r="L421" s="335" t="s">
        <v>234</v>
      </c>
      <c r="M421" s="335"/>
      <c r="N421" s="335"/>
      <c r="O421" s="11"/>
      <c r="P421" s="340"/>
      <c r="Q421" s="340"/>
      <c r="R421" s="11"/>
      <c r="S421" s="11" t="s">
        <v>1181</v>
      </c>
      <c r="T421" s="338"/>
    </row>
    <row r="422" spans="1:180" x14ac:dyDescent="0.2">
      <c r="A422" s="33" t="s">
        <v>879</v>
      </c>
      <c r="B422" s="330">
        <f t="shared" ref="B422:B427" si="46">C421+1</f>
        <v>3033</v>
      </c>
      <c r="C422" s="330">
        <f t="shared" si="42"/>
        <v>3033</v>
      </c>
      <c r="D422" s="333" t="s">
        <v>895</v>
      </c>
      <c r="E422" s="339" t="s">
        <v>109</v>
      </c>
      <c r="F422" s="330">
        <v>1</v>
      </c>
      <c r="G422" s="330">
        <v>1</v>
      </c>
      <c r="H422" s="330"/>
      <c r="I422" s="333">
        <f t="shared" si="43"/>
        <v>2</v>
      </c>
      <c r="J422" s="333">
        <f t="shared" si="44"/>
        <v>1</v>
      </c>
      <c r="K422" s="340" t="s">
        <v>673</v>
      </c>
      <c r="L422" s="335" t="s">
        <v>234</v>
      </c>
      <c r="M422" s="335"/>
      <c r="N422" s="335"/>
      <c r="O422" s="11"/>
      <c r="P422" s="340"/>
      <c r="Q422" s="340"/>
      <c r="R422" s="11"/>
      <c r="S422" s="11" t="s">
        <v>1181</v>
      </c>
      <c r="T422" s="338"/>
    </row>
    <row r="423" spans="1:180" x14ac:dyDescent="0.2">
      <c r="A423" s="33" t="s">
        <v>879</v>
      </c>
      <c r="B423" s="330">
        <f t="shared" si="46"/>
        <v>3034</v>
      </c>
      <c r="C423" s="330">
        <f t="shared" si="42"/>
        <v>3034</v>
      </c>
      <c r="D423" s="333" t="s">
        <v>895</v>
      </c>
      <c r="E423" s="339" t="s">
        <v>112</v>
      </c>
      <c r="F423" s="330">
        <v>1</v>
      </c>
      <c r="G423" s="330">
        <v>1</v>
      </c>
      <c r="H423" s="330"/>
      <c r="I423" s="333">
        <f t="shared" si="43"/>
        <v>2</v>
      </c>
      <c r="J423" s="333">
        <f t="shared" si="44"/>
        <v>1</v>
      </c>
      <c r="K423" s="340" t="s">
        <v>673</v>
      </c>
      <c r="L423" s="335" t="s">
        <v>234</v>
      </c>
      <c r="M423" s="335"/>
      <c r="N423" s="335"/>
      <c r="O423" s="11"/>
      <c r="P423" s="340"/>
      <c r="Q423" s="340"/>
      <c r="R423" s="11"/>
      <c r="S423" s="11" t="s">
        <v>1181</v>
      </c>
      <c r="T423" s="338"/>
    </row>
    <row r="424" spans="1:180" x14ac:dyDescent="0.2">
      <c r="A424" s="33" t="s">
        <v>879</v>
      </c>
      <c r="B424" s="330">
        <f t="shared" si="46"/>
        <v>3035</v>
      </c>
      <c r="C424" s="330">
        <f t="shared" ref="C424:C434" si="47">B424+($F424*$G424)-1</f>
        <v>3035</v>
      </c>
      <c r="D424" s="333" t="s">
        <v>895</v>
      </c>
      <c r="E424" s="339" t="s">
        <v>110</v>
      </c>
      <c r="F424" s="330">
        <v>1</v>
      </c>
      <c r="G424" s="330">
        <v>1</v>
      </c>
      <c r="H424" s="330"/>
      <c r="I424" s="333">
        <f t="shared" si="43"/>
        <v>2</v>
      </c>
      <c r="J424" s="333">
        <f t="shared" si="44"/>
        <v>1</v>
      </c>
      <c r="K424" s="340" t="s">
        <v>673</v>
      </c>
      <c r="L424" s="335" t="s">
        <v>234</v>
      </c>
      <c r="M424" s="335"/>
      <c r="N424" s="335"/>
      <c r="O424" s="11"/>
      <c r="P424" s="330"/>
      <c r="Q424" s="330"/>
      <c r="R424" s="11"/>
      <c r="S424" s="11" t="s">
        <v>1181</v>
      </c>
      <c r="T424" s="330"/>
    </row>
    <row r="425" spans="1:180" x14ac:dyDescent="0.2">
      <c r="A425" s="33" t="s">
        <v>879</v>
      </c>
      <c r="B425" s="330">
        <f t="shared" si="46"/>
        <v>3036</v>
      </c>
      <c r="C425" s="330">
        <f t="shared" si="47"/>
        <v>3036</v>
      </c>
      <c r="D425" s="333" t="s">
        <v>895</v>
      </c>
      <c r="E425" s="339" t="s">
        <v>111</v>
      </c>
      <c r="F425" s="330">
        <v>1</v>
      </c>
      <c r="G425" s="330">
        <v>1</v>
      </c>
      <c r="H425" s="330"/>
      <c r="I425" s="333">
        <f t="shared" si="43"/>
        <v>2</v>
      </c>
      <c r="J425" s="333">
        <f t="shared" si="44"/>
        <v>1</v>
      </c>
      <c r="K425" s="340" t="s">
        <v>673</v>
      </c>
      <c r="L425" s="335" t="s">
        <v>234</v>
      </c>
      <c r="M425" s="335"/>
      <c r="N425" s="335"/>
      <c r="O425" s="11"/>
      <c r="P425" s="330"/>
      <c r="Q425" s="330"/>
      <c r="R425" s="11"/>
      <c r="S425" s="11" t="s">
        <v>1181</v>
      </c>
      <c r="T425" s="330"/>
    </row>
    <row r="426" spans="1:180" x14ac:dyDescent="0.2">
      <c r="A426" s="33" t="s">
        <v>879</v>
      </c>
      <c r="B426" s="330">
        <f t="shared" si="46"/>
        <v>3037</v>
      </c>
      <c r="C426" s="330">
        <f t="shared" si="47"/>
        <v>3037</v>
      </c>
      <c r="D426" s="333" t="s">
        <v>895</v>
      </c>
      <c r="E426" s="339" t="s">
        <v>98</v>
      </c>
      <c r="F426" s="330">
        <v>1</v>
      </c>
      <c r="G426" s="330">
        <v>1</v>
      </c>
      <c r="H426" s="330"/>
      <c r="I426" s="333">
        <f t="shared" si="43"/>
        <v>2</v>
      </c>
      <c r="J426" s="333">
        <f t="shared" si="44"/>
        <v>1</v>
      </c>
      <c r="K426" s="340" t="s">
        <v>673</v>
      </c>
      <c r="L426" s="335" t="s">
        <v>234</v>
      </c>
      <c r="M426" s="335"/>
      <c r="N426" s="335"/>
      <c r="O426" s="11"/>
      <c r="P426" s="340"/>
      <c r="Q426" s="340"/>
      <c r="R426" s="11"/>
      <c r="S426" s="11" t="s">
        <v>1181</v>
      </c>
      <c r="T426" s="338"/>
    </row>
    <row r="427" spans="1:180" x14ac:dyDescent="0.2">
      <c r="A427" s="33" t="s">
        <v>879</v>
      </c>
      <c r="B427" s="330">
        <f t="shared" si="46"/>
        <v>3038</v>
      </c>
      <c r="C427" s="330">
        <f t="shared" si="47"/>
        <v>3038</v>
      </c>
      <c r="D427" s="333" t="s">
        <v>895</v>
      </c>
      <c r="E427" s="339" t="s">
        <v>642</v>
      </c>
      <c r="F427" s="330">
        <v>1</v>
      </c>
      <c r="G427" s="330">
        <v>1</v>
      </c>
      <c r="H427" s="330"/>
      <c r="I427" s="333">
        <f t="shared" si="43"/>
        <v>2</v>
      </c>
      <c r="J427" s="333">
        <f t="shared" si="44"/>
        <v>1</v>
      </c>
      <c r="K427" s="340" t="s">
        <v>673</v>
      </c>
      <c r="L427" s="335" t="s">
        <v>234</v>
      </c>
      <c r="M427" s="335"/>
      <c r="N427" s="335"/>
      <c r="O427" s="11"/>
      <c r="P427" s="340"/>
      <c r="Q427" s="340"/>
      <c r="R427" s="11"/>
      <c r="S427" s="11" t="s">
        <v>1181</v>
      </c>
      <c r="T427" s="33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K427" s="18"/>
      <c r="DL427" s="18"/>
      <c r="DM427" s="18"/>
      <c r="DN427" s="18"/>
      <c r="DO427" s="18"/>
      <c r="DP427" s="18"/>
      <c r="DQ427" s="18"/>
      <c r="DR427" s="18"/>
      <c r="DS427" s="18"/>
      <c r="DT427" s="18"/>
      <c r="DU427" s="18"/>
      <c r="DV427" s="18"/>
      <c r="DW427" s="18"/>
      <c r="DX427" s="18"/>
      <c r="DY427" s="18"/>
      <c r="DZ427" s="18"/>
      <c r="EA427" s="18"/>
      <c r="EB427" s="18"/>
      <c r="EC427" s="18"/>
      <c r="ED427" s="18"/>
      <c r="EE427" s="18"/>
      <c r="EF427" s="18"/>
      <c r="EG427" s="18"/>
      <c r="EH427" s="18"/>
      <c r="EI427" s="18"/>
      <c r="EJ427" s="18"/>
      <c r="EK427" s="18"/>
      <c r="EL427" s="18"/>
      <c r="EM427" s="18"/>
      <c r="EN427" s="18"/>
      <c r="EO427" s="18"/>
      <c r="EP427" s="18"/>
      <c r="EQ427" s="18"/>
      <c r="ER427" s="18"/>
      <c r="ES427" s="18"/>
      <c r="ET427" s="18"/>
      <c r="EU427" s="18"/>
      <c r="EV427" s="18"/>
      <c r="EW427" s="18"/>
      <c r="EX427" s="18"/>
      <c r="EY427" s="18"/>
      <c r="EZ427" s="18"/>
      <c r="FA427" s="18"/>
      <c r="FB427" s="18"/>
      <c r="FC427" s="18"/>
      <c r="FD427" s="18"/>
      <c r="FE427" s="18"/>
      <c r="FF427" s="18"/>
      <c r="FG427" s="18"/>
      <c r="FH427" s="18"/>
      <c r="FI427" s="18"/>
      <c r="FJ427" s="18"/>
      <c r="FK427" s="18"/>
      <c r="FL427" s="18"/>
      <c r="FM427" s="18"/>
      <c r="FN427" s="18"/>
      <c r="FO427" s="18"/>
      <c r="FP427" s="18"/>
      <c r="FQ427" s="18"/>
      <c r="FR427" s="18"/>
      <c r="FS427" s="18"/>
      <c r="FT427" s="18"/>
      <c r="FU427" s="18"/>
      <c r="FV427" s="18"/>
      <c r="FW427" s="18"/>
      <c r="FX427" s="18"/>
    </row>
    <row r="428" spans="1:180" x14ac:dyDescent="0.2">
      <c r="A428" s="33" t="s">
        <v>879</v>
      </c>
      <c r="B428" s="330">
        <f t="shared" ref="B428:B434" si="48">C427+1</f>
        <v>3039</v>
      </c>
      <c r="C428" s="330">
        <f t="shared" si="47"/>
        <v>3039</v>
      </c>
      <c r="D428" s="333" t="s">
        <v>895</v>
      </c>
      <c r="E428" s="339" t="s">
        <v>101</v>
      </c>
      <c r="F428" s="330">
        <v>1</v>
      </c>
      <c r="G428" s="330">
        <v>1</v>
      </c>
      <c r="H428" s="330"/>
      <c r="I428" s="333">
        <f t="shared" si="43"/>
        <v>2</v>
      </c>
      <c r="J428" s="333">
        <f t="shared" si="44"/>
        <v>1</v>
      </c>
      <c r="K428" s="340" t="s">
        <v>673</v>
      </c>
      <c r="L428" s="335" t="s">
        <v>234</v>
      </c>
      <c r="M428" s="335"/>
      <c r="N428" s="335"/>
      <c r="O428" s="11"/>
      <c r="P428" s="340"/>
      <c r="Q428" s="340"/>
      <c r="R428" s="11"/>
      <c r="S428" s="11" t="s">
        <v>1181</v>
      </c>
      <c r="T428" s="33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K428" s="18"/>
      <c r="DL428" s="18"/>
      <c r="DM428" s="18"/>
      <c r="DN428" s="18"/>
      <c r="DO428" s="18"/>
      <c r="DP428" s="18"/>
      <c r="DQ428" s="18"/>
      <c r="DR428" s="18"/>
      <c r="DS428" s="18"/>
      <c r="DT428" s="18"/>
      <c r="DU428" s="18"/>
      <c r="DV428" s="18"/>
      <c r="DW428" s="18"/>
      <c r="DX428" s="18"/>
      <c r="DY428" s="18"/>
      <c r="DZ428" s="18"/>
      <c r="EA428" s="18"/>
      <c r="EB428" s="18"/>
      <c r="EC428" s="18"/>
      <c r="ED428" s="18"/>
      <c r="EE428" s="18"/>
      <c r="EF428" s="18"/>
      <c r="EG428" s="18"/>
      <c r="EH428" s="18"/>
      <c r="EI428" s="18"/>
      <c r="EJ428" s="18"/>
      <c r="EK428" s="18"/>
      <c r="EL428" s="18"/>
      <c r="EM428" s="18"/>
      <c r="EN428" s="18"/>
      <c r="EO428" s="18"/>
      <c r="EP428" s="18"/>
      <c r="EQ428" s="18"/>
      <c r="ER428" s="18"/>
      <c r="ES428" s="18"/>
      <c r="ET428" s="18"/>
      <c r="EU428" s="18"/>
      <c r="EV428" s="18"/>
      <c r="EW428" s="18"/>
      <c r="EX428" s="18"/>
      <c r="EY428" s="18"/>
      <c r="EZ428" s="18"/>
      <c r="FA428" s="18"/>
      <c r="FB428" s="18"/>
      <c r="FC428" s="18"/>
      <c r="FD428" s="18"/>
      <c r="FE428" s="18"/>
      <c r="FF428" s="18"/>
      <c r="FG428" s="18"/>
      <c r="FH428" s="18"/>
      <c r="FI428" s="18"/>
      <c r="FJ428" s="18"/>
      <c r="FK428" s="18"/>
      <c r="FL428" s="18"/>
      <c r="FM428" s="18"/>
      <c r="FN428" s="18"/>
      <c r="FO428" s="18"/>
      <c r="FP428" s="18"/>
      <c r="FQ428" s="18"/>
      <c r="FR428" s="18"/>
      <c r="FS428" s="18"/>
      <c r="FT428" s="18"/>
      <c r="FU428" s="18"/>
      <c r="FV428" s="18"/>
      <c r="FW428" s="18"/>
      <c r="FX428" s="18"/>
    </row>
    <row r="429" spans="1:180" x14ac:dyDescent="0.2">
      <c r="A429" s="33" t="s">
        <v>879</v>
      </c>
      <c r="B429" s="330">
        <f t="shared" si="48"/>
        <v>3040</v>
      </c>
      <c r="C429" s="330">
        <f t="shared" si="47"/>
        <v>3040</v>
      </c>
      <c r="D429" s="333" t="s">
        <v>895</v>
      </c>
      <c r="E429" s="339" t="s">
        <v>102</v>
      </c>
      <c r="F429" s="330">
        <v>1</v>
      </c>
      <c r="G429" s="330">
        <v>1</v>
      </c>
      <c r="H429" s="330"/>
      <c r="I429" s="333">
        <f t="shared" si="43"/>
        <v>2</v>
      </c>
      <c r="J429" s="333">
        <f t="shared" si="44"/>
        <v>1</v>
      </c>
      <c r="K429" s="340" t="s">
        <v>673</v>
      </c>
      <c r="L429" s="335" t="s">
        <v>234</v>
      </c>
      <c r="M429" s="335"/>
      <c r="N429" s="335"/>
      <c r="O429" s="11"/>
      <c r="P429" s="340"/>
      <c r="Q429" s="340"/>
      <c r="R429" s="11"/>
      <c r="S429" s="11" t="s">
        <v>1181</v>
      </c>
      <c r="T429" s="33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K429" s="18"/>
      <c r="DL429" s="18"/>
      <c r="DM429" s="18"/>
      <c r="DN429" s="18"/>
      <c r="DO429" s="18"/>
      <c r="DP429" s="18"/>
      <c r="DQ429" s="18"/>
      <c r="DR429" s="18"/>
      <c r="DS429" s="18"/>
      <c r="DT429" s="18"/>
      <c r="DU429" s="18"/>
      <c r="DV429" s="18"/>
      <c r="DW429" s="18"/>
      <c r="DX429" s="18"/>
      <c r="DY429" s="18"/>
      <c r="DZ429" s="18"/>
      <c r="EA429" s="18"/>
      <c r="EB429" s="18"/>
      <c r="EC429" s="18"/>
      <c r="ED429" s="18"/>
      <c r="EE429" s="18"/>
      <c r="EF429" s="18"/>
      <c r="EG429" s="18"/>
      <c r="EH429" s="18"/>
      <c r="EI429" s="18"/>
      <c r="EJ429" s="18"/>
      <c r="EK429" s="18"/>
      <c r="EL429" s="18"/>
      <c r="EM429" s="18"/>
      <c r="EN429" s="18"/>
      <c r="EO429" s="18"/>
      <c r="EP429" s="18"/>
      <c r="EQ429" s="18"/>
      <c r="ER429" s="18"/>
      <c r="ES429" s="18"/>
      <c r="ET429" s="18"/>
      <c r="EU429" s="18"/>
      <c r="EV429" s="18"/>
      <c r="EW429" s="18"/>
      <c r="EX429" s="18"/>
      <c r="EY429" s="18"/>
      <c r="EZ429" s="18"/>
      <c r="FA429" s="18"/>
      <c r="FB429" s="18"/>
      <c r="FC429" s="18"/>
      <c r="FD429" s="18"/>
      <c r="FE429" s="18"/>
      <c r="FF429" s="18"/>
      <c r="FG429" s="18"/>
      <c r="FH429" s="18"/>
      <c r="FI429" s="18"/>
      <c r="FJ429" s="18"/>
      <c r="FK429" s="18"/>
      <c r="FL429" s="18"/>
      <c r="FM429" s="18"/>
      <c r="FN429" s="18"/>
      <c r="FO429" s="18"/>
      <c r="FP429" s="18"/>
      <c r="FQ429" s="18"/>
      <c r="FR429" s="18"/>
      <c r="FS429" s="18"/>
      <c r="FT429" s="18"/>
      <c r="FU429" s="18"/>
      <c r="FV429" s="18"/>
      <c r="FW429" s="18"/>
      <c r="FX429" s="18"/>
    </row>
    <row r="430" spans="1:180" x14ac:dyDescent="0.2">
      <c r="A430" s="33" t="s">
        <v>879</v>
      </c>
      <c r="B430" s="330">
        <f t="shared" si="48"/>
        <v>3041</v>
      </c>
      <c r="C430" s="330">
        <f t="shared" si="47"/>
        <v>3041</v>
      </c>
      <c r="D430" s="333" t="s">
        <v>895</v>
      </c>
      <c r="E430" s="339" t="s">
        <v>105</v>
      </c>
      <c r="F430" s="330">
        <v>1</v>
      </c>
      <c r="G430" s="330">
        <v>1</v>
      </c>
      <c r="H430" s="330"/>
      <c r="I430" s="333">
        <f t="shared" si="43"/>
        <v>2</v>
      </c>
      <c r="J430" s="333">
        <f t="shared" si="44"/>
        <v>1</v>
      </c>
      <c r="K430" s="340" t="s">
        <v>673</v>
      </c>
      <c r="L430" s="335" t="s">
        <v>234</v>
      </c>
      <c r="M430" s="335"/>
      <c r="N430" s="335"/>
      <c r="O430" s="11"/>
      <c r="P430" s="340"/>
      <c r="Q430" s="340"/>
      <c r="R430" s="11"/>
      <c r="S430" s="11" t="s">
        <v>1181</v>
      </c>
      <c r="T430" s="33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K430" s="18"/>
      <c r="DL430" s="18"/>
      <c r="DM430" s="18"/>
      <c r="DN430" s="18"/>
      <c r="DO430" s="18"/>
      <c r="DP430" s="18"/>
      <c r="DQ430" s="18"/>
      <c r="DR430" s="18"/>
      <c r="DS430" s="18"/>
      <c r="DT430" s="18"/>
      <c r="DU430" s="18"/>
      <c r="DV430" s="18"/>
      <c r="DW430" s="18"/>
      <c r="DX430" s="18"/>
      <c r="DY430" s="18"/>
      <c r="DZ430" s="18"/>
      <c r="EA430" s="18"/>
      <c r="EB430" s="18"/>
      <c r="EC430" s="18"/>
      <c r="ED430" s="18"/>
      <c r="EE430" s="18"/>
      <c r="EF430" s="18"/>
      <c r="EG430" s="18"/>
      <c r="EH430" s="18"/>
      <c r="EI430" s="18"/>
      <c r="EJ430" s="18"/>
      <c r="EK430" s="18"/>
      <c r="EL430" s="18"/>
      <c r="EM430" s="18"/>
      <c r="EN430" s="18"/>
      <c r="EO430" s="18"/>
      <c r="EP430" s="18"/>
      <c r="EQ430" s="18"/>
      <c r="ER430" s="18"/>
      <c r="ES430" s="18"/>
      <c r="ET430" s="18"/>
      <c r="EU430" s="18"/>
      <c r="EV430" s="18"/>
      <c r="EW430" s="18"/>
      <c r="EX430" s="18"/>
      <c r="EY430" s="18"/>
      <c r="EZ430" s="18"/>
      <c r="FA430" s="18"/>
      <c r="FB430" s="18"/>
      <c r="FC430" s="18"/>
      <c r="FD430" s="18"/>
      <c r="FE430" s="18"/>
      <c r="FF430" s="18"/>
      <c r="FG430" s="18"/>
      <c r="FH430" s="18"/>
      <c r="FI430" s="18"/>
      <c r="FJ430" s="18"/>
      <c r="FK430" s="18"/>
      <c r="FL430" s="18"/>
      <c r="FM430" s="18"/>
      <c r="FN430" s="18"/>
      <c r="FO430" s="18"/>
      <c r="FP430" s="18"/>
      <c r="FQ430" s="18"/>
      <c r="FR430" s="18"/>
      <c r="FS430" s="18"/>
      <c r="FT430" s="18"/>
      <c r="FU430" s="18"/>
      <c r="FV430" s="18"/>
      <c r="FW430" s="18"/>
      <c r="FX430" s="18"/>
    </row>
    <row r="431" spans="1:180" x14ac:dyDescent="0.2">
      <c r="A431" s="33" t="s">
        <v>879</v>
      </c>
      <c r="B431" s="330">
        <f t="shared" si="48"/>
        <v>3042</v>
      </c>
      <c r="C431" s="330">
        <f t="shared" si="47"/>
        <v>3042</v>
      </c>
      <c r="D431" s="333" t="s">
        <v>895</v>
      </c>
      <c r="E431" s="339" t="s">
        <v>103</v>
      </c>
      <c r="F431" s="330">
        <v>1</v>
      </c>
      <c r="G431" s="330">
        <v>1</v>
      </c>
      <c r="H431" s="330"/>
      <c r="I431" s="333">
        <f t="shared" si="43"/>
        <v>2</v>
      </c>
      <c r="J431" s="333">
        <f t="shared" si="44"/>
        <v>1</v>
      </c>
      <c r="K431" s="340" t="s">
        <v>673</v>
      </c>
      <c r="L431" s="335" t="s">
        <v>234</v>
      </c>
      <c r="M431" s="335"/>
      <c r="N431" s="335"/>
      <c r="O431" s="11"/>
      <c r="P431" s="330"/>
      <c r="Q431" s="330"/>
      <c r="R431" s="11"/>
      <c r="S431" s="11" t="s">
        <v>1181</v>
      </c>
      <c r="T431" s="330"/>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K431" s="18"/>
      <c r="DL431" s="18"/>
      <c r="DM431" s="18"/>
      <c r="DN431" s="18"/>
      <c r="DO431" s="18"/>
      <c r="DP431" s="18"/>
      <c r="DQ431" s="18"/>
      <c r="DR431" s="18"/>
      <c r="DS431" s="18"/>
      <c r="DT431" s="18"/>
      <c r="DU431" s="18"/>
      <c r="DV431" s="18"/>
      <c r="DW431" s="18"/>
      <c r="DX431" s="18"/>
      <c r="DY431" s="18"/>
      <c r="DZ431" s="18"/>
      <c r="EA431" s="18"/>
      <c r="EB431" s="18"/>
      <c r="EC431" s="18"/>
      <c r="ED431" s="18"/>
      <c r="EE431" s="18"/>
      <c r="EF431" s="18"/>
      <c r="EG431" s="18"/>
      <c r="EH431" s="18"/>
      <c r="EI431" s="18"/>
      <c r="EJ431" s="18"/>
      <c r="EK431" s="18"/>
      <c r="EL431" s="18"/>
      <c r="EM431" s="18"/>
      <c r="EN431" s="18"/>
      <c r="EO431" s="18"/>
      <c r="EP431" s="18"/>
      <c r="EQ431" s="18"/>
      <c r="ER431" s="18"/>
      <c r="ES431" s="18"/>
      <c r="ET431" s="18"/>
      <c r="EU431" s="18"/>
      <c r="EV431" s="18"/>
      <c r="EW431" s="18"/>
      <c r="EX431" s="18"/>
      <c r="EY431" s="18"/>
      <c r="EZ431" s="18"/>
      <c r="FA431" s="18"/>
      <c r="FB431" s="18"/>
      <c r="FC431" s="18"/>
      <c r="FD431" s="18"/>
      <c r="FE431" s="18"/>
      <c r="FF431" s="18"/>
      <c r="FG431" s="18"/>
      <c r="FH431" s="18"/>
      <c r="FI431" s="18"/>
      <c r="FJ431" s="18"/>
      <c r="FK431" s="18"/>
      <c r="FL431" s="18"/>
      <c r="FM431" s="18"/>
      <c r="FN431" s="18"/>
      <c r="FO431" s="18"/>
      <c r="FP431" s="18"/>
      <c r="FQ431" s="18"/>
      <c r="FR431" s="18"/>
      <c r="FS431" s="18"/>
      <c r="FT431" s="18"/>
      <c r="FU431" s="18"/>
      <c r="FV431" s="18"/>
      <c r="FW431" s="18"/>
      <c r="FX431" s="18"/>
    </row>
    <row r="432" spans="1:180" x14ac:dyDescent="0.2">
      <c r="A432" s="33" t="s">
        <v>879</v>
      </c>
      <c r="B432" s="330">
        <f t="shared" si="48"/>
        <v>3043</v>
      </c>
      <c r="C432" s="330">
        <f t="shared" si="47"/>
        <v>3043</v>
      </c>
      <c r="D432" s="333" t="s">
        <v>895</v>
      </c>
      <c r="E432" s="339" t="s">
        <v>104</v>
      </c>
      <c r="F432" s="330">
        <v>1</v>
      </c>
      <c r="G432" s="330">
        <v>1</v>
      </c>
      <c r="H432" s="330"/>
      <c r="I432" s="333">
        <f t="shared" si="43"/>
        <v>2</v>
      </c>
      <c r="J432" s="333">
        <f t="shared" si="44"/>
        <v>1</v>
      </c>
      <c r="K432" s="340" t="s">
        <v>673</v>
      </c>
      <c r="L432" s="335" t="s">
        <v>234</v>
      </c>
      <c r="M432" s="335"/>
      <c r="N432" s="335"/>
      <c r="O432" s="11"/>
      <c r="P432" s="330"/>
      <c r="Q432" s="330"/>
      <c r="R432" s="11"/>
      <c r="S432" s="11" t="s">
        <v>1181</v>
      </c>
      <c r="T432" s="330"/>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K432" s="18"/>
      <c r="DL432" s="18"/>
      <c r="DM432" s="18"/>
      <c r="DN432" s="18"/>
      <c r="DO432" s="18"/>
      <c r="DP432" s="18"/>
      <c r="DQ432" s="18"/>
      <c r="DR432" s="18"/>
      <c r="DS432" s="18"/>
      <c r="DT432" s="18"/>
      <c r="DU432" s="18"/>
      <c r="DV432" s="18"/>
      <c r="DW432" s="18"/>
      <c r="DX432" s="18"/>
      <c r="DY432" s="18"/>
      <c r="DZ432" s="18"/>
      <c r="EA432" s="18"/>
      <c r="EB432" s="18"/>
      <c r="EC432" s="18"/>
      <c r="ED432" s="18"/>
      <c r="EE432" s="18"/>
      <c r="EF432" s="18"/>
      <c r="EG432" s="18"/>
      <c r="EH432" s="18"/>
      <c r="EI432" s="18"/>
      <c r="EJ432" s="18"/>
      <c r="EK432" s="18"/>
      <c r="EL432" s="18"/>
      <c r="EM432" s="18"/>
      <c r="EN432" s="18"/>
      <c r="EO432" s="18"/>
      <c r="EP432" s="18"/>
      <c r="EQ432" s="18"/>
      <c r="ER432" s="18"/>
      <c r="ES432" s="18"/>
      <c r="ET432" s="18"/>
      <c r="EU432" s="18"/>
      <c r="EV432" s="18"/>
      <c r="EW432" s="18"/>
      <c r="EX432" s="18"/>
      <c r="EY432" s="18"/>
      <c r="EZ432" s="18"/>
      <c r="FA432" s="18"/>
      <c r="FB432" s="18"/>
      <c r="FC432" s="18"/>
      <c r="FD432" s="18"/>
      <c r="FE432" s="18"/>
      <c r="FF432" s="18"/>
      <c r="FG432" s="18"/>
      <c r="FH432" s="18"/>
      <c r="FI432" s="18"/>
      <c r="FJ432" s="18"/>
      <c r="FK432" s="18"/>
      <c r="FL432" s="18"/>
      <c r="FM432" s="18"/>
      <c r="FN432" s="18"/>
      <c r="FO432" s="18"/>
      <c r="FP432" s="18"/>
      <c r="FQ432" s="18"/>
      <c r="FR432" s="18"/>
      <c r="FS432" s="18"/>
      <c r="FT432" s="18"/>
      <c r="FU432" s="18"/>
      <c r="FV432" s="18"/>
      <c r="FW432" s="18"/>
      <c r="FX432" s="18"/>
    </row>
    <row r="433" spans="1:20" x14ac:dyDescent="0.2">
      <c r="A433" s="33" t="s">
        <v>879</v>
      </c>
      <c r="B433" s="330">
        <f t="shared" si="48"/>
        <v>3044</v>
      </c>
      <c r="C433" s="330">
        <f t="shared" si="47"/>
        <v>3044</v>
      </c>
      <c r="D433" s="333" t="s">
        <v>895</v>
      </c>
      <c r="E433" s="339" t="s">
        <v>106</v>
      </c>
      <c r="F433" s="330">
        <v>1</v>
      </c>
      <c r="G433" s="330">
        <v>1</v>
      </c>
      <c r="H433" s="330"/>
      <c r="I433" s="333">
        <f t="shared" si="43"/>
        <v>2</v>
      </c>
      <c r="J433" s="333">
        <f t="shared" si="44"/>
        <v>1</v>
      </c>
      <c r="K433" s="340" t="s">
        <v>673</v>
      </c>
      <c r="L433" s="335" t="s">
        <v>234</v>
      </c>
      <c r="M433" s="335"/>
      <c r="N433" s="335"/>
      <c r="O433" s="11"/>
      <c r="P433" s="340"/>
      <c r="Q433" s="340"/>
      <c r="R433" s="11"/>
      <c r="S433" s="11" t="s">
        <v>1181</v>
      </c>
      <c r="T433" s="338"/>
    </row>
    <row r="434" spans="1:20" x14ac:dyDescent="0.2">
      <c r="A434" s="33"/>
      <c r="B434" s="330">
        <f t="shared" si="48"/>
        <v>3045</v>
      </c>
      <c r="C434" s="330">
        <f t="shared" si="47"/>
        <v>3045</v>
      </c>
      <c r="D434" s="333" t="s">
        <v>895</v>
      </c>
      <c r="E434" s="339" t="s">
        <v>107</v>
      </c>
      <c r="F434" s="330">
        <v>1</v>
      </c>
      <c r="G434" s="330">
        <v>1</v>
      </c>
      <c r="H434" s="330"/>
      <c r="I434" s="333">
        <f t="shared" si="43"/>
        <v>2</v>
      </c>
      <c r="J434" s="333">
        <f t="shared" si="44"/>
        <v>1</v>
      </c>
      <c r="K434" s="340" t="s">
        <v>673</v>
      </c>
      <c r="L434" s="335" t="s">
        <v>234</v>
      </c>
      <c r="M434" s="335"/>
      <c r="N434" s="335"/>
      <c r="O434" s="11"/>
      <c r="P434" s="340"/>
      <c r="Q434" s="340"/>
      <c r="R434" s="11"/>
      <c r="S434" s="11" t="s">
        <v>1181</v>
      </c>
      <c r="T434" s="338"/>
    </row>
    <row r="435" spans="1:20" ht="11.45" customHeight="1" x14ac:dyDescent="0.2">
      <c r="A435" s="33" t="s">
        <v>879</v>
      </c>
      <c r="B435" s="47">
        <f>B436</f>
        <v>3046</v>
      </c>
      <c r="C435" s="46"/>
      <c r="D435" s="48"/>
      <c r="E435" s="26" t="s">
        <v>1497</v>
      </c>
      <c r="F435" s="46"/>
      <c r="G435" s="46"/>
      <c r="H435" s="46"/>
      <c r="I435" s="48"/>
      <c r="J435" s="48"/>
      <c r="K435" s="183"/>
      <c r="L435" s="32"/>
      <c r="M435" s="32"/>
      <c r="N435" s="32"/>
      <c r="O435" s="32"/>
      <c r="P435" s="19"/>
      <c r="Q435" s="19"/>
      <c r="R435" s="143"/>
      <c r="S435" s="143"/>
      <c r="T435" s="156"/>
    </row>
    <row r="436" spans="1:20" ht="33.75" x14ac:dyDescent="0.2">
      <c r="A436" s="33" t="s">
        <v>879</v>
      </c>
      <c r="B436" s="7">
        <v>3046</v>
      </c>
      <c r="C436" s="7">
        <f>B436+($F436*$G436)-1</f>
        <v>3046</v>
      </c>
      <c r="D436" s="9" t="s">
        <v>895</v>
      </c>
      <c r="E436" s="8" t="s">
        <v>1498</v>
      </c>
      <c r="F436" s="7">
        <v>1</v>
      </c>
      <c r="G436" s="7">
        <v>1</v>
      </c>
      <c r="H436" s="7"/>
      <c r="I436" s="9">
        <f>F436*G436*2</f>
        <v>2</v>
      </c>
      <c r="J436" s="9">
        <f>C436-B436+1</f>
        <v>1</v>
      </c>
      <c r="K436" s="10" t="s">
        <v>1499</v>
      </c>
      <c r="L436" s="11" t="s">
        <v>234</v>
      </c>
      <c r="M436" s="11"/>
      <c r="N436" s="11"/>
      <c r="O436" s="11"/>
      <c r="P436" s="123"/>
      <c r="Q436" s="121"/>
      <c r="R436" s="11"/>
      <c r="S436" s="11" t="s">
        <v>1181</v>
      </c>
      <c r="T436" s="117"/>
    </row>
    <row r="437" spans="1:20" x14ac:dyDescent="0.2">
      <c r="A437" s="33" t="s">
        <v>879</v>
      </c>
      <c r="B437" s="7">
        <f>C436+1</f>
        <v>3047</v>
      </c>
      <c r="C437" s="7">
        <f>B437+($F437*$G437)-1</f>
        <v>3062</v>
      </c>
      <c r="D437" s="9" t="s">
        <v>895</v>
      </c>
      <c r="E437" s="8" t="s">
        <v>1500</v>
      </c>
      <c r="F437" s="7">
        <v>16</v>
      </c>
      <c r="G437" s="7">
        <v>1</v>
      </c>
      <c r="H437" s="7"/>
      <c r="I437" s="9">
        <f>F437*G437*2</f>
        <v>32</v>
      </c>
      <c r="J437" s="9">
        <f>C437-B437+1</f>
        <v>16</v>
      </c>
      <c r="K437" s="10" t="s">
        <v>1501</v>
      </c>
      <c r="L437" s="11" t="s">
        <v>234</v>
      </c>
      <c r="M437" s="11"/>
      <c r="N437" s="11"/>
      <c r="O437" s="11"/>
      <c r="P437" s="123"/>
      <c r="Q437" s="121"/>
      <c r="R437" s="11"/>
      <c r="S437" s="11" t="s">
        <v>1181</v>
      </c>
      <c r="T437" s="117"/>
    </row>
    <row r="438" spans="1:20" x14ac:dyDescent="0.2">
      <c r="A438" s="33" t="s">
        <v>879</v>
      </c>
      <c r="B438" s="7">
        <f>C437+1</f>
        <v>3063</v>
      </c>
      <c r="C438" s="7">
        <f>B438+($F438*$G438)-1</f>
        <v>3094</v>
      </c>
      <c r="D438" s="9" t="s">
        <v>895</v>
      </c>
      <c r="E438" s="8" t="s">
        <v>1691</v>
      </c>
      <c r="F438" s="7">
        <v>32</v>
      </c>
      <c r="G438" s="7">
        <v>1</v>
      </c>
      <c r="H438" s="7"/>
      <c r="I438" s="9">
        <f>F438*G438*2</f>
        <v>64</v>
      </c>
      <c r="J438" s="9">
        <f>C438-B438+1</f>
        <v>32</v>
      </c>
      <c r="K438" s="10" t="s">
        <v>1692</v>
      </c>
      <c r="L438" s="11" t="s">
        <v>234</v>
      </c>
      <c r="M438" s="11"/>
      <c r="N438" s="11"/>
      <c r="O438" s="11"/>
      <c r="P438" s="123"/>
      <c r="Q438" s="121"/>
      <c r="R438" s="11"/>
      <c r="S438" s="11" t="s">
        <v>1181</v>
      </c>
      <c r="T438" s="117"/>
    </row>
    <row r="439" spans="1:20" ht="12.75" x14ac:dyDescent="0.2">
      <c r="A439" s="33" t="s">
        <v>879</v>
      </c>
      <c r="B439" s="47">
        <f>B440</f>
        <v>3101</v>
      </c>
      <c r="C439" s="46"/>
      <c r="D439" s="48"/>
      <c r="E439" s="26" t="s">
        <v>123</v>
      </c>
      <c r="F439" s="46"/>
      <c r="G439" s="46"/>
      <c r="H439" s="46"/>
      <c r="I439" s="48"/>
      <c r="J439" s="48"/>
      <c r="K439" s="183"/>
      <c r="L439" s="32"/>
      <c r="M439" s="32"/>
      <c r="N439" s="32"/>
      <c r="O439" s="32"/>
      <c r="P439" s="19"/>
      <c r="Q439" s="19"/>
      <c r="R439" s="143"/>
      <c r="S439" s="143"/>
      <c r="T439" s="156"/>
    </row>
    <row r="440" spans="1:20" x14ac:dyDescent="0.2">
      <c r="A440" s="33" t="s">
        <v>879</v>
      </c>
      <c r="B440" s="330">
        <v>3101</v>
      </c>
      <c r="C440" s="330">
        <f t="shared" ref="C440:C448" si="49">B440+($F440*$G440)-1</f>
        <v>3101</v>
      </c>
      <c r="D440" s="333" t="s">
        <v>895</v>
      </c>
      <c r="E440" s="339" t="s">
        <v>124</v>
      </c>
      <c r="F440" s="330">
        <v>1</v>
      </c>
      <c r="G440" s="330">
        <v>1</v>
      </c>
      <c r="H440" s="330"/>
      <c r="I440" s="333">
        <f t="shared" ref="I440:I448" si="50">F440*G440*2</f>
        <v>2</v>
      </c>
      <c r="J440" s="333">
        <f t="shared" ref="J440:J448" si="51">C440-B440+1</f>
        <v>1</v>
      </c>
      <c r="K440" s="340" t="s">
        <v>673</v>
      </c>
      <c r="L440" s="335" t="s">
        <v>234</v>
      </c>
      <c r="M440" s="335"/>
      <c r="N440" s="335"/>
      <c r="O440" s="11"/>
      <c r="P440" s="340"/>
      <c r="Q440" s="340"/>
      <c r="R440" s="11"/>
      <c r="S440" s="11" t="s">
        <v>1181</v>
      </c>
      <c r="T440" s="338"/>
    </row>
    <row r="441" spans="1:20" x14ac:dyDescent="0.2">
      <c r="A441" s="33" t="s">
        <v>879</v>
      </c>
      <c r="B441" s="330">
        <f t="shared" ref="B441:B448" si="52">C440+1</f>
        <v>3102</v>
      </c>
      <c r="C441" s="330">
        <f t="shared" si="49"/>
        <v>3102</v>
      </c>
      <c r="D441" s="333" t="s">
        <v>895</v>
      </c>
      <c r="E441" s="339" t="s">
        <v>145</v>
      </c>
      <c r="F441" s="330">
        <v>1</v>
      </c>
      <c r="G441" s="330">
        <v>1</v>
      </c>
      <c r="H441" s="330"/>
      <c r="I441" s="333">
        <f t="shared" si="50"/>
        <v>2</v>
      </c>
      <c r="J441" s="333">
        <f t="shared" si="51"/>
        <v>1</v>
      </c>
      <c r="K441" s="340" t="s">
        <v>673</v>
      </c>
      <c r="L441" s="335" t="s">
        <v>234</v>
      </c>
      <c r="M441" s="335"/>
      <c r="N441" s="335"/>
      <c r="O441" s="11"/>
      <c r="P441" s="340"/>
      <c r="Q441" s="340"/>
      <c r="R441" s="11"/>
      <c r="S441" s="11" t="s">
        <v>1181</v>
      </c>
      <c r="T441" s="338"/>
    </row>
    <row r="442" spans="1:20" x14ac:dyDescent="0.2">
      <c r="A442" s="33" t="s">
        <v>879</v>
      </c>
      <c r="B442" s="330">
        <f t="shared" si="52"/>
        <v>3103</v>
      </c>
      <c r="C442" s="330">
        <f t="shared" si="49"/>
        <v>3103</v>
      </c>
      <c r="D442" s="333" t="s">
        <v>895</v>
      </c>
      <c r="E442" s="339" t="s">
        <v>125</v>
      </c>
      <c r="F442" s="330">
        <v>1</v>
      </c>
      <c r="G442" s="330">
        <v>1</v>
      </c>
      <c r="H442" s="330"/>
      <c r="I442" s="333">
        <f t="shared" si="50"/>
        <v>2</v>
      </c>
      <c r="J442" s="333">
        <f t="shared" si="51"/>
        <v>1</v>
      </c>
      <c r="K442" s="340" t="s">
        <v>673</v>
      </c>
      <c r="L442" s="335" t="s">
        <v>234</v>
      </c>
      <c r="M442" s="335"/>
      <c r="N442" s="335"/>
      <c r="O442" s="11"/>
      <c r="P442" s="340"/>
      <c r="Q442" s="340"/>
      <c r="R442" s="11"/>
      <c r="S442" s="11" t="s">
        <v>1181</v>
      </c>
      <c r="T442" s="338"/>
    </row>
    <row r="443" spans="1:20" x14ac:dyDescent="0.2">
      <c r="A443" s="33" t="s">
        <v>879</v>
      </c>
      <c r="B443" s="330">
        <f t="shared" si="52"/>
        <v>3104</v>
      </c>
      <c r="C443" s="330">
        <f t="shared" si="49"/>
        <v>3104</v>
      </c>
      <c r="D443" s="333" t="s">
        <v>895</v>
      </c>
      <c r="E443" s="339" t="s">
        <v>126</v>
      </c>
      <c r="F443" s="330">
        <v>1</v>
      </c>
      <c r="G443" s="330">
        <v>1</v>
      </c>
      <c r="H443" s="330"/>
      <c r="I443" s="333">
        <f t="shared" si="50"/>
        <v>2</v>
      </c>
      <c r="J443" s="333">
        <f t="shared" si="51"/>
        <v>1</v>
      </c>
      <c r="K443" s="340" t="s">
        <v>673</v>
      </c>
      <c r="L443" s="335" t="s">
        <v>234</v>
      </c>
      <c r="M443" s="335"/>
      <c r="N443" s="335"/>
      <c r="O443" s="11"/>
      <c r="P443" s="340"/>
      <c r="Q443" s="340"/>
      <c r="R443" s="11"/>
      <c r="S443" s="11" t="s">
        <v>1181</v>
      </c>
      <c r="T443" s="338"/>
    </row>
    <row r="444" spans="1:20" x14ac:dyDescent="0.2">
      <c r="A444" s="33" t="s">
        <v>879</v>
      </c>
      <c r="B444" s="330">
        <f t="shared" si="52"/>
        <v>3105</v>
      </c>
      <c r="C444" s="330">
        <f t="shared" si="49"/>
        <v>3105</v>
      </c>
      <c r="D444" s="333" t="s">
        <v>895</v>
      </c>
      <c r="E444" s="339" t="s">
        <v>127</v>
      </c>
      <c r="F444" s="330">
        <v>1</v>
      </c>
      <c r="G444" s="330">
        <v>1</v>
      </c>
      <c r="H444" s="330"/>
      <c r="I444" s="333">
        <f t="shared" si="50"/>
        <v>2</v>
      </c>
      <c r="J444" s="333">
        <f t="shared" si="51"/>
        <v>1</v>
      </c>
      <c r="K444" s="340" t="s">
        <v>673</v>
      </c>
      <c r="L444" s="335" t="s">
        <v>234</v>
      </c>
      <c r="M444" s="335"/>
      <c r="N444" s="335"/>
      <c r="O444" s="11"/>
      <c r="P444" s="340"/>
      <c r="Q444" s="340"/>
      <c r="R444" s="11"/>
      <c r="S444" s="11" t="s">
        <v>1181</v>
      </c>
      <c r="T444" s="338"/>
    </row>
    <row r="445" spans="1:20" x14ac:dyDescent="0.2">
      <c r="A445" s="33" t="s">
        <v>879</v>
      </c>
      <c r="B445" s="330">
        <f t="shared" si="52"/>
        <v>3106</v>
      </c>
      <c r="C445" s="330">
        <f t="shared" si="49"/>
        <v>3106</v>
      </c>
      <c r="D445" s="333" t="s">
        <v>895</v>
      </c>
      <c r="E445" s="339" t="s">
        <v>128</v>
      </c>
      <c r="F445" s="330">
        <v>1</v>
      </c>
      <c r="G445" s="330">
        <v>1</v>
      </c>
      <c r="H445" s="330"/>
      <c r="I445" s="333">
        <f t="shared" si="50"/>
        <v>2</v>
      </c>
      <c r="J445" s="333">
        <f t="shared" si="51"/>
        <v>1</v>
      </c>
      <c r="K445" s="340" t="s">
        <v>673</v>
      </c>
      <c r="L445" s="335" t="s">
        <v>234</v>
      </c>
      <c r="M445" s="335"/>
      <c r="N445" s="335"/>
      <c r="O445" s="11"/>
      <c r="P445" s="340"/>
      <c r="Q445" s="340"/>
      <c r="R445" s="11"/>
      <c r="S445" s="11" t="s">
        <v>1181</v>
      </c>
      <c r="T445" s="338"/>
    </row>
    <row r="446" spans="1:20" x14ac:dyDescent="0.2">
      <c r="A446" s="33" t="s">
        <v>879</v>
      </c>
      <c r="B446" s="330">
        <f t="shared" si="52"/>
        <v>3107</v>
      </c>
      <c r="C446" s="330">
        <f t="shared" si="49"/>
        <v>3107</v>
      </c>
      <c r="D446" s="333" t="s">
        <v>895</v>
      </c>
      <c r="E446" s="339" t="s">
        <v>1096</v>
      </c>
      <c r="F446" s="330">
        <v>1</v>
      </c>
      <c r="G446" s="330">
        <v>1</v>
      </c>
      <c r="H446" s="330"/>
      <c r="I446" s="333">
        <f t="shared" si="50"/>
        <v>2</v>
      </c>
      <c r="J446" s="333">
        <f t="shared" si="51"/>
        <v>1</v>
      </c>
      <c r="K446" s="340" t="s">
        <v>673</v>
      </c>
      <c r="L446" s="335" t="s">
        <v>234</v>
      </c>
      <c r="M446" s="335"/>
      <c r="N446" s="335"/>
      <c r="O446" s="11"/>
      <c r="P446" s="340"/>
      <c r="Q446" s="340"/>
      <c r="R446" s="11"/>
      <c r="S446" s="11" t="s">
        <v>1181</v>
      </c>
      <c r="T446" s="338"/>
    </row>
    <row r="447" spans="1:20" x14ac:dyDescent="0.2">
      <c r="A447" s="33" t="s">
        <v>879</v>
      </c>
      <c r="B447" s="330">
        <f t="shared" si="52"/>
        <v>3108</v>
      </c>
      <c r="C447" s="330">
        <f t="shared" si="49"/>
        <v>3108</v>
      </c>
      <c r="D447" s="333" t="s">
        <v>895</v>
      </c>
      <c r="E447" s="339" t="s">
        <v>1097</v>
      </c>
      <c r="F447" s="330">
        <v>1</v>
      </c>
      <c r="G447" s="330">
        <v>1</v>
      </c>
      <c r="H447" s="330"/>
      <c r="I447" s="333">
        <f t="shared" si="50"/>
        <v>2</v>
      </c>
      <c r="J447" s="333">
        <f t="shared" si="51"/>
        <v>1</v>
      </c>
      <c r="K447" s="340" t="s">
        <v>673</v>
      </c>
      <c r="L447" s="335" t="s">
        <v>234</v>
      </c>
      <c r="M447" s="335"/>
      <c r="N447" s="335"/>
      <c r="O447" s="11"/>
      <c r="P447" s="340"/>
      <c r="Q447" s="340"/>
      <c r="R447" s="11"/>
      <c r="S447" s="11" t="s">
        <v>1181</v>
      </c>
      <c r="T447" s="338"/>
    </row>
    <row r="448" spans="1:20" x14ac:dyDescent="0.2">
      <c r="A448" s="33"/>
      <c r="B448" s="330">
        <f t="shared" si="52"/>
        <v>3109</v>
      </c>
      <c r="C448" s="330">
        <f t="shared" si="49"/>
        <v>3109</v>
      </c>
      <c r="D448" s="333" t="s">
        <v>895</v>
      </c>
      <c r="E448" s="339" t="s">
        <v>129</v>
      </c>
      <c r="F448" s="330">
        <v>1</v>
      </c>
      <c r="G448" s="330">
        <v>1</v>
      </c>
      <c r="H448" s="330"/>
      <c r="I448" s="333">
        <f t="shared" si="50"/>
        <v>2</v>
      </c>
      <c r="J448" s="333">
        <f t="shared" si="51"/>
        <v>1</v>
      </c>
      <c r="K448" s="340" t="s">
        <v>673</v>
      </c>
      <c r="L448" s="335" t="s">
        <v>234</v>
      </c>
      <c r="M448" s="335"/>
      <c r="N448" s="335"/>
      <c r="O448" s="11"/>
      <c r="P448" s="340"/>
      <c r="Q448" s="340"/>
      <c r="R448" s="11"/>
      <c r="S448" s="11" t="s">
        <v>1181</v>
      </c>
      <c r="T448" s="338"/>
    </row>
    <row r="449" spans="1:20" ht="12.75" x14ac:dyDescent="0.2">
      <c r="A449" s="33" t="s">
        <v>879</v>
      </c>
      <c r="B449" s="47">
        <f>B450</f>
        <v>3110</v>
      </c>
      <c r="C449" s="46"/>
      <c r="D449" s="48"/>
      <c r="E449" s="26" t="s">
        <v>130</v>
      </c>
      <c r="F449" s="46"/>
      <c r="G449" s="46"/>
      <c r="H449" s="46"/>
      <c r="I449" s="48"/>
      <c r="J449" s="48"/>
      <c r="K449" s="183"/>
      <c r="L449" s="32"/>
      <c r="M449" s="32"/>
      <c r="N449" s="32"/>
      <c r="O449" s="32"/>
      <c r="P449" s="19"/>
      <c r="Q449" s="19"/>
      <c r="R449" s="143"/>
      <c r="S449" s="143"/>
      <c r="T449" s="156"/>
    </row>
    <row r="450" spans="1:20" x14ac:dyDescent="0.2">
      <c r="A450" s="33" t="s">
        <v>879</v>
      </c>
      <c r="B450" s="330">
        <v>3110</v>
      </c>
      <c r="C450" s="330">
        <f t="shared" ref="C450:C458" si="53">B450+($F450*$G450)-1</f>
        <v>3110</v>
      </c>
      <c r="D450" s="333" t="s">
        <v>895</v>
      </c>
      <c r="E450" s="339" t="s">
        <v>139</v>
      </c>
      <c r="F450" s="330">
        <v>1</v>
      </c>
      <c r="G450" s="330">
        <v>1</v>
      </c>
      <c r="H450" s="330"/>
      <c r="I450" s="333">
        <f t="shared" ref="I450:I458" si="54">F450*G450*2</f>
        <v>2</v>
      </c>
      <c r="J450" s="333">
        <f t="shared" ref="J450:J458" si="55">C450-B450+1</f>
        <v>1</v>
      </c>
      <c r="K450" s="340" t="s">
        <v>673</v>
      </c>
      <c r="L450" s="335" t="s">
        <v>234</v>
      </c>
      <c r="M450" s="335"/>
      <c r="N450" s="335"/>
      <c r="O450" s="11"/>
      <c r="P450" s="340"/>
      <c r="Q450" s="340"/>
      <c r="R450" s="11"/>
      <c r="S450" s="11" t="s">
        <v>1181</v>
      </c>
      <c r="T450" s="338"/>
    </row>
    <row r="451" spans="1:20" x14ac:dyDescent="0.2">
      <c r="A451" s="33" t="s">
        <v>879</v>
      </c>
      <c r="B451" s="330">
        <f t="shared" ref="B451:B458" si="56">C450+1</f>
        <v>3111</v>
      </c>
      <c r="C451" s="330">
        <f t="shared" si="53"/>
        <v>3111</v>
      </c>
      <c r="D451" s="333" t="s">
        <v>895</v>
      </c>
      <c r="E451" s="339" t="s">
        <v>146</v>
      </c>
      <c r="F451" s="330">
        <v>1</v>
      </c>
      <c r="G451" s="330">
        <v>1</v>
      </c>
      <c r="H451" s="330"/>
      <c r="I451" s="333">
        <f t="shared" si="54"/>
        <v>2</v>
      </c>
      <c r="J451" s="333">
        <f t="shared" si="55"/>
        <v>1</v>
      </c>
      <c r="K451" s="340" t="s">
        <v>673</v>
      </c>
      <c r="L451" s="335" t="s">
        <v>234</v>
      </c>
      <c r="M451" s="335"/>
      <c r="N451" s="335"/>
      <c r="O451" s="11"/>
      <c r="P451" s="340"/>
      <c r="Q451" s="340"/>
      <c r="R451" s="11"/>
      <c r="S451" s="11" t="s">
        <v>1181</v>
      </c>
      <c r="T451" s="338"/>
    </row>
    <row r="452" spans="1:20" x14ac:dyDescent="0.2">
      <c r="A452" s="33" t="s">
        <v>879</v>
      </c>
      <c r="B452" s="330">
        <f t="shared" si="56"/>
        <v>3112</v>
      </c>
      <c r="C452" s="330">
        <f t="shared" si="53"/>
        <v>3112</v>
      </c>
      <c r="D452" s="333" t="s">
        <v>895</v>
      </c>
      <c r="E452" s="339" t="s">
        <v>140</v>
      </c>
      <c r="F452" s="330">
        <v>1</v>
      </c>
      <c r="G452" s="330">
        <v>1</v>
      </c>
      <c r="H452" s="330"/>
      <c r="I452" s="333">
        <f t="shared" si="54"/>
        <v>2</v>
      </c>
      <c r="J452" s="333">
        <f t="shared" si="55"/>
        <v>1</v>
      </c>
      <c r="K452" s="340" t="s">
        <v>673</v>
      </c>
      <c r="L452" s="335" t="s">
        <v>234</v>
      </c>
      <c r="M452" s="335"/>
      <c r="N452" s="335"/>
      <c r="O452" s="11"/>
      <c r="P452" s="340"/>
      <c r="Q452" s="340"/>
      <c r="R452" s="11"/>
      <c r="S452" s="11" t="s">
        <v>1181</v>
      </c>
      <c r="T452" s="338"/>
    </row>
    <row r="453" spans="1:20" x14ac:dyDescent="0.2">
      <c r="A453" s="33" t="s">
        <v>879</v>
      </c>
      <c r="B453" s="330">
        <f t="shared" si="56"/>
        <v>3113</v>
      </c>
      <c r="C453" s="330">
        <f t="shared" si="53"/>
        <v>3113</v>
      </c>
      <c r="D453" s="333" t="s">
        <v>895</v>
      </c>
      <c r="E453" s="339" t="s">
        <v>141</v>
      </c>
      <c r="F453" s="330">
        <v>1</v>
      </c>
      <c r="G453" s="330">
        <v>1</v>
      </c>
      <c r="H453" s="330"/>
      <c r="I453" s="333">
        <f t="shared" si="54"/>
        <v>2</v>
      </c>
      <c r="J453" s="333">
        <f t="shared" si="55"/>
        <v>1</v>
      </c>
      <c r="K453" s="340" t="s">
        <v>673</v>
      </c>
      <c r="L453" s="335" t="s">
        <v>234</v>
      </c>
      <c r="M453" s="335"/>
      <c r="N453" s="335"/>
      <c r="O453" s="11"/>
      <c r="P453" s="340"/>
      <c r="Q453" s="340"/>
      <c r="R453" s="11"/>
      <c r="S453" s="11" t="s">
        <v>1181</v>
      </c>
      <c r="T453" s="338"/>
    </row>
    <row r="454" spans="1:20" x14ac:dyDescent="0.2">
      <c r="A454" s="33" t="s">
        <v>879</v>
      </c>
      <c r="B454" s="330">
        <f t="shared" si="56"/>
        <v>3114</v>
      </c>
      <c r="C454" s="330">
        <f t="shared" si="53"/>
        <v>3114</v>
      </c>
      <c r="D454" s="333" t="s">
        <v>895</v>
      </c>
      <c r="E454" s="339" t="s">
        <v>127</v>
      </c>
      <c r="F454" s="330">
        <v>1</v>
      </c>
      <c r="G454" s="330">
        <v>1</v>
      </c>
      <c r="H454" s="330"/>
      <c r="I454" s="333">
        <f t="shared" si="54"/>
        <v>2</v>
      </c>
      <c r="J454" s="333">
        <f t="shared" si="55"/>
        <v>1</v>
      </c>
      <c r="K454" s="340" t="s">
        <v>673</v>
      </c>
      <c r="L454" s="335" t="s">
        <v>234</v>
      </c>
      <c r="M454" s="335"/>
      <c r="N454" s="335"/>
      <c r="O454" s="11"/>
      <c r="P454" s="340"/>
      <c r="Q454" s="340"/>
      <c r="R454" s="11"/>
      <c r="S454" s="11" t="s">
        <v>1181</v>
      </c>
      <c r="T454" s="338"/>
    </row>
    <row r="455" spans="1:20" x14ac:dyDescent="0.2">
      <c r="A455" s="33" t="s">
        <v>879</v>
      </c>
      <c r="B455" s="330">
        <f t="shared" si="56"/>
        <v>3115</v>
      </c>
      <c r="C455" s="330">
        <f t="shared" si="53"/>
        <v>3115</v>
      </c>
      <c r="D455" s="333" t="s">
        <v>895</v>
      </c>
      <c r="E455" s="339" t="s">
        <v>128</v>
      </c>
      <c r="F455" s="330">
        <v>1</v>
      </c>
      <c r="G455" s="330">
        <v>1</v>
      </c>
      <c r="H455" s="330"/>
      <c r="I455" s="333">
        <f t="shared" si="54"/>
        <v>2</v>
      </c>
      <c r="J455" s="333">
        <f t="shared" si="55"/>
        <v>1</v>
      </c>
      <c r="K455" s="340" t="s">
        <v>673</v>
      </c>
      <c r="L455" s="335" t="s">
        <v>234</v>
      </c>
      <c r="M455" s="335"/>
      <c r="N455" s="335"/>
      <c r="O455" s="11"/>
      <c r="P455" s="340"/>
      <c r="Q455" s="340"/>
      <c r="R455" s="11"/>
      <c r="S455" s="11" t="s">
        <v>1181</v>
      </c>
      <c r="T455" s="338"/>
    </row>
    <row r="456" spans="1:20" x14ac:dyDescent="0.2">
      <c r="A456" s="33" t="s">
        <v>879</v>
      </c>
      <c r="B456" s="330">
        <f t="shared" si="56"/>
        <v>3116</v>
      </c>
      <c r="C456" s="330">
        <f t="shared" si="53"/>
        <v>3116</v>
      </c>
      <c r="D456" s="333" t="s">
        <v>895</v>
      </c>
      <c r="E456" s="339" t="s">
        <v>1096</v>
      </c>
      <c r="F456" s="330">
        <v>1</v>
      </c>
      <c r="G456" s="330">
        <v>1</v>
      </c>
      <c r="H456" s="330"/>
      <c r="I456" s="333">
        <f t="shared" si="54"/>
        <v>2</v>
      </c>
      <c r="J456" s="333">
        <f t="shared" si="55"/>
        <v>1</v>
      </c>
      <c r="K456" s="340" t="s">
        <v>673</v>
      </c>
      <c r="L456" s="335" t="s">
        <v>234</v>
      </c>
      <c r="M456" s="335"/>
      <c r="N456" s="335"/>
      <c r="O456" s="11"/>
      <c r="P456" s="340"/>
      <c r="Q456" s="340"/>
      <c r="R456" s="11"/>
      <c r="S456" s="11" t="s">
        <v>1181</v>
      </c>
      <c r="T456" s="338"/>
    </row>
    <row r="457" spans="1:20" x14ac:dyDescent="0.2">
      <c r="A457" s="33" t="s">
        <v>879</v>
      </c>
      <c r="B457" s="330">
        <f t="shared" si="56"/>
        <v>3117</v>
      </c>
      <c r="C457" s="330">
        <f t="shared" si="53"/>
        <v>3117</v>
      </c>
      <c r="D457" s="333" t="s">
        <v>895</v>
      </c>
      <c r="E457" s="339" t="s">
        <v>1097</v>
      </c>
      <c r="F457" s="330">
        <v>1</v>
      </c>
      <c r="G457" s="330">
        <v>1</v>
      </c>
      <c r="H457" s="330"/>
      <c r="I457" s="333">
        <f t="shared" si="54"/>
        <v>2</v>
      </c>
      <c r="J457" s="333">
        <f t="shared" si="55"/>
        <v>1</v>
      </c>
      <c r="K457" s="340" t="s">
        <v>673</v>
      </c>
      <c r="L457" s="335" t="s">
        <v>234</v>
      </c>
      <c r="M457" s="335"/>
      <c r="N457" s="335"/>
      <c r="O457" s="11"/>
      <c r="P457" s="340"/>
      <c r="Q457" s="340"/>
      <c r="R457" s="11"/>
      <c r="S457" s="11" t="s">
        <v>1181</v>
      </c>
      <c r="T457" s="338"/>
    </row>
    <row r="458" spans="1:20" x14ac:dyDescent="0.2">
      <c r="A458" s="33"/>
      <c r="B458" s="330">
        <f t="shared" si="56"/>
        <v>3118</v>
      </c>
      <c r="C458" s="330">
        <f t="shared" si="53"/>
        <v>3118</v>
      </c>
      <c r="D458" s="333" t="s">
        <v>895</v>
      </c>
      <c r="E458" s="339" t="s">
        <v>129</v>
      </c>
      <c r="F458" s="330">
        <v>1</v>
      </c>
      <c r="G458" s="330">
        <v>1</v>
      </c>
      <c r="H458" s="330"/>
      <c r="I458" s="333">
        <f t="shared" si="54"/>
        <v>2</v>
      </c>
      <c r="J458" s="333">
        <f t="shared" si="55"/>
        <v>1</v>
      </c>
      <c r="K458" s="340" t="s">
        <v>673</v>
      </c>
      <c r="L458" s="335" t="s">
        <v>234</v>
      </c>
      <c r="M458" s="335"/>
      <c r="N458" s="335"/>
      <c r="O458" s="11"/>
      <c r="P458" s="340"/>
      <c r="Q458" s="340"/>
      <c r="R458" s="11"/>
      <c r="S458" s="11" t="s">
        <v>1181</v>
      </c>
      <c r="T458" s="338"/>
    </row>
    <row r="459" spans="1:20" ht="12.75" x14ac:dyDescent="0.2">
      <c r="A459" s="33" t="s">
        <v>879</v>
      </c>
      <c r="B459" s="47">
        <f>B460</f>
        <v>3119</v>
      </c>
      <c r="C459" s="46"/>
      <c r="D459" s="48"/>
      <c r="E459" s="26" t="s">
        <v>131</v>
      </c>
      <c r="F459" s="46"/>
      <c r="G459" s="46"/>
      <c r="H459" s="46"/>
      <c r="I459" s="48"/>
      <c r="J459" s="48"/>
      <c r="K459" s="183"/>
      <c r="L459" s="32"/>
      <c r="M459" s="32"/>
      <c r="N459" s="32"/>
      <c r="O459" s="32"/>
      <c r="P459" s="19"/>
      <c r="Q459" s="19"/>
      <c r="R459" s="143"/>
      <c r="S459" s="143"/>
      <c r="T459" s="156"/>
    </row>
    <row r="460" spans="1:20" x14ac:dyDescent="0.2">
      <c r="A460" s="33" t="s">
        <v>879</v>
      </c>
      <c r="B460" s="330">
        <v>3119</v>
      </c>
      <c r="C460" s="330">
        <f t="shared" ref="C460:C468" si="57">B460+($F460*$G460)-1</f>
        <v>3119</v>
      </c>
      <c r="D460" s="333" t="s">
        <v>895</v>
      </c>
      <c r="E460" s="339" t="s">
        <v>142</v>
      </c>
      <c r="F460" s="330">
        <v>1</v>
      </c>
      <c r="G460" s="330">
        <v>1</v>
      </c>
      <c r="H460" s="330"/>
      <c r="I460" s="333">
        <f t="shared" ref="I460:I474" si="58">F460*G460*2</f>
        <v>2</v>
      </c>
      <c r="J460" s="333">
        <f t="shared" ref="J460:J474" si="59">C460-B460+1</f>
        <v>1</v>
      </c>
      <c r="K460" s="340" t="s">
        <v>673</v>
      </c>
      <c r="L460" s="335" t="s">
        <v>234</v>
      </c>
      <c r="M460" s="335"/>
      <c r="N460" s="335"/>
      <c r="O460" s="11"/>
      <c r="P460" s="340"/>
      <c r="Q460" s="340"/>
      <c r="R460" s="11"/>
      <c r="S460" s="11" t="s">
        <v>1181</v>
      </c>
      <c r="T460" s="338"/>
    </row>
    <row r="461" spans="1:20" x14ac:dyDescent="0.2">
      <c r="A461" s="33" t="s">
        <v>879</v>
      </c>
      <c r="B461" s="330">
        <f t="shared" ref="B461:B469" si="60">C460+1</f>
        <v>3120</v>
      </c>
      <c r="C461" s="330">
        <f t="shared" si="57"/>
        <v>3120</v>
      </c>
      <c r="D461" s="333" t="s">
        <v>895</v>
      </c>
      <c r="E461" s="339" t="s">
        <v>952</v>
      </c>
      <c r="F461" s="330">
        <v>1</v>
      </c>
      <c r="G461" s="330">
        <v>1</v>
      </c>
      <c r="H461" s="330"/>
      <c r="I461" s="333">
        <f t="shared" si="58"/>
        <v>2</v>
      </c>
      <c r="J461" s="333">
        <f t="shared" si="59"/>
        <v>1</v>
      </c>
      <c r="K461" s="340" t="s">
        <v>673</v>
      </c>
      <c r="L461" s="335" t="s">
        <v>234</v>
      </c>
      <c r="M461" s="335"/>
      <c r="N461" s="335"/>
      <c r="O461" s="11"/>
      <c r="P461" s="340"/>
      <c r="Q461" s="340"/>
      <c r="R461" s="11"/>
      <c r="S461" s="11" t="s">
        <v>1181</v>
      </c>
      <c r="T461" s="338"/>
    </row>
    <row r="462" spans="1:20" x14ac:dyDescent="0.2">
      <c r="A462" s="33" t="s">
        <v>879</v>
      </c>
      <c r="B462" s="330">
        <f t="shared" si="60"/>
        <v>3121</v>
      </c>
      <c r="C462" s="330">
        <f t="shared" si="57"/>
        <v>3121</v>
      </c>
      <c r="D462" s="333" t="s">
        <v>895</v>
      </c>
      <c r="E462" s="339" t="s">
        <v>143</v>
      </c>
      <c r="F462" s="330">
        <v>1</v>
      </c>
      <c r="G462" s="330">
        <v>1</v>
      </c>
      <c r="H462" s="330"/>
      <c r="I462" s="333">
        <f t="shared" si="58"/>
        <v>2</v>
      </c>
      <c r="J462" s="333">
        <f t="shared" si="59"/>
        <v>1</v>
      </c>
      <c r="K462" s="340" t="s">
        <v>673</v>
      </c>
      <c r="L462" s="335" t="s">
        <v>234</v>
      </c>
      <c r="M462" s="335"/>
      <c r="N462" s="335"/>
      <c r="O462" s="11"/>
      <c r="P462" s="340"/>
      <c r="Q462" s="340"/>
      <c r="R462" s="11"/>
      <c r="S462" s="11" t="s">
        <v>1181</v>
      </c>
      <c r="T462" s="338"/>
    </row>
    <row r="463" spans="1:20" x14ac:dyDescent="0.2">
      <c r="A463" s="33" t="s">
        <v>879</v>
      </c>
      <c r="B463" s="330">
        <f t="shared" si="60"/>
        <v>3122</v>
      </c>
      <c r="C463" s="330">
        <f t="shared" si="57"/>
        <v>3122</v>
      </c>
      <c r="D463" s="333" t="s">
        <v>895</v>
      </c>
      <c r="E463" s="339" t="s">
        <v>144</v>
      </c>
      <c r="F463" s="330">
        <v>1</v>
      </c>
      <c r="G463" s="330">
        <v>1</v>
      </c>
      <c r="H463" s="330"/>
      <c r="I463" s="333">
        <f t="shared" si="58"/>
        <v>2</v>
      </c>
      <c r="J463" s="333">
        <f t="shared" si="59"/>
        <v>1</v>
      </c>
      <c r="K463" s="340" t="s">
        <v>673</v>
      </c>
      <c r="L463" s="335" t="s">
        <v>234</v>
      </c>
      <c r="M463" s="335"/>
      <c r="N463" s="335"/>
      <c r="O463" s="11"/>
      <c r="P463" s="340"/>
      <c r="Q463" s="340"/>
      <c r="R463" s="11"/>
      <c r="S463" s="11" t="s">
        <v>1181</v>
      </c>
      <c r="T463" s="338"/>
    </row>
    <row r="464" spans="1:20" x14ac:dyDescent="0.2">
      <c r="A464" s="33" t="s">
        <v>879</v>
      </c>
      <c r="B464" s="330">
        <f t="shared" si="60"/>
        <v>3123</v>
      </c>
      <c r="C464" s="330">
        <f t="shared" si="57"/>
        <v>3123</v>
      </c>
      <c r="D464" s="333" t="s">
        <v>895</v>
      </c>
      <c r="E464" s="339" t="s">
        <v>127</v>
      </c>
      <c r="F464" s="330">
        <v>1</v>
      </c>
      <c r="G464" s="330">
        <v>1</v>
      </c>
      <c r="H464" s="330"/>
      <c r="I464" s="333">
        <f t="shared" si="58"/>
        <v>2</v>
      </c>
      <c r="J464" s="333">
        <f t="shared" si="59"/>
        <v>1</v>
      </c>
      <c r="K464" s="340" t="s">
        <v>673</v>
      </c>
      <c r="L464" s="335" t="s">
        <v>234</v>
      </c>
      <c r="M464" s="335"/>
      <c r="N464" s="335"/>
      <c r="O464" s="11"/>
      <c r="P464" s="340"/>
      <c r="Q464" s="340"/>
      <c r="R464" s="11"/>
      <c r="S464" s="11" t="s">
        <v>1181</v>
      </c>
      <c r="T464" s="338"/>
    </row>
    <row r="465" spans="1:20" x14ac:dyDescent="0.2">
      <c r="A465" s="33" t="s">
        <v>879</v>
      </c>
      <c r="B465" s="330">
        <f t="shared" si="60"/>
        <v>3124</v>
      </c>
      <c r="C465" s="330">
        <f t="shared" si="57"/>
        <v>3124</v>
      </c>
      <c r="D465" s="333" t="s">
        <v>895</v>
      </c>
      <c r="E465" s="339" t="s">
        <v>128</v>
      </c>
      <c r="F465" s="330">
        <v>1</v>
      </c>
      <c r="G465" s="330">
        <v>1</v>
      </c>
      <c r="H465" s="330"/>
      <c r="I465" s="333">
        <f t="shared" si="58"/>
        <v>2</v>
      </c>
      <c r="J465" s="333">
        <f t="shared" si="59"/>
        <v>1</v>
      </c>
      <c r="K465" s="340" t="s">
        <v>673</v>
      </c>
      <c r="L465" s="335" t="s">
        <v>234</v>
      </c>
      <c r="M465" s="335"/>
      <c r="N465" s="335"/>
      <c r="O465" s="11"/>
      <c r="P465" s="340"/>
      <c r="Q465" s="340"/>
      <c r="R465" s="11"/>
      <c r="S465" s="11" t="s">
        <v>1181</v>
      </c>
      <c r="T465" s="338"/>
    </row>
    <row r="466" spans="1:20" x14ac:dyDescent="0.2">
      <c r="A466" s="33" t="s">
        <v>879</v>
      </c>
      <c r="B466" s="330">
        <f t="shared" si="60"/>
        <v>3125</v>
      </c>
      <c r="C466" s="330">
        <f t="shared" si="57"/>
        <v>3125</v>
      </c>
      <c r="D466" s="333" t="s">
        <v>895</v>
      </c>
      <c r="E466" s="339" t="s">
        <v>132</v>
      </c>
      <c r="F466" s="330">
        <v>1</v>
      </c>
      <c r="G466" s="330">
        <v>1</v>
      </c>
      <c r="H466" s="330"/>
      <c r="I466" s="333">
        <f t="shared" si="58"/>
        <v>2</v>
      </c>
      <c r="J466" s="333">
        <f t="shared" si="59"/>
        <v>1</v>
      </c>
      <c r="K466" s="340" t="s">
        <v>673</v>
      </c>
      <c r="L466" s="335" t="s">
        <v>234</v>
      </c>
      <c r="M466" s="335"/>
      <c r="N466" s="335"/>
      <c r="O466" s="11"/>
      <c r="P466" s="340"/>
      <c r="Q466" s="340"/>
      <c r="R466" s="11"/>
      <c r="S466" s="11" t="s">
        <v>1181</v>
      </c>
      <c r="T466" s="338"/>
    </row>
    <row r="467" spans="1:20" x14ac:dyDescent="0.2">
      <c r="A467" s="33" t="s">
        <v>879</v>
      </c>
      <c r="B467" s="330">
        <f t="shared" si="60"/>
        <v>3126</v>
      </c>
      <c r="C467" s="330">
        <f t="shared" si="57"/>
        <v>3126</v>
      </c>
      <c r="D467" s="333" t="s">
        <v>895</v>
      </c>
      <c r="E467" s="339" t="s">
        <v>133</v>
      </c>
      <c r="F467" s="330">
        <v>1</v>
      </c>
      <c r="G467" s="330">
        <v>1</v>
      </c>
      <c r="H467" s="330"/>
      <c r="I467" s="333">
        <f t="shared" si="58"/>
        <v>2</v>
      </c>
      <c r="J467" s="333">
        <f t="shared" si="59"/>
        <v>1</v>
      </c>
      <c r="K467" s="340" t="s">
        <v>673</v>
      </c>
      <c r="L467" s="335" t="s">
        <v>234</v>
      </c>
      <c r="M467" s="335"/>
      <c r="N467" s="335"/>
      <c r="O467" s="11"/>
      <c r="P467" s="340"/>
      <c r="Q467" s="340"/>
      <c r="R467" s="11"/>
      <c r="S467" s="11" t="s">
        <v>1181</v>
      </c>
      <c r="T467" s="338"/>
    </row>
    <row r="468" spans="1:20" x14ac:dyDescent="0.2">
      <c r="A468" s="33" t="s">
        <v>879</v>
      </c>
      <c r="B468" s="330">
        <f t="shared" si="60"/>
        <v>3127</v>
      </c>
      <c r="C468" s="330">
        <f t="shared" si="57"/>
        <v>3127</v>
      </c>
      <c r="D468" s="333" t="s">
        <v>895</v>
      </c>
      <c r="E468" s="339" t="s">
        <v>1098</v>
      </c>
      <c r="F468" s="330">
        <v>1</v>
      </c>
      <c r="G468" s="330">
        <v>1</v>
      </c>
      <c r="H468" s="330"/>
      <c r="I468" s="333">
        <f t="shared" si="58"/>
        <v>2</v>
      </c>
      <c r="J468" s="333">
        <f t="shared" si="59"/>
        <v>1</v>
      </c>
      <c r="K468" s="340" t="s">
        <v>673</v>
      </c>
      <c r="L468" s="335" t="s">
        <v>234</v>
      </c>
      <c r="M468" s="335"/>
      <c r="N468" s="335"/>
      <c r="O468" s="11"/>
      <c r="P468" s="340"/>
      <c r="Q468" s="340"/>
      <c r="R468" s="11"/>
      <c r="S468" s="11" t="s">
        <v>1181</v>
      </c>
      <c r="T468" s="338"/>
    </row>
    <row r="469" spans="1:20" x14ac:dyDescent="0.2">
      <c r="A469" s="33" t="s">
        <v>879</v>
      </c>
      <c r="B469" s="330">
        <f t="shared" si="60"/>
        <v>3128</v>
      </c>
      <c r="C469" s="330">
        <f t="shared" ref="C469:C474" si="61">B469+($F469*$G469)-1</f>
        <v>3128</v>
      </c>
      <c r="D469" s="333" t="s">
        <v>895</v>
      </c>
      <c r="E469" s="339" t="s">
        <v>134</v>
      </c>
      <c r="F469" s="330">
        <v>1</v>
      </c>
      <c r="G469" s="330">
        <v>1</v>
      </c>
      <c r="H469" s="330"/>
      <c r="I469" s="333">
        <f t="shared" si="58"/>
        <v>2</v>
      </c>
      <c r="J469" s="333">
        <f t="shared" si="59"/>
        <v>1</v>
      </c>
      <c r="K469" s="340" t="s">
        <v>673</v>
      </c>
      <c r="L469" s="335" t="s">
        <v>234</v>
      </c>
      <c r="M469" s="335"/>
      <c r="N469" s="335"/>
      <c r="O469" s="11"/>
      <c r="P469" s="340"/>
      <c r="Q469" s="340"/>
      <c r="R469" s="11"/>
      <c r="S469" s="11" t="s">
        <v>1181</v>
      </c>
      <c r="T469" s="338"/>
    </row>
    <row r="470" spans="1:20" x14ac:dyDescent="0.2">
      <c r="A470" s="33" t="s">
        <v>879</v>
      </c>
      <c r="B470" s="330">
        <f>C469+1</f>
        <v>3129</v>
      </c>
      <c r="C470" s="330">
        <f t="shared" si="61"/>
        <v>3129</v>
      </c>
      <c r="D470" s="333" t="s">
        <v>895</v>
      </c>
      <c r="E470" s="339" t="s">
        <v>1099</v>
      </c>
      <c r="F470" s="330">
        <v>1</v>
      </c>
      <c r="G470" s="330">
        <v>1</v>
      </c>
      <c r="H470" s="330"/>
      <c r="I470" s="333">
        <f t="shared" si="58"/>
        <v>2</v>
      </c>
      <c r="J470" s="333">
        <f t="shared" si="59"/>
        <v>1</v>
      </c>
      <c r="K470" s="340" t="s">
        <v>673</v>
      </c>
      <c r="L470" s="335" t="s">
        <v>234</v>
      </c>
      <c r="M470" s="335"/>
      <c r="N470" s="335"/>
      <c r="O470" s="11"/>
      <c r="P470" s="340"/>
      <c r="Q470" s="340"/>
      <c r="R470" s="11"/>
      <c r="S470" s="11" t="s">
        <v>1181</v>
      </c>
      <c r="T470" s="338"/>
    </row>
    <row r="471" spans="1:20" x14ac:dyDescent="0.2">
      <c r="A471" s="33" t="s">
        <v>879</v>
      </c>
      <c r="B471" s="330">
        <f>C470+1</f>
        <v>3130</v>
      </c>
      <c r="C471" s="330">
        <f t="shared" si="61"/>
        <v>3130</v>
      </c>
      <c r="D471" s="333" t="s">
        <v>895</v>
      </c>
      <c r="E471" s="339" t="s">
        <v>135</v>
      </c>
      <c r="F471" s="330">
        <v>1</v>
      </c>
      <c r="G471" s="330">
        <v>1</v>
      </c>
      <c r="H471" s="330"/>
      <c r="I471" s="333">
        <f t="shared" si="58"/>
        <v>2</v>
      </c>
      <c r="J471" s="333">
        <f t="shared" si="59"/>
        <v>1</v>
      </c>
      <c r="K471" s="340" t="s">
        <v>673</v>
      </c>
      <c r="L471" s="335" t="s">
        <v>234</v>
      </c>
      <c r="M471" s="335"/>
      <c r="N471" s="335"/>
      <c r="O471" s="11"/>
      <c r="P471" s="330"/>
      <c r="Q471" s="330"/>
      <c r="R471" s="11"/>
      <c r="S471" s="11" t="s">
        <v>1181</v>
      </c>
      <c r="T471" s="330"/>
    </row>
    <row r="472" spans="1:20" x14ac:dyDescent="0.2">
      <c r="A472" s="33" t="s">
        <v>879</v>
      </c>
      <c r="B472" s="330">
        <f>C471+1</f>
        <v>3131</v>
      </c>
      <c r="C472" s="330">
        <f t="shared" si="61"/>
        <v>3131</v>
      </c>
      <c r="D472" s="333" t="s">
        <v>895</v>
      </c>
      <c r="E472" s="339" t="s">
        <v>136</v>
      </c>
      <c r="F472" s="330">
        <v>1</v>
      </c>
      <c r="G472" s="330">
        <v>1</v>
      </c>
      <c r="H472" s="330"/>
      <c r="I472" s="333">
        <f t="shared" si="58"/>
        <v>2</v>
      </c>
      <c r="J472" s="333">
        <f t="shared" si="59"/>
        <v>1</v>
      </c>
      <c r="K472" s="340" t="s">
        <v>673</v>
      </c>
      <c r="L472" s="335" t="s">
        <v>234</v>
      </c>
      <c r="M472" s="335"/>
      <c r="N472" s="335"/>
      <c r="O472" s="11"/>
      <c r="P472" s="330"/>
      <c r="Q472" s="330"/>
      <c r="R472" s="11"/>
      <c r="S472" s="11" t="s">
        <v>1181</v>
      </c>
      <c r="T472" s="330"/>
    </row>
    <row r="473" spans="1:20" x14ac:dyDescent="0.2">
      <c r="A473" s="33" t="s">
        <v>879</v>
      </c>
      <c r="B473" s="330">
        <f>C472+1</f>
        <v>3132</v>
      </c>
      <c r="C473" s="330">
        <f t="shared" si="61"/>
        <v>3132</v>
      </c>
      <c r="D473" s="333" t="s">
        <v>895</v>
      </c>
      <c r="E473" s="339" t="s">
        <v>137</v>
      </c>
      <c r="F473" s="330">
        <v>1</v>
      </c>
      <c r="G473" s="330">
        <v>1</v>
      </c>
      <c r="H473" s="330"/>
      <c r="I473" s="333">
        <f t="shared" si="58"/>
        <v>2</v>
      </c>
      <c r="J473" s="333">
        <f t="shared" si="59"/>
        <v>1</v>
      </c>
      <c r="K473" s="340" t="s">
        <v>673</v>
      </c>
      <c r="L473" s="335" t="s">
        <v>234</v>
      </c>
      <c r="M473" s="335"/>
      <c r="N473" s="335"/>
      <c r="O473" s="11"/>
      <c r="P473" s="340"/>
      <c r="Q473" s="340"/>
      <c r="R473" s="11"/>
      <c r="S473" s="11" t="s">
        <v>1181</v>
      </c>
      <c r="T473" s="338"/>
    </row>
    <row r="474" spans="1:20" x14ac:dyDescent="0.2">
      <c r="A474" s="33" t="s">
        <v>879</v>
      </c>
      <c r="B474" s="330">
        <f>C473+1</f>
        <v>3133</v>
      </c>
      <c r="C474" s="330">
        <f t="shared" si="61"/>
        <v>3133</v>
      </c>
      <c r="D474" s="333" t="s">
        <v>895</v>
      </c>
      <c r="E474" s="339" t="s">
        <v>138</v>
      </c>
      <c r="F474" s="330">
        <v>1</v>
      </c>
      <c r="G474" s="330">
        <v>1</v>
      </c>
      <c r="H474" s="330"/>
      <c r="I474" s="333">
        <f t="shared" si="58"/>
        <v>2</v>
      </c>
      <c r="J474" s="333">
        <f t="shared" si="59"/>
        <v>1</v>
      </c>
      <c r="K474" s="340" t="s">
        <v>673</v>
      </c>
      <c r="L474" s="335" t="s">
        <v>234</v>
      </c>
      <c r="M474" s="335"/>
      <c r="N474" s="335"/>
      <c r="O474" s="11"/>
      <c r="P474" s="340"/>
      <c r="Q474" s="340"/>
      <c r="R474" s="11"/>
      <c r="S474" s="11" t="s">
        <v>1181</v>
      </c>
      <c r="T474" s="338"/>
    </row>
    <row r="475" spans="1:20" x14ac:dyDescent="0.2">
      <c r="A475" s="33"/>
      <c r="B475" s="47">
        <f>B476</f>
        <v>3134</v>
      </c>
      <c r="C475" s="46"/>
      <c r="D475" s="48"/>
      <c r="E475" s="26" t="s">
        <v>686</v>
      </c>
      <c r="F475" s="46"/>
      <c r="G475" s="46"/>
      <c r="H475" s="46"/>
      <c r="I475" s="48"/>
      <c r="J475" s="48"/>
      <c r="K475" s="49"/>
      <c r="L475" s="32"/>
      <c r="M475" s="32"/>
      <c r="N475" s="32"/>
      <c r="O475" s="32"/>
      <c r="P475" s="19"/>
      <c r="Q475" s="19"/>
      <c r="R475" s="143"/>
      <c r="S475" s="143"/>
      <c r="T475" s="156"/>
    </row>
    <row r="476" spans="1:20" x14ac:dyDescent="0.2">
      <c r="A476" s="33" t="s">
        <v>879</v>
      </c>
      <c r="B476" s="7">
        <v>3134</v>
      </c>
      <c r="C476" s="7">
        <f t="shared" ref="C476:C515" si="62">B476+($F476*$G476)-1</f>
        <v>3134</v>
      </c>
      <c r="D476" s="9" t="s">
        <v>895</v>
      </c>
      <c r="E476" s="8" t="s">
        <v>433</v>
      </c>
      <c r="F476" s="7">
        <v>1</v>
      </c>
      <c r="G476" s="7">
        <v>1</v>
      </c>
      <c r="H476" s="7"/>
      <c r="I476" s="9">
        <f t="shared" ref="I476:I507" si="63">F476*G476*2</f>
        <v>2</v>
      </c>
      <c r="J476" s="9">
        <f t="shared" ref="J476:J507" si="64">C476-B476+1</f>
        <v>1</v>
      </c>
      <c r="K476" s="10" t="s">
        <v>673</v>
      </c>
      <c r="L476" s="11" t="s">
        <v>234</v>
      </c>
      <c r="M476" s="11"/>
      <c r="N476" s="11"/>
      <c r="O476" s="11"/>
      <c r="P476" s="123"/>
      <c r="Q476" s="121"/>
      <c r="R476" s="11"/>
      <c r="S476" s="11" t="s">
        <v>1181</v>
      </c>
      <c r="T476" s="157"/>
    </row>
    <row r="477" spans="1:20" x14ac:dyDescent="0.2">
      <c r="A477" s="33" t="s">
        <v>879</v>
      </c>
      <c r="B477" s="7">
        <f>C476+1</f>
        <v>3135</v>
      </c>
      <c r="C477" s="7">
        <f>B477+($F477*$G477)-1</f>
        <v>3135</v>
      </c>
      <c r="D477" s="9" t="s">
        <v>895</v>
      </c>
      <c r="E477" s="8" t="s">
        <v>835</v>
      </c>
      <c r="F477" s="7">
        <v>1</v>
      </c>
      <c r="G477" s="7">
        <v>1</v>
      </c>
      <c r="H477" s="7"/>
      <c r="I477" s="9">
        <f t="shared" si="63"/>
        <v>2</v>
      </c>
      <c r="J477" s="9">
        <f t="shared" si="64"/>
        <v>1</v>
      </c>
      <c r="K477" s="10" t="s">
        <v>673</v>
      </c>
      <c r="L477" s="11" t="s">
        <v>234</v>
      </c>
      <c r="M477" s="11"/>
      <c r="N477" s="11"/>
      <c r="O477" s="11"/>
      <c r="P477" s="123"/>
      <c r="Q477" s="121"/>
      <c r="R477" s="11"/>
      <c r="S477" s="11" t="s">
        <v>1181</v>
      </c>
      <c r="T477" s="157"/>
    </row>
    <row r="478" spans="1:20" x14ac:dyDescent="0.2">
      <c r="A478" s="33" t="s">
        <v>879</v>
      </c>
      <c r="B478" s="7">
        <f>C477+1</f>
        <v>3136</v>
      </c>
      <c r="C478" s="7">
        <f t="shared" si="62"/>
        <v>3136</v>
      </c>
      <c r="D478" s="9" t="s">
        <v>895</v>
      </c>
      <c r="E478" s="8" t="s">
        <v>836</v>
      </c>
      <c r="F478" s="7">
        <v>1</v>
      </c>
      <c r="G478" s="7">
        <v>1</v>
      </c>
      <c r="H478" s="7"/>
      <c r="I478" s="9">
        <f t="shared" si="63"/>
        <v>2</v>
      </c>
      <c r="J478" s="9">
        <f t="shared" si="64"/>
        <v>1</v>
      </c>
      <c r="K478" s="10" t="s">
        <v>673</v>
      </c>
      <c r="L478" s="11" t="s">
        <v>234</v>
      </c>
      <c r="M478" s="11"/>
      <c r="N478" s="11"/>
      <c r="O478" s="11"/>
      <c r="P478" s="121"/>
      <c r="Q478" s="121"/>
      <c r="R478" s="11"/>
      <c r="S478" s="11" t="s">
        <v>1181</v>
      </c>
      <c r="T478" s="157"/>
    </row>
    <row r="479" spans="1:20" x14ac:dyDescent="0.2">
      <c r="A479" s="33" t="s">
        <v>879</v>
      </c>
      <c r="B479" s="7">
        <f t="shared" ref="B479:B556" si="65">C478+1</f>
        <v>3137</v>
      </c>
      <c r="C479" s="7">
        <f t="shared" si="62"/>
        <v>3137</v>
      </c>
      <c r="D479" s="9" t="s">
        <v>895</v>
      </c>
      <c r="E479" s="8" t="s">
        <v>417</v>
      </c>
      <c r="F479" s="7">
        <v>1</v>
      </c>
      <c r="G479" s="7">
        <v>1</v>
      </c>
      <c r="H479" s="7"/>
      <c r="I479" s="9">
        <f t="shared" si="63"/>
        <v>2</v>
      </c>
      <c r="J479" s="9">
        <f t="shared" si="64"/>
        <v>1</v>
      </c>
      <c r="K479" s="10" t="s">
        <v>673</v>
      </c>
      <c r="L479" s="11" t="s">
        <v>234</v>
      </c>
      <c r="M479" s="11"/>
      <c r="N479" s="11"/>
      <c r="O479" s="11"/>
      <c r="P479" s="121"/>
      <c r="Q479" s="121"/>
      <c r="R479" s="11"/>
      <c r="S479" s="11" t="s">
        <v>1181</v>
      </c>
      <c r="T479" s="157"/>
    </row>
    <row r="480" spans="1:20" x14ac:dyDescent="0.2">
      <c r="A480" s="33" t="s">
        <v>879</v>
      </c>
      <c r="B480" s="7">
        <f t="shared" si="65"/>
        <v>3138</v>
      </c>
      <c r="C480" s="7">
        <f t="shared" si="62"/>
        <v>3138</v>
      </c>
      <c r="D480" s="9" t="s">
        <v>895</v>
      </c>
      <c r="E480" s="8" t="s">
        <v>837</v>
      </c>
      <c r="F480" s="7">
        <v>1</v>
      </c>
      <c r="G480" s="7">
        <v>1</v>
      </c>
      <c r="H480" s="7"/>
      <c r="I480" s="9">
        <f t="shared" si="63"/>
        <v>2</v>
      </c>
      <c r="J480" s="9">
        <f t="shared" si="64"/>
        <v>1</v>
      </c>
      <c r="K480" s="10" t="s">
        <v>673</v>
      </c>
      <c r="L480" s="11" t="s">
        <v>234</v>
      </c>
      <c r="M480" s="11"/>
      <c r="N480" s="11"/>
      <c r="O480" s="11"/>
      <c r="P480" s="121"/>
      <c r="Q480" s="121"/>
      <c r="R480" s="11"/>
      <c r="S480" s="11" t="s">
        <v>1181</v>
      </c>
      <c r="T480" s="157"/>
    </row>
    <row r="481" spans="1:20" x14ac:dyDescent="0.2">
      <c r="A481" s="33" t="s">
        <v>879</v>
      </c>
      <c r="B481" s="7">
        <f>C480+1</f>
        <v>3139</v>
      </c>
      <c r="C481" s="7">
        <f>B481+($F481*$G481)-1</f>
        <v>3139</v>
      </c>
      <c r="D481" s="9" t="s">
        <v>895</v>
      </c>
      <c r="E481" s="8" t="s">
        <v>434</v>
      </c>
      <c r="F481" s="7">
        <v>1</v>
      </c>
      <c r="G481" s="7">
        <v>1</v>
      </c>
      <c r="H481" s="7"/>
      <c r="I481" s="9">
        <f t="shared" si="63"/>
        <v>2</v>
      </c>
      <c r="J481" s="9">
        <f t="shared" si="64"/>
        <v>1</v>
      </c>
      <c r="K481" s="10" t="s">
        <v>673</v>
      </c>
      <c r="L481" s="11" t="s">
        <v>234</v>
      </c>
      <c r="M481" s="11"/>
      <c r="N481" s="11"/>
      <c r="O481" s="11"/>
      <c r="P481" s="123"/>
      <c r="Q481" s="121"/>
      <c r="R481" s="11"/>
      <c r="S481" s="11" t="s">
        <v>1181</v>
      </c>
      <c r="T481" s="157"/>
    </row>
    <row r="482" spans="1:20" ht="11.45" customHeight="1" x14ac:dyDescent="0.2">
      <c r="A482" s="33" t="s">
        <v>879</v>
      </c>
      <c r="B482" s="7">
        <f>C481+1</f>
        <v>3140</v>
      </c>
      <c r="C482" s="7">
        <f t="shared" si="62"/>
        <v>3140</v>
      </c>
      <c r="D482" s="9" t="s">
        <v>895</v>
      </c>
      <c r="E482" s="8" t="s">
        <v>838</v>
      </c>
      <c r="F482" s="7">
        <v>1</v>
      </c>
      <c r="G482" s="7">
        <v>1</v>
      </c>
      <c r="H482" s="7"/>
      <c r="I482" s="9">
        <f t="shared" si="63"/>
        <v>2</v>
      </c>
      <c r="J482" s="9">
        <f t="shared" si="64"/>
        <v>1</v>
      </c>
      <c r="K482" s="10" t="s">
        <v>673</v>
      </c>
      <c r="L482" s="11" t="s">
        <v>234</v>
      </c>
      <c r="M482" s="11"/>
      <c r="N482" s="11"/>
      <c r="O482" s="11"/>
      <c r="P482" s="123"/>
      <c r="Q482" s="121"/>
      <c r="R482" s="11"/>
      <c r="S482" s="11" t="s">
        <v>1181</v>
      </c>
      <c r="T482" s="157"/>
    </row>
    <row r="483" spans="1:20" ht="11.45" customHeight="1" x14ac:dyDescent="0.2">
      <c r="A483" s="33" t="s">
        <v>879</v>
      </c>
      <c r="B483" s="7">
        <f t="shared" si="65"/>
        <v>3141</v>
      </c>
      <c r="C483" s="7">
        <f t="shared" si="62"/>
        <v>3141</v>
      </c>
      <c r="D483" s="9" t="s">
        <v>895</v>
      </c>
      <c r="E483" s="8" t="s">
        <v>839</v>
      </c>
      <c r="F483" s="7">
        <v>1</v>
      </c>
      <c r="G483" s="7">
        <v>1</v>
      </c>
      <c r="H483" s="7"/>
      <c r="I483" s="9">
        <f t="shared" si="63"/>
        <v>2</v>
      </c>
      <c r="J483" s="9">
        <f t="shared" si="64"/>
        <v>1</v>
      </c>
      <c r="K483" s="10" t="s">
        <v>673</v>
      </c>
      <c r="L483" s="11" t="s">
        <v>234</v>
      </c>
      <c r="M483" s="11"/>
      <c r="N483" s="11"/>
      <c r="O483" s="11"/>
      <c r="P483" s="121"/>
      <c r="Q483" s="121"/>
      <c r="R483" s="11"/>
      <c r="S483" s="11" t="s">
        <v>1181</v>
      </c>
      <c r="T483" s="157"/>
    </row>
    <row r="484" spans="1:20" ht="11.45" customHeight="1" x14ac:dyDescent="0.2">
      <c r="A484" s="33" t="s">
        <v>879</v>
      </c>
      <c r="B484" s="7">
        <f t="shared" si="65"/>
        <v>3142</v>
      </c>
      <c r="C484" s="7">
        <f t="shared" si="62"/>
        <v>3142</v>
      </c>
      <c r="D484" s="9" t="s">
        <v>895</v>
      </c>
      <c r="E484" s="8" t="s">
        <v>418</v>
      </c>
      <c r="F484" s="7">
        <v>1</v>
      </c>
      <c r="G484" s="7">
        <v>1</v>
      </c>
      <c r="H484" s="7"/>
      <c r="I484" s="9">
        <f t="shared" si="63"/>
        <v>2</v>
      </c>
      <c r="J484" s="9">
        <f t="shared" si="64"/>
        <v>1</v>
      </c>
      <c r="K484" s="10" t="s">
        <v>673</v>
      </c>
      <c r="L484" s="11" t="s">
        <v>234</v>
      </c>
      <c r="M484" s="11"/>
      <c r="N484" s="11"/>
      <c r="O484" s="11"/>
      <c r="P484" s="121"/>
      <c r="Q484" s="121"/>
      <c r="R484" s="11"/>
      <c r="S484" s="11" t="s">
        <v>1181</v>
      </c>
      <c r="T484" s="157"/>
    </row>
    <row r="485" spans="1:20" ht="11.45" customHeight="1" x14ac:dyDescent="0.2">
      <c r="A485" s="33" t="s">
        <v>879</v>
      </c>
      <c r="B485" s="7">
        <f>C484+1</f>
        <v>3143</v>
      </c>
      <c r="C485" s="7">
        <f t="shared" si="62"/>
        <v>3143</v>
      </c>
      <c r="D485" s="9" t="s">
        <v>895</v>
      </c>
      <c r="E485" s="8" t="s">
        <v>840</v>
      </c>
      <c r="F485" s="7">
        <v>1</v>
      </c>
      <c r="G485" s="7">
        <v>1</v>
      </c>
      <c r="H485" s="7"/>
      <c r="I485" s="9">
        <f t="shared" si="63"/>
        <v>2</v>
      </c>
      <c r="J485" s="9">
        <f t="shared" si="64"/>
        <v>1</v>
      </c>
      <c r="K485" s="10" t="s">
        <v>673</v>
      </c>
      <c r="L485" s="11" t="s">
        <v>234</v>
      </c>
      <c r="M485" s="11"/>
      <c r="N485" s="11"/>
      <c r="O485" s="11"/>
      <c r="P485" s="121"/>
      <c r="Q485" s="121"/>
      <c r="R485" s="11"/>
      <c r="S485" s="11" t="s">
        <v>1181</v>
      </c>
      <c r="T485" s="157"/>
    </row>
    <row r="486" spans="1:20" ht="11.45" customHeight="1" x14ac:dyDescent="0.2">
      <c r="A486" s="33" t="s">
        <v>879</v>
      </c>
      <c r="B486" s="7">
        <f>C485+1</f>
        <v>3144</v>
      </c>
      <c r="C486" s="7">
        <f>B486+($F486*$G486)-1</f>
        <v>3144</v>
      </c>
      <c r="D486" s="9" t="s">
        <v>895</v>
      </c>
      <c r="E486" s="8" t="s">
        <v>435</v>
      </c>
      <c r="F486" s="7">
        <v>1</v>
      </c>
      <c r="G486" s="7">
        <v>1</v>
      </c>
      <c r="H486" s="7"/>
      <c r="I486" s="9">
        <f t="shared" si="63"/>
        <v>2</v>
      </c>
      <c r="J486" s="9">
        <f t="shared" si="64"/>
        <v>1</v>
      </c>
      <c r="K486" s="10" t="s">
        <v>673</v>
      </c>
      <c r="L486" s="11" t="s">
        <v>234</v>
      </c>
      <c r="M486" s="11"/>
      <c r="N486" s="11"/>
      <c r="O486" s="11"/>
      <c r="P486" s="123"/>
      <c r="Q486" s="121"/>
      <c r="R486" s="11"/>
      <c r="S486" s="11" t="s">
        <v>1181</v>
      </c>
      <c r="T486" s="157"/>
    </row>
    <row r="487" spans="1:20" ht="11.45" customHeight="1" x14ac:dyDescent="0.2">
      <c r="A487" s="33" t="s">
        <v>879</v>
      </c>
      <c r="B487" s="7">
        <f>C486+1</f>
        <v>3145</v>
      </c>
      <c r="C487" s="7">
        <f t="shared" si="62"/>
        <v>3145</v>
      </c>
      <c r="D487" s="9" t="s">
        <v>895</v>
      </c>
      <c r="E487" s="8" t="s">
        <v>841</v>
      </c>
      <c r="F487" s="7">
        <v>1</v>
      </c>
      <c r="G487" s="7">
        <v>1</v>
      </c>
      <c r="H487" s="7"/>
      <c r="I487" s="9">
        <f t="shared" si="63"/>
        <v>2</v>
      </c>
      <c r="J487" s="9">
        <f t="shared" si="64"/>
        <v>1</v>
      </c>
      <c r="K487" s="10" t="s">
        <v>673</v>
      </c>
      <c r="L487" s="11" t="s">
        <v>234</v>
      </c>
      <c r="M487" s="11"/>
      <c r="N487" s="11"/>
      <c r="O487" s="11"/>
      <c r="P487" s="123"/>
      <c r="Q487" s="121"/>
      <c r="R487" s="11"/>
      <c r="S487" s="11" t="s">
        <v>1181</v>
      </c>
      <c r="T487" s="157"/>
    </row>
    <row r="488" spans="1:20" ht="11.45" customHeight="1" x14ac:dyDescent="0.2">
      <c r="A488" s="33" t="s">
        <v>879</v>
      </c>
      <c r="B488" s="7">
        <f t="shared" si="65"/>
        <v>3146</v>
      </c>
      <c r="C488" s="7">
        <f t="shared" si="62"/>
        <v>3146</v>
      </c>
      <c r="D488" s="9" t="s">
        <v>895</v>
      </c>
      <c r="E488" s="8" t="s">
        <v>842</v>
      </c>
      <c r="F488" s="7">
        <v>1</v>
      </c>
      <c r="G488" s="7">
        <v>1</v>
      </c>
      <c r="H488" s="7"/>
      <c r="I488" s="9">
        <f t="shared" si="63"/>
        <v>2</v>
      </c>
      <c r="J488" s="9">
        <f t="shared" si="64"/>
        <v>1</v>
      </c>
      <c r="K488" s="10" t="s">
        <v>673</v>
      </c>
      <c r="L488" s="11" t="s">
        <v>234</v>
      </c>
      <c r="M488" s="11"/>
      <c r="N488" s="11"/>
      <c r="O488" s="11"/>
      <c r="P488" s="121"/>
      <c r="Q488" s="121"/>
      <c r="R488" s="11"/>
      <c r="S488" s="11" t="s">
        <v>1181</v>
      </c>
      <c r="T488" s="157"/>
    </row>
    <row r="489" spans="1:20" ht="11.45" customHeight="1" x14ac:dyDescent="0.2">
      <c r="A489" s="33" t="s">
        <v>879</v>
      </c>
      <c r="B489" s="7">
        <f t="shared" si="65"/>
        <v>3147</v>
      </c>
      <c r="C489" s="7">
        <f t="shared" si="62"/>
        <v>3147</v>
      </c>
      <c r="D489" s="9" t="s">
        <v>895</v>
      </c>
      <c r="E489" s="8" t="s">
        <v>419</v>
      </c>
      <c r="F489" s="7">
        <v>1</v>
      </c>
      <c r="G489" s="7">
        <v>1</v>
      </c>
      <c r="H489" s="7"/>
      <c r="I489" s="9">
        <f t="shared" si="63"/>
        <v>2</v>
      </c>
      <c r="J489" s="9">
        <f t="shared" si="64"/>
        <v>1</v>
      </c>
      <c r="K489" s="10" t="s">
        <v>673</v>
      </c>
      <c r="L489" s="11" t="s">
        <v>234</v>
      </c>
      <c r="M489" s="11"/>
      <c r="N489" s="11"/>
      <c r="O489" s="11"/>
      <c r="P489" s="121"/>
      <c r="Q489" s="121"/>
      <c r="R489" s="11"/>
      <c r="S489" s="11" t="s">
        <v>1181</v>
      </c>
      <c r="T489" s="157"/>
    </row>
    <row r="490" spans="1:20" ht="11.45" customHeight="1" x14ac:dyDescent="0.2">
      <c r="A490" s="33" t="s">
        <v>879</v>
      </c>
      <c r="B490" s="7">
        <f t="shared" si="65"/>
        <v>3148</v>
      </c>
      <c r="C490" s="7">
        <f t="shared" si="62"/>
        <v>3148</v>
      </c>
      <c r="D490" s="9" t="s">
        <v>895</v>
      </c>
      <c r="E490" s="8" t="s">
        <v>843</v>
      </c>
      <c r="F490" s="7">
        <v>1</v>
      </c>
      <c r="G490" s="7">
        <v>1</v>
      </c>
      <c r="H490" s="7"/>
      <c r="I490" s="9">
        <f t="shared" si="63"/>
        <v>2</v>
      </c>
      <c r="J490" s="9">
        <f t="shared" si="64"/>
        <v>1</v>
      </c>
      <c r="K490" s="10" t="s">
        <v>673</v>
      </c>
      <c r="L490" s="11" t="s">
        <v>234</v>
      </c>
      <c r="M490" s="11"/>
      <c r="N490" s="11"/>
      <c r="O490" s="11"/>
      <c r="P490" s="121"/>
      <c r="Q490" s="121"/>
      <c r="R490" s="11"/>
      <c r="S490" s="11" t="s">
        <v>1181</v>
      </c>
      <c r="T490" s="157"/>
    </row>
    <row r="491" spans="1:20" ht="11.45" customHeight="1" x14ac:dyDescent="0.2">
      <c r="A491" s="33" t="s">
        <v>879</v>
      </c>
      <c r="B491" s="7">
        <f>C490+1</f>
        <v>3149</v>
      </c>
      <c r="C491" s="7">
        <f>B491+($F491*$G491)-1</f>
        <v>3149</v>
      </c>
      <c r="D491" s="9" t="s">
        <v>895</v>
      </c>
      <c r="E491" s="8" t="s">
        <v>436</v>
      </c>
      <c r="F491" s="7">
        <v>1</v>
      </c>
      <c r="G491" s="7">
        <v>1</v>
      </c>
      <c r="H491" s="7"/>
      <c r="I491" s="9">
        <f t="shared" si="63"/>
        <v>2</v>
      </c>
      <c r="J491" s="9">
        <f t="shared" si="64"/>
        <v>1</v>
      </c>
      <c r="K491" s="10" t="s">
        <v>673</v>
      </c>
      <c r="L491" s="11" t="s">
        <v>234</v>
      </c>
      <c r="M491" s="11"/>
      <c r="N491" s="11"/>
      <c r="O491" s="11"/>
      <c r="P491" s="123"/>
      <c r="Q491" s="121"/>
      <c r="R491" s="11"/>
      <c r="S491" s="11" t="s">
        <v>1181</v>
      </c>
      <c r="T491" s="157"/>
    </row>
    <row r="492" spans="1:20" ht="11.45" customHeight="1" x14ac:dyDescent="0.2">
      <c r="A492" s="33" t="s">
        <v>879</v>
      </c>
      <c r="B492" s="7">
        <f>C491+1</f>
        <v>3150</v>
      </c>
      <c r="C492" s="7">
        <f t="shared" si="62"/>
        <v>3150</v>
      </c>
      <c r="D492" s="9" t="s">
        <v>895</v>
      </c>
      <c r="E492" s="8" t="s">
        <v>520</v>
      </c>
      <c r="F492" s="7">
        <v>1</v>
      </c>
      <c r="G492" s="7">
        <v>1</v>
      </c>
      <c r="H492" s="7"/>
      <c r="I492" s="9">
        <f t="shared" si="63"/>
        <v>2</v>
      </c>
      <c r="J492" s="9">
        <f t="shared" si="64"/>
        <v>1</v>
      </c>
      <c r="K492" s="10" t="s">
        <v>673</v>
      </c>
      <c r="L492" s="11" t="s">
        <v>234</v>
      </c>
      <c r="M492" s="11"/>
      <c r="N492" s="11"/>
      <c r="O492" s="11"/>
      <c r="P492" s="123"/>
      <c r="Q492" s="121"/>
      <c r="R492" s="11"/>
      <c r="S492" s="11" t="s">
        <v>1181</v>
      </c>
      <c r="T492" s="157"/>
    </row>
    <row r="493" spans="1:20" ht="11.45" customHeight="1" x14ac:dyDescent="0.2">
      <c r="A493" s="33" t="s">
        <v>879</v>
      </c>
      <c r="B493" s="7">
        <f>C492+1</f>
        <v>3151</v>
      </c>
      <c r="C493" s="7">
        <f t="shared" si="62"/>
        <v>3151</v>
      </c>
      <c r="D493" s="9" t="s">
        <v>895</v>
      </c>
      <c r="E493" s="8" t="s">
        <v>521</v>
      </c>
      <c r="F493" s="7">
        <v>1</v>
      </c>
      <c r="G493" s="7">
        <v>1</v>
      </c>
      <c r="H493" s="7"/>
      <c r="I493" s="9">
        <f t="shared" si="63"/>
        <v>2</v>
      </c>
      <c r="J493" s="9">
        <f t="shared" si="64"/>
        <v>1</v>
      </c>
      <c r="K493" s="10" t="s">
        <v>673</v>
      </c>
      <c r="L493" s="11" t="s">
        <v>234</v>
      </c>
      <c r="M493" s="11"/>
      <c r="N493" s="11"/>
      <c r="O493" s="11"/>
      <c r="P493" s="121"/>
      <c r="Q493" s="121"/>
      <c r="R493" s="11"/>
      <c r="S493" s="11" t="s">
        <v>1181</v>
      </c>
      <c r="T493" s="157"/>
    </row>
    <row r="494" spans="1:20" ht="11.45" customHeight="1" x14ac:dyDescent="0.2">
      <c r="A494" s="33" t="s">
        <v>879</v>
      </c>
      <c r="B494" s="7">
        <f t="shared" si="65"/>
        <v>3152</v>
      </c>
      <c r="C494" s="7">
        <f t="shared" si="62"/>
        <v>3152</v>
      </c>
      <c r="D494" s="9" t="s">
        <v>895</v>
      </c>
      <c r="E494" s="8" t="s">
        <v>420</v>
      </c>
      <c r="F494" s="7">
        <v>1</v>
      </c>
      <c r="G494" s="7">
        <v>1</v>
      </c>
      <c r="H494" s="7"/>
      <c r="I494" s="9">
        <f t="shared" si="63"/>
        <v>2</v>
      </c>
      <c r="J494" s="9">
        <f t="shared" si="64"/>
        <v>1</v>
      </c>
      <c r="K494" s="10" t="s">
        <v>673</v>
      </c>
      <c r="L494" s="11" t="s">
        <v>234</v>
      </c>
      <c r="M494" s="11"/>
      <c r="N494" s="11"/>
      <c r="O494" s="11"/>
      <c r="P494" s="121"/>
      <c r="Q494" s="121"/>
      <c r="R494" s="11"/>
      <c r="S494" s="11" t="s">
        <v>1181</v>
      </c>
      <c r="T494" s="157"/>
    </row>
    <row r="495" spans="1:20" ht="11.45" customHeight="1" x14ac:dyDescent="0.2">
      <c r="A495" s="33" t="s">
        <v>879</v>
      </c>
      <c r="B495" s="7">
        <f t="shared" si="65"/>
        <v>3153</v>
      </c>
      <c r="C495" s="7">
        <f t="shared" si="62"/>
        <v>3153</v>
      </c>
      <c r="D495" s="9" t="s">
        <v>895</v>
      </c>
      <c r="E495" s="8" t="s">
        <v>522</v>
      </c>
      <c r="F495" s="7">
        <v>1</v>
      </c>
      <c r="G495" s="7">
        <v>1</v>
      </c>
      <c r="H495" s="7"/>
      <c r="I495" s="9">
        <f t="shared" si="63"/>
        <v>2</v>
      </c>
      <c r="J495" s="9">
        <f t="shared" si="64"/>
        <v>1</v>
      </c>
      <c r="K495" s="10" t="s">
        <v>673</v>
      </c>
      <c r="L495" s="11" t="s">
        <v>234</v>
      </c>
      <c r="M495" s="11"/>
      <c r="N495" s="11"/>
      <c r="O495" s="11"/>
      <c r="P495" s="121"/>
      <c r="Q495" s="121"/>
      <c r="R495" s="11"/>
      <c r="S495" s="11" t="s">
        <v>1181</v>
      </c>
      <c r="T495" s="157"/>
    </row>
    <row r="496" spans="1:20" ht="11.45" customHeight="1" x14ac:dyDescent="0.2">
      <c r="A496" s="33" t="s">
        <v>879</v>
      </c>
      <c r="B496" s="7">
        <f>C495+1</f>
        <v>3154</v>
      </c>
      <c r="C496" s="7">
        <f>B496+($F496*$G496)-1</f>
        <v>3154</v>
      </c>
      <c r="D496" s="9" t="s">
        <v>895</v>
      </c>
      <c r="E496" s="8" t="s">
        <v>437</v>
      </c>
      <c r="F496" s="7">
        <v>1</v>
      </c>
      <c r="G496" s="7">
        <v>1</v>
      </c>
      <c r="H496" s="7"/>
      <c r="I496" s="9">
        <f t="shared" si="63"/>
        <v>2</v>
      </c>
      <c r="J496" s="9">
        <f t="shared" si="64"/>
        <v>1</v>
      </c>
      <c r="K496" s="10" t="s">
        <v>673</v>
      </c>
      <c r="L496" s="11" t="s">
        <v>234</v>
      </c>
      <c r="M496" s="11"/>
      <c r="N496" s="11"/>
      <c r="O496" s="11"/>
      <c r="P496" s="123"/>
      <c r="Q496" s="121"/>
      <c r="R496" s="11"/>
      <c r="S496" s="11" t="s">
        <v>1181</v>
      </c>
      <c r="T496" s="157"/>
    </row>
    <row r="497" spans="1:20" ht="11.45" customHeight="1" x14ac:dyDescent="0.2">
      <c r="A497" s="33" t="s">
        <v>879</v>
      </c>
      <c r="B497" s="7">
        <f>C496+1</f>
        <v>3155</v>
      </c>
      <c r="C497" s="7">
        <f t="shared" si="62"/>
        <v>3155</v>
      </c>
      <c r="D497" s="9" t="s">
        <v>895</v>
      </c>
      <c r="E497" s="8" t="s">
        <v>523</v>
      </c>
      <c r="F497" s="7">
        <v>1</v>
      </c>
      <c r="G497" s="7">
        <v>1</v>
      </c>
      <c r="H497" s="7"/>
      <c r="I497" s="9">
        <f t="shared" si="63"/>
        <v>2</v>
      </c>
      <c r="J497" s="9">
        <f t="shared" si="64"/>
        <v>1</v>
      </c>
      <c r="K497" s="10" t="s">
        <v>673</v>
      </c>
      <c r="L497" s="11" t="s">
        <v>234</v>
      </c>
      <c r="M497" s="11"/>
      <c r="N497" s="11"/>
      <c r="O497" s="11"/>
      <c r="P497" s="123"/>
      <c r="Q497" s="121"/>
      <c r="R497" s="11"/>
      <c r="S497" s="11" t="s">
        <v>1181</v>
      </c>
      <c r="T497" s="157"/>
    </row>
    <row r="498" spans="1:20" ht="11.45" customHeight="1" x14ac:dyDescent="0.2">
      <c r="A498" s="33" t="s">
        <v>879</v>
      </c>
      <c r="B498" s="7">
        <f>C497+1</f>
        <v>3156</v>
      </c>
      <c r="C498" s="7">
        <f t="shared" si="62"/>
        <v>3156</v>
      </c>
      <c r="D498" s="9" t="s">
        <v>895</v>
      </c>
      <c r="E498" s="8" t="s">
        <v>524</v>
      </c>
      <c r="F498" s="7">
        <v>1</v>
      </c>
      <c r="G498" s="7">
        <v>1</v>
      </c>
      <c r="H498" s="7"/>
      <c r="I498" s="9">
        <f t="shared" si="63"/>
        <v>2</v>
      </c>
      <c r="J498" s="9">
        <f t="shared" si="64"/>
        <v>1</v>
      </c>
      <c r="K498" s="10" t="s">
        <v>673</v>
      </c>
      <c r="L498" s="11" t="s">
        <v>234</v>
      </c>
      <c r="M498" s="11"/>
      <c r="N498" s="11"/>
      <c r="O498" s="11"/>
      <c r="P498" s="121"/>
      <c r="Q498" s="121"/>
      <c r="R498" s="11"/>
      <c r="S498" s="11" t="s">
        <v>1181</v>
      </c>
      <c r="T498" s="157"/>
    </row>
    <row r="499" spans="1:20" ht="11.45" customHeight="1" x14ac:dyDescent="0.2">
      <c r="A499" s="33" t="s">
        <v>879</v>
      </c>
      <c r="B499" s="7">
        <f t="shared" si="65"/>
        <v>3157</v>
      </c>
      <c r="C499" s="7">
        <f t="shared" si="62"/>
        <v>3157</v>
      </c>
      <c r="D499" s="9" t="s">
        <v>895</v>
      </c>
      <c r="E499" s="8" t="s">
        <v>421</v>
      </c>
      <c r="F499" s="7">
        <v>1</v>
      </c>
      <c r="G499" s="7">
        <v>1</v>
      </c>
      <c r="H499" s="7"/>
      <c r="I499" s="9">
        <f t="shared" si="63"/>
        <v>2</v>
      </c>
      <c r="J499" s="9">
        <f t="shared" si="64"/>
        <v>1</v>
      </c>
      <c r="K499" s="10" t="s">
        <v>673</v>
      </c>
      <c r="L499" s="11" t="s">
        <v>234</v>
      </c>
      <c r="M499" s="11"/>
      <c r="N499" s="11"/>
      <c r="O499" s="11"/>
      <c r="P499" s="121"/>
      <c r="Q499" s="121"/>
      <c r="R499" s="11"/>
      <c r="S499" s="11" t="s">
        <v>1181</v>
      </c>
      <c r="T499" s="157"/>
    </row>
    <row r="500" spans="1:20" ht="11.45" customHeight="1" x14ac:dyDescent="0.2">
      <c r="A500" s="33" t="s">
        <v>879</v>
      </c>
      <c r="B500" s="7">
        <f>C499+1</f>
        <v>3158</v>
      </c>
      <c r="C500" s="7">
        <f t="shared" si="62"/>
        <v>3158</v>
      </c>
      <c r="D500" s="9" t="s">
        <v>895</v>
      </c>
      <c r="E500" s="8" t="s">
        <v>525</v>
      </c>
      <c r="F500" s="7">
        <v>1</v>
      </c>
      <c r="G500" s="7">
        <v>1</v>
      </c>
      <c r="H500" s="7"/>
      <c r="I500" s="9">
        <f t="shared" si="63"/>
        <v>2</v>
      </c>
      <c r="J500" s="9">
        <f t="shared" si="64"/>
        <v>1</v>
      </c>
      <c r="K500" s="10" t="s">
        <v>673</v>
      </c>
      <c r="L500" s="11" t="s">
        <v>234</v>
      </c>
      <c r="M500" s="11"/>
      <c r="N500" s="11"/>
      <c r="O500" s="11"/>
      <c r="P500" s="121"/>
      <c r="Q500" s="121"/>
      <c r="R500" s="11"/>
      <c r="S500" s="11" t="s">
        <v>1181</v>
      </c>
      <c r="T500" s="157"/>
    </row>
    <row r="501" spans="1:20" ht="11.45" customHeight="1" x14ac:dyDescent="0.2">
      <c r="A501" s="33" t="s">
        <v>879</v>
      </c>
      <c r="B501" s="7">
        <f>C500+1</f>
        <v>3159</v>
      </c>
      <c r="C501" s="7">
        <f>B501+($F501*$G501)-1</f>
        <v>3159</v>
      </c>
      <c r="D501" s="9" t="s">
        <v>895</v>
      </c>
      <c r="E501" s="8" t="s">
        <v>438</v>
      </c>
      <c r="F501" s="7">
        <v>1</v>
      </c>
      <c r="G501" s="7">
        <v>1</v>
      </c>
      <c r="H501" s="7"/>
      <c r="I501" s="9">
        <f t="shared" si="63"/>
        <v>2</v>
      </c>
      <c r="J501" s="9">
        <f t="shared" si="64"/>
        <v>1</v>
      </c>
      <c r="K501" s="10" t="s">
        <v>673</v>
      </c>
      <c r="L501" s="11" t="s">
        <v>234</v>
      </c>
      <c r="M501" s="11"/>
      <c r="N501" s="11"/>
      <c r="O501" s="11"/>
      <c r="P501" s="123"/>
      <c r="Q501" s="121"/>
      <c r="R501" s="11"/>
      <c r="S501" s="11" t="s">
        <v>1181</v>
      </c>
      <c r="T501" s="157"/>
    </row>
    <row r="502" spans="1:20" ht="11.45" customHeight="1" x14ac:dyDescent="0.2">
      <c r="A502" s="33" t="s">
        <v>879</v>
      </c>
      <c r="B502" s="7">
        <f>C501+1</f>
        <v>3160</v>
      </c>
      <c r="C502" s="7">
        <f t="shared" si="62"/>
        <v>3160</v>
      </c>
      <c r="D502" s="9" t="s">
        <v>895</v>
      </c>
      <c r="E502" s="8" t="s">
        <v>526</v>
      </c>
      <c r="F502" s="7">
        <v>1</v>
      </c>
      <c r="G502" s="7">
        <v>1</v>
      </c>
      <c r="H502" s="7"/>
      <c r="I502" s="9">
        <f t="shared" si="63"/>
        <v>2</v>
      </c>
      <c r="J502" s="9">
        <f t="shared" si="64"/>
        <v>1</v>
      </c>
      <c r="K502" s="10" t="s">
        <v>673</v>
      </c>
      <c r="L502" s="11" t="s">
        <v>234</v>
      </c>
      <c r="M502" s="11"/>
      <c r="N502" s="11"/>
      <c r="O502" s="11"/>
      <c r="P502" s="123"/>
      <c r="Q502" s="121"/>
      <c r="R502" s="11"/>
      <c r="S502" s="11" t="s">
        <v>1181</v>
      </c>
      <c r="T502" s="157"/>
    </row>
    <row r="503" spans="1:20" ht="11.45" customHeight="1" x14ac:dyDescent="0.2">
      <c r="A503" s="33" t="s">
        <v>879</v>
      </c>
      <c r="B503" s="7">
        <f>C502+1</f>
        <v>3161</v>
      </c>
      <c r="C503" s="7">
        <f t="shared" si="62"/>
        <v>3161</v>
      </c>
      <c r="D503" s="9" t="s">
        <v>895</v>
      </c>
      <c r="E503" s="8" t="s">
        <v>527</v>
      </c>
      <c r="F503" s="7">
        <v>1</v>
      </c>
      <c r="G503" s="7">
        <v>1</v>
      </c>
      <c r="H503" s="7"/>
      <c r="I503" s="9">
        <f t="shared" si="63"/>
        <v>2</v>
      </c>
      <c r="J503" s="9">
        <f t="shared" si="64"/>
        <v>1</v>
      </c>
      <c r="K503" s="10" t="s">
        <v>673</v>
      </c>
      <c r="L503" s="11" t="s">
        <v>234</v>
      </c>
      <c r="M503" s="11"/>
      <c r="N503" s="11"/>
      <c r="O503" s="11"/>
      <c r="P503" s="121"/>
      <c r="Q503" s="121"/>
      <c r="R503" s="11"/>
      <c r="S503" s="11" t="s">
        <v>1181</v>
      </c>
      <c r="T503" s="157"/>
    </row>
    <row r="504" spans="1:20" ht="11.45" customHeight="1" x14ac:dyDescent="0.2">
      <c r="A504" s="33" t="s">
        <v>879</v>
      </c>
      <c r="B504" s="7">
        <f t="shared" si="65"/>
        <v>3162</v>
      </c>
      <c r="C504" s="7">
        <f t="shared" si="62"/>
        <v>3162</v>
      </c>
      <c r="D504" s="9" t="s">
        <v>895</v>
      </c>
      <c r="E504" s="8" t="s">
        <v>432</v>
      </c>
      <c r="F504" s="7">
        <v>1</v>
      </c>
      <c r="G504" s="7">
        <v>1</v>
      </c>
      <c r="H504" s="7"/>
      <c r="I504" s="9">
        <f t="shared" si="63"/>
        <v>2</v>
      </c>
      <c r="J504" s="9">
        <f t="shared" si="64"/>
        <v>1</v>
      </c>
      <c r="K504" s="10" t="s">
        <v>673</v>
      </c>
      <c r="L504" s="11" t="s">
        <v>234</v>
      </c>
      <c r="M504" s="11"/>
      <c r="N504" s="11"/>
      <c r="O504" s="11"/>
      <c r="P504" s="121"/>
      <c r="Q504" s="121"/>
      <c r="R504" s="11"/>
      <c r="S504" s="11" t="s">
        <v>1181</v>
      </c>
      <c r="T504" s="157"/>
    </row>
    <row r="505" spans="1:20" ht="11.45" customHeight="1" x14ac:dyDescent="0.2">
      <c r="A505" s="33" t="s">
        <v>879</v>
      </c>
      <c r="B505" s="7">
        <f>C504+1</f>
        <v>3163</v>
      </c>
      <c r="C505" s="7">
        <f t="shared" si="62"/>
        <v>3163</v>
      </c>
      <c r="D505" s="9" t="s">
        <v>895</v>
      </c>
      <c r="E505" s="8" t="s">
        <v>528</v>
      </c>
      <c r="F505" s="7">
        <v>1</v>
      </c>
      <c r="G505" s="7">
        <v>1</v>
      </c>
      <c r="H505" s="7"/>
      <c r="I505" s="9">
        <f t="shared" si="63"/>
        <v>2</v>
      </c>
      <c r="J505" s="9">
        <f t="shared" si="64"/>
        <v>1</v>
      </c>
      <c r="K505" s="10" t="s">
        <v>673</v>
      </c>
      <c r="L505" s="11" t="s">
        <v>234</v>
      </c>
      <c r="M505" s="11"/>
      <c r="N505" s="11"/>
      <c r="O505" s="11"/>
      <c r="P505" s="121"/>
      <c r="Q505" s="121"/>
      <c r="R505" s="11"/>
      <c r="S505" s="11" t="s">
        <v>1181</v>
      </c>
      <c r="T505" s="157"/>
    </row>
    <row r="506" spans="1:20" ht="11.45" customHeight="1" x14ac:dyDescent="0.2">
      <c r="A506" s="33" t="s">
        <v>879</v>
      </c>
      <c r="B506" s="7">
        <f>C505+1</f>
        <v>3164</v>
      </c>
      <c r="C506" s="7">
        <f>B506+($F506*$G506)-1</f>
        <v>3164</v>
      </c>
      <c r="D506" s="9" t="s">
        <v>895</v>
      </c>
      <c r="E506" s="8" t="s">
        <v>439</v>
      </c>
      <c r="F506" s="7">
        <v>1</v>
      </c>
      <c r="G506" s="7">
        <v>1</v>
      </c>
      <c r="H506" s="7"/>
      <c r="I506" s="9">
        <f t="shared" si="63"/>
        <v>2</v>
      </c>
      <c r="J506" s="9">
        <f t="shared" si="64"/>
        <v>1</v>
      </c>
      <c r="K506" s="10" t="s">
        <v>673</v>
      </c>
      <c r="L506" s="11" t="s">
        <v>234</v>
      </c>
      <c r="M506" s="11"/>
      <c r="N506" s="11"/>
      <c r="O506" s="11"/>
      <c r="P506" s="123"/>
      <c r="Q506" s="121"/>
      <c r="R506" s="11"/>
      <c r="S506" s="11" t="s">
        <v>1181</v>
      </c>
      <c r="T506" s="157"/>
    </row>
    <row r="507" spans="1:20" ht="11.45" customHeight="1" x14ac:dyDescent="0.2">
      <c r="A507" s="33" t="s">
        <v>879</v>
      </c>
      <c r="B507" s="7">
        <f>C506+1</f>
        <v>3165</v>
      </c>
      <c r="C507" s="7">
        <f t="shared" si="62"/>
        <v>3165</v>
      </c>
      <c r="D507" s="9" t="s">
        <v>895</v>
      </c>
      <c r="E507" s="8" t="s">
        <v>529</v>
      </c>
      <c r="F507" s="7">
        <v>1</v>
      </c>
      <c r="G507" s="7">
        <v>1</v>
      </c>
      <c r="H507" s="7"/>
      <c r="I507" s="9">
        <f t="shared" si="63"/>
        <v>2</v>
      </c>
      <c r="J507" s="9">
        <f t="shared" si="64"/>
        <v>1</v>
      </c>
      <c r="K507" s="10" t="s">
        <v>673</v>
      </c>
      <c r="L507" s="11" t="s">
        <v>234</v>
      </c>
      <c r="M507" s="11"/>
      <c r="N507" s="11"/>
      <c r="O507" s="11"/>
      <c r="P507" s="123"/>
      <c r="Q507" s="121"/>
      <c r="R507" s="11"/>
      <c r="S507" s="11" t="s">
        <v>1181</v>
      </c>
      <c r="T507" s="157"/>
    </row>
    <row r="508" spans="1:20" ht="11.45" customHeight="1" x14ac:dyDescent="0.2">
      <c r="A508" s="33" t="s">
        <v>879</v>
      </c>
      <c r="B508" s="7">
        <f>C507+1</f>
        <v>3166</v>
      </c>
      <c r="C508" s="7">
        <f t="shared" si="62"/>
        <v>3166</v>
      </c>
      <c r="D508" s="9" t="s">
        <v>895</v>
      </c>
      <c r="E508" s="8" t="s">
        <v>595</v>
      </c>
      <c r="F508" s="7">
        <v>1</v>
      </c>
      <c r="G508" s="7">
        <v>1</v>
      </c>
      <c r="H508" s="7"/>
      <c r="I508" s="9">
        <f t="shared" ref="I508:I539" si="66">F508*G508*2</f>
        <v>2</v>
      </c>
      <c r="J508" s="9">
        <f t="shared" ref="J508:J539" si="67">C508-B508+1</f>
        <v>1</v>
      </c>
      <c r="K508" s="10" t="s">
        <v>673</v>
      </c>
      <c r="L508" s="11" t="s">
        <v>234</v>
      </c>
      <c r="M508" s="11"/>
      <c r="N508" s="11"/>
      <c r="O508" s="11"/>
      <c r="P508" s="121"/>
      <c r="Q508" s="121"/>
      <c r="R508" s="11"/>
      <c r="S508" s="11" t="s">
        <v>1181</v>
      </c>
      <c r="T508" s="157"/>
    </row>
    <row r="509" spans="1:20" ht="11.45" customHeight="1" x14ac:dyDescent="0.2">
      <c r="A509" s="33" t="s">
        <v>879</v>
      </c>
      <c r="B509" s="7">
        <f t="shared" si="65"/>
        <v>3167</v>
      </c>
      <c r="C509" s="7">
        <f t="shared" si="62"/>
        <v>3167</v>
      </c>
      <c r="D509" s="9" t="s">
        <v>895</v>
      </c>
      <c r="E509" s="8" t="s">
        <v>422</v>
      </c>
      <c r="F509" s="7">
        <v>1</v>
      </c>
      <c r="G509" s="7">
        <v>1</v>
      </c>
      <c r="H509" s="7"/>
      <c r="I509" s="9">
        <f t="shared" si="66"/>
        <v>2</v>
      </c>
      <c r="J509" s="9">
        <f t="shared" si="67"/>
        <v>1</v>
      </c>
      <c r="K509" s="10" t="s">
        <v>673</v>
      </c>
      <c r="L509" s="11" t="s">
        <v>234</v>
      </c>
      <c r="M509" s="11"/>
      <c r="N509" s="11"/>
      <c r="O509" s="11"/>
      <c r="P509" s="121"/>
      <c r="Q509" s="121"/>
      <c r="R509" s="11"/>
      <c r="S509" s="11" t="s">
        <v>1181</v>
      </c>
      <c r="T509" s="157"/>
    </row>
    <row r="510" spans="1:20" ht="11.45" customHeight="1" x14ac:dyDescent="0.2">
      <c r="A510" s="33" t="s">
        <v>879</v>
      </c>
      <c r="B510" s="7">
        <f t="shared" si="65"/>
        <v>3168</v>
      </c>
      <c r="C510" s="7">
        <f t="shared" si="62"/>
        <v>3168</v>
      </c>
      <c r="D510" s="9" t="s">
        <v>895</v>
      </c>
      <c r="E510" s="8" t="s">
        <v>596</v>
      </c>
      <c r="F510" s="7">
        <v>1</v>
      </c>
      <c r="G510" s="7">
        <v>1</v>
      </c>
      <c r="H510" s="7"/>
      <c r="I510" s="9">
        <f t="shared" si="66"/>
        <v>2</v>
      </c>
      <c r="J510" s="9">
        <f t="shared" si="67"/>
        <v>1</v>
      </c>
      <c r="K510" s="10" t="s">
        <v>673</v>
      </c>
      <c r="L510" s="11" t="s">
        <v>234</v>
      </c>
      <c r="M510" s="11"/>
      <c r="N510" s="11"/>
      <c r="O510" s="11"/>
      <c r="P510" s="121"/>
      <c r="Q510" s="121"/>
      <c r="R510" s="11"/>
      <c r="S510" s="11" t="s">
        <v>1181</v>
      </c>
      <c r="T510" s="157"/>
    </row>
    <row r="511" spans="1:20" ht="11.45" customHeight="1" x14ac:dyDescent="0.2">
      <c r="A511" s="33" t="s">
        <v>879</v>
      </c>
      <c r="B511" s="7">
        <f>C510+1</f>
        <v>3169</v>
      </c>
      <c r="C511" s="7">
        <f>B511+($F511*$G511)-1</f>
        <v>3169</v>
      </c>
      <c r="D511" s="9" t="s">
        <v>895</v>
      </c>
      <c r="E511" s="8" t="s">
        <v>440</v>
      </c>
      <c r="F511" s="7">
        <v>1</v>
      </c>
      <c r="G511" s="7">
        <v>1</v>
      </c>
      <c r="H511" s="7"/>
      <c r="I511" s="9">
        <f t="shared" si="66"/>
        <v>2</v>
      </c>
      <c r="J511" s="9">
        <f t="shared" si="67"/>
        <v>1</v>
      </c>
      <c r="K511" s="10" t="s">
        <v>673</v>
      </c>
      <c r="L511" s="11" t="s">
        <v>234</v>
      </c>
      <c r="M511" s="11"/>
      <c r="N511" s="11"/>
      <c r="O511" s="11"/>
      <c r="P511" s="123"/>
      <c r="Q511" s="121"/>
      <c r="R511" s="11"/>
      <c r="S511" s="11" t="s">
        <v>1181</v>
      </c>
      <c r="T511" s="157"/>
    </row>
    <row r="512" spans="1:20" ht="11.45" customHeight="1" x14ac:dyDescent="0.2">
      <c r="A512" s="33" t="s">
        <v>879</v>
      </c>
      <c r="B512" s="7">
        <f>C511+1</f>
        <v>3170</v>
      </c>
      <c r="C512" s="7">
        <f t="shared" si="62"/>
        <v>3170</v>
      </c>
      <c r="D512" s="9" t="s">
        <v>895</v>
      </c>
      <c r="E512" s="8" t="s">
        <v>259</v>
      </c>
      <c r="F512" s="7">
        <v>1</v>
      </c>
      <c r="G512" s="7">
        <v>1</v>
      </c>
      <c r="H512" s="7"/>
      <c r="I512" s="9">
        <f t="shared" si="66"/>
        <v>2</v>
      </c>
      <c r="J512" s="9">
        <f t="shared" si="67"/>
        <v>1</v>
      </c>
      <c r="K512" s="10" t="s">
        <v>673</v>
      </c>
      <c r="L512" s="11" t="s">
        <v>234</v>
      </c>
      <c r="M512" s="11"/>
      <c r="N512" s="11"/>
      <c r="O512" s="11"/>
      <c r="P512" s="123"/>
      <c r="Q512" s="121"/>
      <c r="R512" s="11"/>
      <c r="S512" s="11" t="s">
        <v>1181</v>
      </c>
      <c r="T512" s="157"/>
    </row>
    <row r="513" spans="1:20" ht="11.45" customHeight="1" x14ac:dyDescent="0.2">
      <c r="A513" s="33" t="s">
        <v>879</v>
      </c>
      <c r="B513" s="7">
        <f t="shared" si="65"/>
        <v>3171</v>
      </c>
      <c r="C513" s="7">
        <f t="shared" si="62"/>
        <v>3171</v>
      </c>
      <c r="D513" s="9" t="s">
        <v>895</v>
      </c>
      <c r="E513" s="8" t="s">
        <v>260</v>
      </c>
      <c r="F513" s="7">
        <v>1</v>
      </c>
      <c r="G513" s="7">
        <v>1</v>
      </c>
      <c r="H513" s="7"/>
      <c r="I513" s="9">
        <f t="shared" si="66"/>
        <v>2</v>
      </c>
      <c r="J513" s="9">
        <f t="shared" si="67"/>
        <v>1</v>
      </c>
      <c r="K513" s="10" t="s">
        <v>673</v>
      </c>
      <c r="L513" s="11" t="s">
        <v>234</v>
      </c>
      <c r="M513" s="11"/>
      <c r="N513" s="11"/>
      <c r="O513" s="11"/>
      <c r="P513" s="121"/>
      <c r="Q513" s="121"/>
      <c r="R513" s="11"/>
      <c r="S513" s="11" t="s">
        <v>1181</v>
      </c>
      <c r="T513" s="157"/>
    </row>
    <row r="514" spans="1:20" ht="11.45" customHeight="1" x14ac:dyDescent="0.2">
      <c r="A514" s="33" t="s">
        <v>879</v>
      </c>
      <c r="B514" s="7">
        <f t="shared" si="65"/>
        <v>3172</v>
      </c>
      <c r="C514" s="7">
        <f t="shared" si="62"/>
        <v>3172</v>
      </c>
      <c r="D514" s="9" t="s">
        <v>895</v>
      </c>
      <c r="E514" s="8" t="s">
        <v>423</v>
      </c>
      <c r="F514" s="7">
        <v>1</v>
      </c>
      <c r="G514" s="7">
        <v>1</v>
      </c>
      <c r="H514" s="7"/>
      <c r="I514" s="9">
        <f t="shared" si="66"/>
        <v>2</v>
      </c>
      <c r="J514" s="9">
        <f t="shared" si="67"/>
        <v>1</v>
      </c>
      <c r="K514" s="10" t="s">
        <v>673</v>
      </c>
      <c r="L514" s="11" t="s">
        <v>234</v>
      </c>
      <c r="M514" s="11"/>
      <c r="N514" s="11"/>
      <c r="O514" s="11"/>
      <c r="P514" s="121"/>
      <c r="Q514" s="121"/>
      <c r="R514" s="11"/>
      <c r="S514" s="11" t="s">
        <v>1181</v>
      </c>
      <c r="T514" s="157"/>
    </row>
    <row r="515" spans="1:20" ht="11.45" customHeight="1" x14ac:dyDescent="0.2">
      <c r="A515" s="33" t="s">
        <v>879</v>
      </c>
      <c r="B515" s="7">
        <f t="shared" si="65"/>
        <v>3173</v>
      </c>
      <c r="C515" s="7">
        <f t="shared" si="62"/>
        <v>3173</v>
      </c>
      <c r="D515" s="9" t="s">
        <v>895</v>
      </c>
      <c r="E515" s="8" t="s">
        <v>729</v>
      </c>
      <c r="F515" s="7">
        <v>1</v>
      </c>
      <c r="G515" s="7">
        <v>1</v>
      </c>
      <c r="H515" s="7"/>
      <c r="I515" s="9">
        <f t="shared" si="66"/>
        <v>2</v>
      </c>
      <c r="J515" s="9">
        <f t="shared" si="67"/>
        <v>1</v>
      </c>
      <c r="K515" s="10" t="s">
        <v>673</v>
      </c>
      <c r="L515" s="11" t="s">
        <v>234</v>
      </c>
      <c r="M515" s="11"/>
      <c r="N515" s="11"/>
      <c r="O515" s="11"/>
      <c r="P515" s="121"/>
      <c r="Q515" s="121"/>
      <c r="R515" s="11"/>
      <c r="S515" s="11" t="s">
        <v>1181</v>
      </c>
      <c r="T515" s="157"/>
    </row>
    <row r="516" spans="1:20" ht="11.45" customHeight="1" x14ac:dyDescent="0.2">
      <c r="A516" s="33" t="s">
        <v>879</v>
      </c>
      <c r="B516" s="7">
        <f>C515+1</f>
        <v>3174</v>
      </c>
      <c r="C516" s="7">
        <f>B516+($F516*$G516)-1</f>
        <v>3174</v>
      </c>
      <c r="D516" s="9" t="s">
        <v>895</v>
      </c>
      <c r="E516" s="8" t="s">
        <v>441</v>
      </c>
      <c r="F516" s="7">
        <v>1</v>
      </c>
      <c r="G516" s="7">
        <v>1</v>
      </c>
      <c r="H516" s="7"/>
      <c r="I516" s="9">
        <f t="shared" si="66"/>
        <v>2</v>
      </c>
      <c r="J516" s="9">
        <f t="shared" si="67"/>
        <v>1</v>
      </c>
      <c r="K516" s="10" t="s">
        <v>673</v>
      </c>
      <c r="L516" s="11" t="s">
        <v>234</v>
      </c>
      <c r="M516" s="11"/>
      <c r="N516" s="11"/>
      <c r="O516" s="11"/>
      <c r="P516" s="123"/>
      <c r="Q516" s="121"/>
      <c r="R516" s="11"/>
      <c r="S516" s="11" t="s">
        <v>1181</v>
      </c>
      <c r="T516" s="157"/>
    </row>
    <row r="517" spans="1:20" ht="11.45" customHeight="1" x14ac:dyDescent="0.2">
      <c r="A517" s="33" t="s">
        <v>879</v>
      </c>
      <c r="B517" s="7">
        <f>C516+1</f>
        <v>3175</v>
      </c>
      <c r="C517" s="7">
        <f t="shared" ref="C517:C555" si="68">B517+($F517*$G517)-1</f>
        <v>3175</v>
      </c>
      <c r="D517" s="9" t="s">
        <v>895</v>
      </c>
      <c r="E517" s="8" t="s">
        <v>730</v>
      </c>
      <c r="F517" s="7">
        <v>1</v>
      </c>
      <c r="G517" s="7">
        <v>1</v>
      </c>
      <c r="H517" s="7"/>
      <c r="I517" s="9">
        <f t="shared" si="66"/>
        <v>2</v>
      </c>
      <c r="J517" s="9">
        <f t="shared" si="67"/>
        <v>1</v>
      </c>
      <c r="K517" s="10" t="s">
        <v>673</v>
      </c>
      <c r="L517" s="11" t="s">
        <v>234</v>
      </c>
      <c r="M517" s="11"/>
      <c r="N517" s="11"/>
      <c r="O517" s="11"/>
      <c r="P517" s="123"/>
      <c r="Q517" s="121"/>
      <c r="R517" s="11"/>
      <c r="S517" s="11" t="s">
        <v>1181</v>
      </c>
      <c r="T517" s="157"/>
    </row>
    <row r="518" spans="1:20" ht="11.45" customHeight="1" x14ac:dyDescent="0.2">
      <c r="A518" s="33" t="s">
        <v>879</v>
      </c>
      <c r="B518" s="7">
        <f t="shared" si="65"/>
        <v>3176</v>
      </c>
      <c r="C518" s="7">
        <f t="shared" si="68"/>
        <v>3176</v>
      </c>
      <c r="D518" s="9" t="s">
        <v>895</v>
      </c>
      <c r="E518" s="8" t="s">
        <v>731</v>
      </c>
      <c r="F518" s="7">
        <v>1</v>
      </c>
      <c r="G518" s="7">
        <v>1</v>
      </c>
      <c r="H518" s="7"/>
      <c r="I518" s="9">
        <f t="shared" si="66"/>
        <v>2</v>
      </c>
      <c r="J518" s="9">
        <f t="shared" si="67"/>
        <v>1</v>
      </c>
      <c r="K518" s="10" t="s">
        <v>673</v>
      </c>
      <c r="L518" s="11" t="s">
        <v>234</v>
      </c>
      <c r="M518" s="11"/>
      <c r="N518" s="11"/>
      <c r="O518" s="11"/>
      <c r="P518" s="121"/>
      <c r="Q518" s="121"/>
      <c r="R518" s="11"/>
      <c r="S518" s="11" t="s">
        <v>1181</v>
      </c>
      <c r="T518" s="157"/>
    </row>
    <row r="519" spans="1:20" ht="11.45" customHeight="1" x14ac:dyDescent="0.2">
      <c r="A519" s="33" t="s">
        <v>879</v>
      </c>
      <c r="B519" s="7">
        <f t="shared" si="65"/>
        <v>3177</v>
      </c>
      <c r="C519" s="7">
        <f t="shared" si="68"/>
        <v>3177</v>
      </c>
      <c r="D519" s="9" t="s">
        <v>895</v>
      </c>
      <c r="E519" s="8" t="s">
        <v>424</v>
      </c>
      <c r="F519" s="7">
        <v>1</v>
      </c>
      <c r="G519" s="7">
        <v>1</v>
      </c>
      <c r="H519" s="7"/>
      <c r="I519" s="9">
        <f t="shared" si="66"/>
        <v>2</v>
      </c>
      <c r="J519" s="9">
        <f t="shared" si="67"/>
        <v>1</v>
      </c>
      <c r="K519" s="10" t="s">
        <v>673</v>
      </c>
      <c r="L519" s="11" t="s">
        <v>234</v>
      </c>
      <c r="M519" s="11"/>
      <c r="N519" s="11"/>
      <c r="O519" s="11"/>
      <c r="P519" s="121"/>
      <c r="Q519" s="121"/>
      <c r="R519" s="11"/>
      <c r="S519" s="11" t="s">
        <v>1181</v>
      </c>
      <c r="T519" s="157"/>
    </row>
    <row r="520" spans="1:20" ht="11.45" customHeight="1" x14ac:dyDescent="0.2">
      <c r="A520" s="33" t="s">
        <v>879</v>
      </c>
      <c r="B520" s="7">
        <f t="shared" si="65"/>
        <v>3178</v>
      </c>
      <c r="C520" s="7">
        <f t="shared" si="68"/>
        <v>3178</v>
      </c>
      <c r="D520" s="9" t="s">
        <v>895</v>
      </c>
      <c r="E520" s="8" t="s">
        <v>732</v>
      </c>
      <c r="F520" s="7">
        <v>1</v>
      </c>
      <c r="G520" s="7">
        <v>1</v>
      </c>
      <c r="H520" s="7"/>
      <c r="I520" s="9">
        <f t="shared" si="66"/>
        <v>2</v>
      </c>
      <c r="J520" s="9">
        <f t="shared" si="67"/>
        <v>1</v>
      </c>
      <c r="K520" s="10" t="s">
        <v>673</v>
      </c>
      <c r="L520" s="11" t="s">
        <v>234</v>
      </c>
      <c r="M520" s="11"/>
      <c r="N520" s="11"/>
      <c r="O520" s="11"/>
      <c r="P520" s="121"/>
      <c r="Q520" s="121"/>
      <c r="R520" s="11"/>
      <c r="S520" s="11" t="s">
        <v>1181</v>
      </c>
      <c r="T520" s="157"/>
    </row>
    <row r="521" spans="1:20" ht="11.45" customHeight="1" x14ac:dyDescent="0.2">
      <c r="A521" s="33" t="s">
        <v>879</v>
      </c>
      <c r="B521" s="7">
        <f>C520+1</f>
        <v>3179</v>
      </c>
      <c r="C521" s="7">
        <f t="shared" si="68"/>
        <v>3179</v>
      </c>
      <c r="D521" s="9" t="s">
        <v>895</v>
      </c>
      <c r="E521" s="8" t="s">
        <v>442</v>
      </c>
      <c r="F521" s="7">
        <v>1</v>
      </c>
      <c r="G521" s="7">
        <v>1</v>
      </c>
      <c r="H521" s="7"/>
      <c r="I521" s="9">
        <f t="shared" si="66"/>
        <v>2</v>
      </c>
      <c r="J521" s="9">
        <f t="shared" si="67"/>
        <v>1</v>
      </c>
      <c r="K521" s="10" t="s">
        <v>673</v>
      </c>
      <c r="L521" s="11" t="s">
        <v>234</v>
      </c>
      <c r="M521" s="11"/>
      <c r="N521" s="11"/>
      <c r="O521" s="11"/>
      <c r="P521" s="123"/>
      <c r="Q521" s="121"/>
      <c r="R521" s="11"/>
      <c r="S521" s="11" t="s">
        <v>1181</v>
      </c>
      <c r="T521" s="157"/>
    </row>
    <row r="522" spans="1:20" ht="11.45" customHeight="1" x14ac:dyDescent="0.2">
      <c r="A522" s="33" t="s">
        <v>879</v>
      </c>
      <c r="B522" s="7">
        <f>C521+1</f>
        <v>3180</v>
      </c>
      <c r="C522" s="7">
        <f t="shared" si="68"/>
        <v>3180</v>
      </c>
      <c r="D522" s="9" t="s">
        <v>895</v>
      </c>
      <c r="E522" s="8" t="s">
        <v>733</v>
      </c>
      <c r="F522" s="7">
        <v>1</v>
      </c>
      <c r="G522" s="7">
        <v>1</v>
      </c>
      <c r="H522" s="7"/>
      <c r="I522" s="9">
        <f t="shared" si="66"/>
        <v>2</v>
      </c>
      <c r="J522" s="9">
        <f t="shared" si="67"/>
        <v>1</v>
      </c>
      <c r="K522" s="10" t="s">
        <v>673</v>
      </c>
      <c r="L522" s="11" t="s">
        <v>234</v>
      </c>
      <c r="M522" s="11"/>
      <c r="N522" s="11"/>
      <c r="O522" s="11"/>
      <c r="P522" s="123"/>
      <c r="Q522" s="121"/>
      <c r="R522" s="11"/>
      <c r="S522" s="11" t="s">
        <v>1181</v>
      </c>
      <c r="T522" s="157"/>
    </row>
    <row r="523" spans="1:20" ht="11.45" customHeight="1" x14ac:dyDescent="0.2">
      <c r="A523" s="33" t="s">
        <v>879</v>
      </c>
      <c r="B523" s="7">
        <f t="shared" si="65"/>
        <v>3181</v>
      </c>
      <c r="C523" s="7">
        <f t="shared" si="68"/>
        <v>3181</v>
      </c>
      <c r="D523" s="9" t="s">
        <v>895</v>
      </c>
      <c r="E523" s="8" t="s">
        <v>734</v>
      </c>
      <c r="F523" s="7">
        <v>1</v>
      </c>
      <c r="G523" s="7">
        <v>1</v>
      </c>
      <c r="H523" s="7"/>
      <c r="I523" s="9">
        <f t="shared" si="66"/>
        <v>2</v>
      </c>
      <c r="J523" s="9">
        <f t="shared" si="67"/>
        <v>1</v>
      </c>
      <c r="K523" s="10" t="s">
        <v>673</v>
      </c>
      <c r="L523" s="11" t="s">
        <v>234</v>
      </c>
      <c r="M523" s="11"/>
      <c r="N523" s="11"/>
      <c r="O523" s="11"/>
      <c r="P523" s="121"/>
      <c r="Q523" s="121"/>
      <c r="R523" s="11"/>
      <c r="S523" s="11" t="s">
        <v>1181</v>
      </c>
      <c r="T523" s="157"/>
    </row>
    <row r="524" spans="1:20" ht="11.45" customHeight="1" x14ac:dyDescent="0.2">
      <c r="A524" s="33" t="s">
        <v>879</v>
      </c>
      <c r="B524" s="7">
        <f t="shared" si="65"/>
        <v>3182</v>
      </c>
      <c r="C524" s="7">
        <f t="shared" si="68"/>
        <v>3182</v>
      </c>
      <c r="D524" s="9" t="s">
        <v>895</v>
      </c>
      <c r="E524" s="8" t="s">
        <v>425</v>
      </c>
      <c r="F524" s="7">
        <v>1</v>
      </c>
      <c r="G524" s="7">
        <v>1</v>
      </c>
      <c r="H524" s="7"/>
      <c r="I524" s="9">
        <f t="shared" si="66"/>
        <v>2</v>
      </c>
      <c r="J524" s="9">
        <f t="shared" si="67"/>
        <v>1</v>
      </c>
      <c r="K524" s="10" t="s">
        <v>673</v>
      </c>
      <c r="L524" s="11" t="s">
        <v>234</v>
      </c>
      <c r="M524" s="11"/>
      <c r="N524" s="11"/>
      <c r="O524" s="11"/>
      <c r="P524" s="121"/>
      <c r="Q524" s="121"/>
      <c r="R524" s="11"/>
      <c r="S524" s="11" t="s">
        <v>1181</v>
      </c>
      <c r="T524" s="157"/>
    </row>
    <row r="525" spans="1:20" ht="11.45" customHeight="1" x14ac:dyDescent="0.2">
      <c r="A525" s="33" t="s">
        <v>879</v>
      </c>
      <c r="B525" s="7">
        <f t="shared" si="65"/>
        <v>3183</v>
      </c>
      <c r="C525" s="7">
        <f t="shared" si="68"/>
        <v>3183</v>
      </c>
      <c r="D525" s="9" t="s">
        <v>895</v>
      </c>
      <c r="E525" s="8" t="s">
        <v>735</v>
      </c>
      <c r="F525" s="7">
        <v>1</v>
      </c>
      <c r="G525" s="7">
        <v>1</v>
      </c>
      <c r="H525" s="7"/>
      <c r="I525" s="9">
        <f t="shared" si="66"/>
        <v>2</v>
      </c>
      <c r="J525" s="9">
        <f t="shared" si="67"/>
        <v>1</v>
      </c>
      <c r="K525" s="10" t="s">
        <v>673</v>
      </c>
      <c r="L525" s="11" t="s">
        <v>234</v>
      </c>
      <c r="M525" s="11"/>
      <c r="N525" s="11"/>
      <c r="O525" s="11"/>
      <c r="P525" s="121"/>
      <c r="Q525" s="121"/>
      <c r="R525" s="11"/>
      <c r="S525" s="11" t="s">
        <v>1181</v>
      </c>
      <c r="T525" s="157"/>
    </row>
    <row r="526" spans="1:20" ht="11.45" customHeight="1" x14ac:dyDescent="0.2">
      <c r="A526" s="33" t="s">
        <v>879</v>
      </c>
      <c r="B526" s="7">
        <f>C525+1</f>
        <v>3184</v>
      </c>
      <c r="C526" s="7">
        <f t="shared" si="68"/>
        <v>3184</v>
      </c>
      <c r="D526" s="9" t="s">
        <v>895</v>
      </c>
      <c r="E526" s="8" t="s">
        <v>443</v>
      </c>
      <c r="F526" s="7">
        <v>1</v>
      </c>
      <c r="G526" s="7">
        <v>1</v>
      </c>
      <c r="H526" s="7"/>
      <c r="I526" s="9">
        <f t="shared" si="66"/>
        <v>2</v>
      </c>
      <c r="J526" s="9">
        <f t="shared" si="67"/>
        <v>1</v>
      </c>
      <c r="K526" s="10" t="s">
        <v>673</v>
      </c>
      <c r="L526" s="11" t="s">
        <v>234</v>
      </c>
      <c r="M526" s="11"/>
      <c r="N526" s="11"/>
      <c r="O526" s="11"/>
      <c r="P526" s="123"/>
      <c r="Q526" s="121"/>
      <c r="R526" s="11"/>
      <c r="S526" s="11" t="s">
        <v>1181</v>
      </c>
      <c r="T526" s="157"/>
    </row>
    <row r="527" spans="1:20" ht="11.45" customHeight="1" x14ac:dyDescent="0.2">
      <c r="A527" s="33" t="s">
        <v>879</v>
      </c>
      <c r="B527" s="7">
        <f>C526+1</f>
        <v>3185</v>
      </c>
      <c r="C527" s="7">
        <f t="shared" si="68"/>
        <v>3185</v>
      </c>
      <c r="D527" s="9" t="s">
        <v>895</v>
      </c>
      <c r="E527" s="8" t="s">
        <v>737</v>
      </c>
      <c r="F527" s="7">
        <v>1</v>
      </c>
      <c r="G527" s="7">
        <v>1</v>
      </c>
      <c r="H527" s="7"/>
      <c r="I527" s="9">
        <f t="shared" si="66"/>
        <v>2</v>
      </c>
      <c r="J527" s="9">
        <f t="shared" si="67"/>
        <v>1</v>
      </c>
      <c r="K527" s="10" t="s">
        <v>673</v>
      </c>
      <c r="L527" s="11" t="s">
        <v>234</v>
      </c>
      <c r="M527" s="11"/>
      <c r="N527" s="11"/>
      <c r="O527" s="11"/>
      <c r="P527" s="123"/>
      <c r="Q527" s="121"/>
      <c r="R527" s="11"/>
      <c r="S527" s="11" t="s">
        <v>1181</v>
      </c>
      <c r="T527" s="157"/>
    </row>
    <row r="528" spans="1:20" ht="11.45" customHeight="1" x14ac:dyDescent="0.2">
      <c r="A528" s="33" t="s">
        <v>879</v>
      </c>
      <c r="B528" s="7">
        <f t="shared" si="65"/>
        <v>3186</v>
      </c>
      <c r="C528" s="7">
        <f t="shared" si="68"/>
        <v>3186</v>
      </c>
      <c r="D528" s="9" t="s">
        <v>895</v>
      </c>
      <c r="E528" s="8" t="s">
        <v>736</v>
      </c>
      <c r="F528" s="7">
        <v>1</v>
      </c>
      <c r="G528" s="7">
        <v>1</v>
      </c>
      <c r="H528" s="7"/>
      <c r="I528" s="9">
        <f t="shared" si="66"/>
        <v>2</v>
      </c>
      <c r="J528" s="9">
        <f t="shared" si="67"/>
        <v>1</v>
      </c>
      <c r="K528" s="10" t="s">
        <v>673</v>
      </c>
      <c r="L528" s="11" t="s">
        <v>234</v>
      </c>
      <c r="M528" s="11"/>
      <c r="N528" s="11"/>
      <c r="O528" s="11"/>
      <c r="P528" s="121"/>
      <c r="Q528" s="121"/>
      <c r="R528" s="11"/>
      <c r="S528" s="11" t="s">
        <v>1181</v>
      </c>
      <c r="T528" s="157"/>
    </row>
    <row r="529" spans="1:20" ht="11.45" customHeight="1" x14ac:dyDescent="0.2">
      <c r="A529" s="33" t="s">
        <v>879</v>
      </c>
      <c r="B529" s="7">
        <f t="shared" si="65"/>
        <v>3187</v>
      </c>
      <c r="C529" s="7">
        <f t="shared" si="68"/>
        <v>3187</v>
      </c>
      <c r="D529" s="9" t="s">
        <v>895</v>
      </c>
      <c r="E529" s="8" t="s">
        <v>426</v>
      </c>
      <c r="F529" s="7">
        <v>1</v>
      </c>
      <c r="G529" s="7">
        <v>1</v>
      </c>
      <c r="H529" s="7"/>
      <c r="I529" s="9">
        <f t="shared" si="66"/>
        <v>2</v>
      </c>
      <c r="J529" s="9">
        <f t="shared" si="67"/>
        <v>1</v>
      </c>
      <c r="K529" s="10" t="s">
        <v>673</v>
      </c>
      <c r="L529" s="11" t="s">
        <v>234</v>
      </c>
      <c r="M529" s="11"/>
      <c r="N529" s="11"/>
      <c r="O529" s="11"/>
      <c r="P529" s="121"/>
      <c r="Q529" s="121"/>
      <c r="R529" s="11"/>
      <c r="S529" s="11" t="s">
        <v>1181</v>
      </c>
      <c r="T529" s="157"/>
    </row>
    <row r="530" spans="1:20" ht="11.45" customHeight="1" x14ac:dyDescent="0.2">
      <c r="A530" s="33" t="s">
        <v>879</v>
      </c>
      <c r="B530" s="7">
        <f t="shared" si="65"/>
        <v>3188</v>
      </c>
      <c r="C530" s="7">
        <f t="shared" si="68"/>
        <v>3188</v>
      </c>
      <c r="D530" s="9" t="s">
        <v>895</v>
      </c>
      <c r="E530" s="8" t="s">
        <v>738</v>
      </c>
      <c r="F530" s="7">
        <v>1</v>
      </c>
      <c r="G530" s="7">
        <v>1</v>
      </c>
      <c r="H530" s="7"/>
      <c r="I530" s="9">
        <f t="shared" si="66"/>
        <v>2</v>
      </c>
      <c r="J530" s="9">
        <f t="shared" si="67"/>
        <v>1</v>
      </c>
      <c r="K530" s="10" t="s">
        <v>673</v>
      </c>
      <c r="L530" s="11" t="s">
        <v>234</v>
      </c>
      <c r="M530" s="11"/>
      <c r="N530" s="11"/>
      <c r="O530" s="11"/>
      <c r="P530" s="121"/>
      <c r="Q530" s="121"/>
      <c r="R530" s="11"/>
      <c r="S530" s="11" t="s">
        <v>1181</v>
      </c>
      <c r="T530" s="157"/>
    </row>
    <row r="531" spans="1:20" ht="11.45" customHeight="1" x14ac:dyDescent="0.2">
      <c r="A531" s="33" t="s">
        <v>879</v>
      </c>
      <c r="B531" s="7">
        <f>C530+1</f>
        <v>3189</v>
      </c>
      <c r="C531" s="7">
        <f t="shared" si="68"/>
        <v>3189</v>
      </c>
      <c r="D531" s="9" t="s">
        <v>895</v>
      </c>
      <c r="E531" s="8" t="s">
        <v>444</v>
      </c>
      <c r="F531" s="7">
        <v>1</v>
      </c>
      <c r="G531" s="7">
        <v>1</v>
      </c>
      <c r="H531" s="7"/>
      <c r="I531" s="9">
        <f t="shared" si="66"/>
        <v>2</v>
      </c>
      <c r="J531" s="9">
        <f t="shared" si="67"/>
        <v>1</v>
      </c>
      <c r="K531" s="10" t="s">
        <v>673</v>
      </c>
      <c r="L531" s="11" t="s">
        <v>234</v>
      </c>
      <c r="M531" s="11"/>
      <c r="N531" s="11"/>
      <c r="O531" s="11"/>
      <c r="P531" s="123"/>
      <c r="Q531" s="121"/>
      <c r="R531" s="11"/>
      <c r="S531" s="11" t="s">
        <v>1181</v>
      </c>
      <c r="T531" s="157"/>
    </row>
    <row r="532" spans="1:20" ht="11.45" customHeight="1" x14ac:dyDescent="0.2">
      <c r="A532" s="33" t="s">
        <v>879</v>
      </c>
      <c r="B532" s="7">
        <f>C531+1</f>
        <v>3190</v>
      </c>
      <c r="C532" s="7">
        <f t="shared" si="68"/>
        <v>3190</v>
      </c>
      <c r="D532" s="9" t="s">
        <v>895</v>
      </c>
      <c r="E532" s="8" t="s">
        <v>739</v>
      </c>
      <c r="F532" s="7">
        <v>1</v>
      </c>
      <c r="G532" s="7">
        <v>1</v>
      </c>
      <c r="H532" s="7"/>
      <c r="I532" s="9">
        <f t="shared" si="66"/>
        <v>2</v>
      </c>
      <c r="J532" s="9">
        <f t="shared" si="67"/>
        <v>1</v>
      </c>
      <c r="K532" s="10" t="s">
        <v>673</v>
      </c>
      <c r="L532" s="11" t="s">
        <v>234</v>
      </c>
      <c r="M532" s="11"/>
      <c r="N532" s="11"/>
      <c r="O532" s="11"/>
      <c r="P532" s="123"/>
      <c r="Q532" s="121"/>
      <c r="R532" s="11"/>
      <c r="S532" s="11" t="s">
        <v>1181</v>
      </c>
      <c r="T532" s="157"/>
    </row>
    <row r="533" spans="1:20" ht="11.45" customHeight="1" x14ac:dyDescent="0.2">
      <c r="A533" s="33" t="s">
        <v>879</v>
      </c>
      <c r="B533" s="7">
        <f t="shared" si="65"/>
        <v>3191</v>
      </c>
      <c r="C533" s="7">
        <f t="shared" si="68"/>
        <v>3191</v>
      </c>
      <c r="D533" s="9" t="s">
        <v>895</v>
      </c>
      <c r="E533" s="8" t="s">
        <v>740</v>
      </c>
      <c r="F533" s="7">
        <v>1</v>
      </c>
      <c r="G533" s="7">
        <v>1</v>
      </c>
      <c r="H533" s="7"/>
      <c r="I533" s="9">
        <f t="shared" si="66"/>
        <v>2</v>
      </c>
      <c r="J533" s="9">
        <f t="shared" si="67"/>
        <v>1</v>
      </c>
      <c r="K533" s="10" t="s">
        <v>673</v>
      </c>
      <c r="L533" s="11" t="s">
        <v>234</v>
      </c>
      <c r="M533" s="11"/>
      <c r="N533" s="11"/>
      <c r="O533" s="11"/>
      <c r="P533" s="121"/>
      <c r="Q533" s="121"/>
      <c r="R533" s="11"/>
      <c r="S533" s="11" t="s">
        <v>1181</v>
      </c>
      <c r="T533" s="157"/>
    </row>
    <row r="534" spans="1:20" ht="11.45" customHeight="1" x14ac:dyDescent="0.2">
      <c r="A534" s="33" t="s">
        <v>879</v>
      </c>
      <c r="B534" s="7">
        <f t="shared" si="65"/>
        <v>3192</v>
      </c>
      <c r="C534" s="7">
        <f t="shared" si="68"/>
        <v>3192</v>
      </c>
      <c r="D534" s="9" t="s">
        <v>895</v>
      </c>
      <c r="E534" s="8" t="s">
        <v>427</v>
      </c>
      <c r="F534" s="7">
        <v>1</v>
      </c>
      <c r="G534" s="7">
        <v>1</v>
      </c>
      <c r="H534" s="7"/>
      <c r="I534" s="9">
        <f t="shared" si="66"/>
        <v>2</v>
      </c>
      <c r="J534" s="9">
        <f t="shared" si="67"/>
        <v>1</v>
      </c>
      <c r="K534" s="10" t="s">
        <v>673</v>
      </c>
      <c r="L534" s="11" t="s">
        <v>234</v>
      </c>
      <c r="M534" s="11"/>
      <c r="N534" s="11"/>
      <c r="O534" s="11"/>
      <c r="P534" s="121"/>
      <c r="Q534" s="121"/>
      <c r="R534" s="11"/>
      <c r="S534" s="11" t="s">
        <v>1181</v>
      </c>
      <c r="T534" s="157"/>
    </row>
    <row r="535" spans="1:20" ht="11.45" customHeight="1" x14ac:dyDescent="0.2">
      <c r="A535" s="33" t="s">
        <v>879</v>
      </c>
      <c r="B535" s="7">
        <f t="shared" si="65"/>
        <v>3193</v>
      </c>
      <c r="C535" s="7">
        <f t="shared" si="68"/>
        <v>3193</v>
      </c>
      <c r="D535" s="9" t="s">
        <v>895</v>
      </c>
      <c r="E535" s="8" t="s">
        <v>741</v>
      </c>
      <c r="F535" s="7">
        <v>1</v>
      </c>
      <c r="G535" s="7">
        <v>1</v>
      </c>
      <c r="H535" s="7"/>
      <c r="I535" s="9">
        <f t="shared" si="66"/>
        <v>2</v>
      </c>
      <c r="J535" s="9">
        <f t="shared" si="67"/>
        <v>1</v>
      </c>
      <c r="K535" s="10" t="s">
        <v>673</v>
      </c>
      <c r="L535" s="11" t="s">
        <v>234</v>
      </c>
      <c r="M535" s="11"/>
      <c r="N535" s="11"/>
      <c r="O535" s="11"/>
      <c r="P535" s="121"/>
      <c r="Q535" s="121"/>
      <c r="R535" s="11"/>
      <c r="S535" s="11" t="s">
        <v>1181</v>
      </c>
      <c r="T535" s="157"/>
    </row>
    <row r="536" spans="1:20" ht="11.45" customHeight="1" x14ac:dyDescent="0.2">
      <c r="A536" s="33" t="s">
        <v>879</v>
      </c>
      <c r="B536" s="7">
        <f>C535+1</f>
        <v>3194</v>
      </c>
      <c r="C536" s="7">
        <f t="shared" si="68"/>
        <v>3194</v>
      </c>
      <c r="D536" s="9" t="s">
        <v>895</v>
      </c>
      <c r="E536" s="8" t="s">
        <v>445</v>
      </c>
      <c r="F536" s="7">
        <v>1</v>
      </c>
      <c r="G536" s="7">
        <v>1</v>
      </c>
      <c r="H536" s="7"/>
      <c r="I536" s="9">
        <f t="shared" si="66"/>
        <v>2</v>
      </c>
      <c r="J536" s="9">
        <f t="shared" si="67"/>
        <v>1</v>
      </c>
      <c r="K536" s="10" t="s">
        <v>673</v>
      </c>
      <c r="L536" s="11" t="s">
        <v>234</v>
      </c>
      <c r="M536" s="11"/>
      <c r="N536" s="11"/>
      <c r="O536" s="11"/>
      <c r="P536" s="123"/>
      <c r="Q536" s="121"/>
      <c r="R536" s="11"/>
      <c r="S536" s="11" t="s">
        <v>1181</v>
      </c>
      <c r="T536" s="157"/>
    </row>
    <row r="537" spans="1:20" ht="11.45" customHeight="1" x14ac:dyDescent="0.2">
      <c r="A537" s="33" t="s">
        <v>879</v>
      </c>
      <c r="B537" s="7">
        <f>C536+1</f>
        <v>3195</v>
      </c>
      <c r="C537" s="7">
        <f t="shared" si="68"/>
        <v>3195</v>
      </c>
      <c r="D537" s="9" t="s">
        <v>895</v>
      </c>
      <c r="E537" s="8" t="s">
        <v>742</v>
      </c>
      <c r="F537" s="7">
        <v>1</v>
      </c>
      <c r="G537" s="7">
        <v>1</v>
      </c>
      <c r="H537" s="7"/>
      <c r="I537" s="9">
        <f t="shared" si="66"/>
        <v>2</v>
      </c>
      <c r="J537" s="9">
        <f t="shared" si="67"/>
        <v>1</v>
      </c>
      <c r="K537" s="10" t="s">
        <v>673</v>
      </c>
      <c r="L537" s="11" t="s">
        <v>234</v>
      </c>
      <c r="M537" s="11"/>
      <c r="N537" s="11"/>
      <c r="O537" s="11"/>
      <c r="P537" s="123"/>
      <c r="Q537" s="121"/>
      <c r="R537" s="11"/>
      <c r="S537" s="11" t="s">
        <v>1181</v>
      </c>
      <c r="T537" s="157"/>
    </row>
    <row r="538" spans="1:20" ht="11.45" customHeight="1" x14ac:dyDescent="0.2">
      <c r="A538" s="33" t="s">
        <v>879</v>
      </c>
      <c r="B538" s="7">
        <f t="shared" si="65"/>
        <v>3196</v>
      </c>
      <c r="C538" s="7">
        <f t="shared" si="68"/>
        <v>3196</v>
      </c>
      <c r="D538" s="9" t="s">
        <v>895</v>
      </c>
      <c r="E538" s="8" t="s">
        <v>743</v>
      </c>
      <c r="F538" s="7">
        <v>1</v>
      </c>
      <c r="G538" s="7">
        <v>1</v>
      </c>
      <c r="H538" s="7"/>
      <c r="I538" s="9">
        <f t="shared" si="66"/>
        <v>2</v>
      </c>
      <c r="J538" s="9">
        <f t="shared" si="67"/>
        <v>1</v>
      </c>
      <c r="K538" s="10" t="s">
        <v>673</v>
      </c>
      <c r="L538" s="11" t="s">
        <v>234</v>
      </c>
      <c r="M538" s="11"/>
      <c r="N538" s="11"/>
      <c r="O538" s="11"/>
      <c r="P538" s="121"/>
      <c r="Q538" s="121"/>
      <c r="R538" s="11"/>
      <c r="S538" s="11" t="s">
        <v>1181</v>
      </c>
      <c r="T538" s="157"/>
    </row>
    <row r="539" spans="1:20" ht="11.45" customHeight="1" x14ac:dyDescent="0.2">
      <c r="A539" s="33" t="s">
        <v>879</v>
      </c>
      <c r="B539" s="7">
        <f t="shared" si="65"/>
        <v>3197</v>
      </c>
      <c r="C539" s="7">
        <f t="shared" si="68"/>
        <v>3197</v>
      </c>
      <c r="D539" s="9" t="s">
        <v>895</v>
      </c>
      <c r="E539" s="8" t="s">
        <v>428</v>
      </c>
      <c r="F539" s="7">
        <v>1</v>
      </c>
      <c r="G539" s="7">
        <v>1</v>
      </c>
      <c r="H539" s="7"/>
      <c r="I539" s="9">
        <f t="shared" si="66"/>
        <v>2</v>
      </c>
      <c r="J539" s="9">
        <f t="shared" si="67"/>
        <v>1</v>
      </c>
      <c r="K539" s="10" t="s">
        <v>673</v>
      </c>
      <c r="L539" s="11" t="s">
        <v>234</v>
      </c>
      <c r="M539" s="11"/>
      <c r="N539" s="11"/>
      <c r="O539" s="11"/>
      <c r="P539" s="121"/>
      <c r="Q539" s="121"/>
      <c r="R539" s="11"/>
      <c r="S539" s="11" t="s">
        <v>1181</v>
      </c>
      <c r="T539" s="157"/>
    </row>
    <row r="540" spans="1:20" ht="11.45" customHeight="1" x14ac:dyDescent="0.2">
      <c r="A540" s="33" t="s">
        <v>879</v>
      </c>
      <c r="B540" s="7">
        <f t="shared" si="65"/>
        <v>3198</v>
      </c>
      <c r="C540" s="7">
        <f t="shared" si="68"/>
        <v>3198</v>
      </c>
      <c r="D540" s="9" t="s">
        <v>895</v>
      </c>
      <c r="E540" s="8" t="s">
        <v>744</v>
      </c>
      <c r="F540" s="7">
        <v>1</v>
      </c>
      <c r="G540" s="7">
        <v>1</v>
      </c>
      <c r="H540" s="7"/>
      <c r="I540" s="9">
        <f t="shared" ref="I540:I557" si="69">F540*G540*2</f>
        <v>2</v>
      </c>
      <c r="J540" s="9">
        <f t="shared" ref="J540:J557" si="70">C540-B540+1</f>
        <v>1</v>
      </c>
      <c r="K540" s="10" t="s">
        <v>673</v>
      </c>
      <c r="L540" s="11" t="s">
        <v>234</v>
      </c>
      <c r="M540" s="11"/>
      <c r="N540" s="11"/>
      <c r="O540" s="11"/>
      <c r="P540" s="121"/>
      <c r="Q540" s="121"/>
      <c r="R540" s="11"/>
      <c r="S540" s="11" t="s">
        <v>1181</v>
      </c>
      <c r="T540" s="157"/>
    </row>
    <row r="541" spans="1:20" ht="11.45" customHeight="1" x14ac:dyDescent="0.2">
      <c r="A541" s="33" t="s">
        <v>879</v>
      </c>
      <c r="B541" s="7">
        <f>C540+1</f>
        <v>3199</v>
      </c>
      <c r="C541" s="7">
        <f t="shared" si="68"/>
        <v>3199</v>
      </c>
      <c r="D541" s="9" t="s">
        <v>895</v>
      </c>
      <c r="E541" s="8" t="s">
        <v>446</v>
      </c>
      <c r="F541" s="7">
        <v>1</v>
      </c>
      <c r="G541" s="7">
        <v>1</v>
      </c>
      <c r="H541" s="7"/>
      <c r="I541" s="9">
        <f t="shared" si="69"/>
        <v>2</v>
      </c>
      <c r="J541" s="9">
        <f t="shared" si="70"/>
        <v>1</v>
      </c>
      <c r="K541" s="10" t="s">
        <v>673</v>
      </c>
      <c r="L541" s="11" t="s">
        <v>234</v>
      </c>
      <c r="M541" s="11"/>
      <c r="N541" s="11"/>
      <c r="O541" s="11"/>
      <c r="P541" s="123"/>
      <c r="Q541" s="121"/>
      <c r="R541" s="11"/>
      <c r="S541" s="11" t="s">
        <v>1181</v>
      </c>
      <c r="T541" s="157"/>
    </row>
    <row r="542" spans="1:20" ht="11.45" customHeight="1" x14ac:dyDescent="0.2">
      <c r="A542" s="33" t="s">
        <v>879</v>
      </c>
      <c r="B542" s="7">
        <f>C541+1</f>
        <v>3200</v>
      </c>
      <c r="C542" s="7">
        <f t="shared" si="68"/>
        <v>3200</v>
      </c>
      <c r="D542" s="9" t="s">
        <v>895</v>
      </c>
      <c r="E542" s="8" t="s">
        <v>745</v>
      </c>
      <c r="F542" s="7">
        <v>1</v>
      </c>
      <c r="G542" s="7">
        <v>1</v>
      </c>
      <c r="H542" s="7"/>
      <c r="I542" s="9">
        <f t="shared" si="69"/>
        <v>2</v>
      </c>
      <c r="J542" s="9">
        <f t="shared" si="70"/>
        <v>1</v>
      </c>
      <c r="K542" s="10" t="s">
        <v>673</v>
      </c>
      <c r="L542" s="11" t="s">
        <v>234</v>
      </c>
      <c r="M542" s="11"/>
      <c r="N542" s="11"/>
      <c r="O542" s="11"/>
      <c r="P542" s="123"/>
      <c r="Q542" s="121"/>
      <c r="R542" s="11"/>
      <c r="S542" s="11" t="s">
        <v>1181</v>
      </c>
      <c r="T542" s="157"/>
    </row>
    <row r="543" spans="1:20" ht="11.45" customHeight="1" x14ac:dyDescent="0.2">
      <c r="A543" s="33" t="s">
        <v>879</v>
      </c>
      <c r="B543" s="7">
        <f t="shared" si="65"/>
        <v>3201</v>
      </c>
      <c r="C543" s="7">
        <f t="shared" si="68"/>
        <v>3201</v>
      </c>
      <c r="D543" s="9" t="s">
        <v>895</v>
      </c>
      <c r="E543" s="8" t="s">
        <v>746</v>
      </c>
      <c r="F543" s="7">
        <v>1</v>
      </c>
      <c r="G543" s="7">
        <v>1</v>
      </c>
      <c r="H543" s="7"/>
      <c r="I543" s="9">
        <f t="shared" si="69"/>
        <v>2</v>
      </c>
      <c r="J543" s="9">
        <f t="shared" si="70"/>
        <v>1</v>
      </c>
      <c r="K543" s="10" t="s">
        <v>673</v>
      </c>
      <c r="L543" s="11" t="s">
        <v>234</v>
      </c>
      <c r="M543" s="11"/>
      <c r="N543" s="11"/>
      <c r="O543" s="11"/>
      <c r="P543" s="121"/>
      <c r="Q543" s="121"/>
      <c r="R543" s="11"/>
      <c r="S543" s="11" t="s">
        <v>1181</v>
      </c>
      <c r="T543" s="157"/>
    </row>
    <row r="544" spans="1:20" ht="11.45" customHeight="1" x14ac:dyDescent="0.2">
      <c r="A544" s="33" t="s">
        <v>879</v>
      </c>
      <c r="B544" s="7">
        <f t="shared" si="65"/>
        <v>3202</v>
      </c>
      <c r="C544" s="7">
        <f t="shared" si="68"/>
        <v>3202</v>
      </c>
      <c r="D544" s="9" t="s">
        <v>895</v>
      </c>
      <c r="E544" s="8" t="s">
        <v>429</v>
      </c>
      <c r="F544" s="7">
        <v>1</v>
      </c>
      <c r="G544" s="7">
        <v>1</v>
      </c>
      <c r="H544" s="7"/>
      <c r="I544" s="9">
        <f t="shared" si="69"/>
        <v>2</v>
      </c>
      <c r="J544" s="9">
        <f t="shared" si="70"/>
        <v>1</v>
      </c>
      <c r="K544" s="10" t="s">
        <v>673</v>
      </c>
      <c r="L544" s="11" t="s">
        <v>234</v>
      </c>
      <c r="M544" s="11"/>
      <c r="N544" s="11"/>
      <c r="O544" s="11"/>
      <c r="P544" s="121"/>
      <c r="Q544" s="121"/>
      <c r="R544" s="11"/>
      <c r="S544" s="11" t="s">
        <v>1181</v>
      </c>
      <c r="T544" s="157"/>
    </row>
    <row r="545" spans="1:20" ht="11.45" customHeight="1" x14ac:dyDescent="0.2">
      <c r="A545" s="33" t="s">
        <v>879</v>
      </c>
      <c r="B545" s="7">
        <f t="shared" si="65"/>
        <v>3203</v>
      </c>
      <c r="C545" s="7">
        <f t="shared" si="68"/>
        <v>3203</v>
      </c>
      <c r="D545" s="9" t="s">
        <v>895</v>
      </c>
      <c r="E545" s="8" t="s">
        <v>747</v>
      </c>
      <c r="F545" s="7">
        <v>1</v>
      </c>
      <c r="G545" s="7">
        <v>1</v>
      </c>
      <c r="H545" s="7"/>
      <c r="I545" s="9">
        <f t="shared" si="69"/>
        <v>2</v>
      </c>
      <c r="J545" s="9">
        <f t="shared" si="70"/>
        <v>1</v>
      </c>
      <c r="K545" s="10" t="s">
        <v>673</v>
      </c>
      <c r="L545" s="11" t="s">
        <v>234</v>
      </c>
      <c r="M545" s="11"/>
      <c r="N545" s="11"/>
      <c r="O545" s="11"/>
      <c r="P545" s="121"/>
      <c r="Q545" s="121"/>
      <c r="R545" s="11"/>
      <c r="S545" s="11" t="s">
        <v>1181</v>
      </c>
      <c r="T545" s="157"/>
    </row>
    <row r="546" spans="1:20" ht="11.45" customHeight="1" x14ac:dyDescent="0.2">
      <c r="A546" s="33" t="s">
        <v>879</v>
      </c>
      <c r="B546" s="7">
        <f t="shared" si="65"/>
        <v>3204</v>
      </c>
      <c r="C546" s="7">
        <f t="shared" si="68"/>
        <v>3204</v>
      </c>
      <c r="D546" s="9" t="s">
        <v>895</v>
      </c>
      <c r="E546" s="8" t="s">
        <v>447</v>
      </c>
      <c r="F546" s="7">
        <v>1</v>
      </c>
      <c r="G546" s="7">
        <v>1</v>
      </c>
      <c r="H546" s="7"/>
      <c r="I546" s="9">
        <f t="shared" si="69"/>
        <v>2</v>
      </c>
      <c r="J546" s="9">
        <f t="shared" si="70"/>
        <v>1</v>
      </c>
      <c r="K546" s="10" t="s">
        <v>673</v>
      </c>
      <c r="L546" s="11" t="s">
        <v>234</v>
      </c>
      <c r="M546" s="11"/>
      <c r="N546" s="11"/>
      <c r="O546" s="11"/>
      <c r="P546" s="123"/>
      <c r="Q546" s="121"/>
      <c r="R546" s="11"/>
      <c r="S546" s="11" t="s">
        <v>1181</v>
      </c>
      <c r="T546" s="157"/>
    </row>
    <row r="547" spans="1:20" ht="11.45" customHeight="1" x14ac:dyDescent="0.2">
      <c r="A547" s="33" t="s">
        <v>879</v>
      </c>
      <c r="B547" s="7">
        <f>C546+1</f>
        <v>3205</v>
      </c>
      <c r="C547" s="7">
        <f t="shared" si="68"/>
        <v>3205</v>
      </c>
      <c r="D547" s="9" t="s">
        <v>895</v>
      </c>
      <c r="E547" s="8" t="s">
        <v>748</v>
      </c>
      <c r="F547" s="7">
        <v>1</v>
      </c>
      <c r="G547" s="7">
        <v>1</v>
      </c>
      <c r="H547" s="7"/>
      <c r="I547" s="9">
        <f t="shared" si="69"/>
        <v>2</v>
      </c>
      <c r="J547" s="9">
        <f t="shared" si="70"/>
        <v>1</v>
      </c>
      <c r="K547" s="10" t="s">
        <v>673</v>
      </c>
      <c r="L547" s="11" t="s">
        <v>234</v>
      </c>
      <c r="M547" s="11"/>
      <c r="N547" s="11"/>
      <c r="O547" s="11"/>
      <c r="P547" s="123"/>
      <c r="Q547" s="121"/>
      <c r="R547" s="11"/>
      <c r="S547" s="11" t="s">
        <v>1181</v>
      </c>
      <c r="T547" s="157"/>
    </row>
    <row r="548" spans="1:20" ht="11.45" customHeight="1" x14ac:dyDescent="0.2">
      <c r="A548" s="33" t="s">
        <v>879</v>
      </c>
      <c r="B548" s="7">
        <f t="shared" si="65"/>
        <v>3206</v>
      </c>
      <c r="C548" s="7">
        <f t="shared" si="68"/>
        <v>3206</v>
      </c>
      <c r="D548" s="9" t="s">
        <v>895</v>
      </c>
      <c r="E548" s="8" t="s">
        <v>749</v>
      </c>
      <c r="F548" s="7">
        <v>1</v>
      </c>
      <c r="G548" s="7">
        <v>1</v>
      </c>
      <c r="H548" s="7"/>
      <c r="I548" s="9">
        <f t="shared" si="69"/>
        <v>2</v>
      </c>
      <c r="J548" s="9">
        <f t="shared" si="70"/>
        <v>1</v>
      </c>
      <c r="K548" s="10" t="s">
        <v>673</v>
      </c>
      <c r="L548" s="11" t="s">
        <v>234</v>
      </c>
      <c r="M548" s="11"/>
      <c r="N548" s="11"/>
      <c r="O548" s="11"/>
      <c r="P548" s="121"/>
      <c r="Q548" s="121"/>
      <c r="R548" s="11"/>
      <c r="S548" s="11" t="s">
        <v>1181</v>
      </c>
      <c r="T548" s="157"/>
    </row>
    <row r="549" spans="1:20" ht="11.45" customHeight="1" x14ac:dyDescent="0.2">
      <c r="A549" s="33" t="s">
        <v>879</v>
      </c>
      <c r="B549" s="7">
        <f t="shared" si="65"/>
        <v>3207</v>
      </c>
      <c r="C549" s="7">
        <f t="shared" si="68"/>
        <v>3207</v>
      </c>
      <c r="D549" s="9" t="s">
        <v>895</v>
      </c>
      <c r="E549" s="8" t="s">
        <v>430</v>
      </c>
      <c r="F549" s="7">
        <v>1</v>
      </c>
      <c r="G549" s="7">
        <v>1</v>
      </c>
      <c r="H549" s="7"/>
      <c r="I549" s="9">
        <f t="shared" si="69"/>
        <v>2</v>
      </c>
      <c r="J549" s="9">
        <f t="shared" si="70"/>
        <v>1</v>
      </c>
      <c r="K549" s="10" t="s">
        <v>673</v>
      </c>
      <c r="L549" s="11" t="s">
        <v>234</v>
      </c>
      <c r="M549" s="11"/>
      <c r="N549" s="11"/>
      <c r="O549" s="11"/>
      <c r="P549" s="121"/>
      <c r="Q549" s="121"/>
      <c r="R549" s="11"/>
      <c r="S549" s="11" t="s">
        <v>1181</v>
      </c>
      <c r="T549" s="157"/>
    </row>
    <row r="550" spans="1:20" ht="11.45" customHeight="1" x14ac:dyDescent="0.2">
      <c r="A550" s="33" t="s">
        <v>879</v>
      </c>
      <c r="B550" s="7">
        <f t="shared" si="65"/>
        <v>3208</v>
      </c>
      <c r="C550" s="7">
        <f t="shared" si="68"/>
        <v>3208</v>
      </c>
      <c r="D550" s="9" t="s">
        <v>895</v>
      </c>
      <c r="E550" s="8" t="s">
        <v>750</v>
      </c>
      <c r="F550" s="7">
        <v>1</v>
      </c>
      <c r="G550" s="7">
        <v>1</v>
      </c>
      <c r="H550" s="7"/>
      <c r="I550" s="9">
        <f t="shared" si="69"/>
        <v>2</v>
      </c>
      <c r="J550" s="9">
        <f t="shared" si="70"/>
        <v>1</v>
      </c>
      <c r="K550" s="10" t="s">
        <v>673</v>
      </c>
      <c r="L550" s="11" t="s">
        <v>234</v>
      </c>
      <c r="M550" s="11"/>
      <c r="N550" s="11"/>
      <c r="O550" s="11"/>
      <c r="P550" s="121"/>
      <c r="Q550" s="121"/>
      <c r="R550" s="11"/>
      <c r="S550" s="11" t="s">
        <v>1181</v>
      </c>
      <c r="T550" s="157"/>
    </row>
    <row r="551" spans="1:20" ht="11.45" customHeight="1" x14ac:dyDescent="0.2">
      <c r="A551" s="33" t="s">
        <v>879</v>
      </c>
      <c r="B551" s="7">
        <f>C550+1</f>
        <v>3209</v>
      </c>
      <c r="C551" s="7">
        <f t="shared" si="68"/>
        <v>3209</v>
      </c>
      <c r="D551" s="9" t="s">
        <v>895</v>
      </c>
      <c r="E551" s="8" t="s">
        <v>448</v>
      </c>
      <c r="F551" s="7">
        <v>1</v>
      </c>
      <c r="G551" s="7">
        <v>1</v>
      </c>
      <c r="H551" s="7"/>
      <c r="I551" s="9">
        <f t="shared" si="69"/>
        <v>2</v>
      </c>
      <c r="J551" s="9">
        <f t="shared" si="70"/>
        <v>1</v>
      </c>
      <c r="K551" s="10" t="s">
        <v>673</v>
      </c>
      <c r="L551" s="11" t="s">
        <v>234</v>
      </c>
      <c r="M551" s="11"/>
      <c r="N551" s="11"/>
      <c r="O551" s="11"/>
      <c r="P551" s="123"/>
      <c r="Q551" s="121"/>
      <c r="R551" s="11"/>
      <c r="S551" s="11" t="s">
        <v>1181</v>
      </c>
      <c r="T551" s="157"/>
    </row>
    <row r="552" spans="1:20" ht="11.45" customHeight="1" x14ac:dyDescent="0.2">
      <c r="A552" s="33" t="s">
        <v>879</v>
      </c>
      <c r="B552" s="7">
        <f>C551+1</f>
        <v>3210</v>
      </c>
      <c r="C552" s="7">
        <f t="shared" si="68"/>
        <v>3210</v>
      </c>
      <c r="D552" s="9" t="s">
        <v>895</v>
      </c>
      <c r="E552" s="8" t="s">
        <v>751</v>
      </c>
      <c r="F552" s="7">
        <v>1</v>
      </c>
      <c r="G552" s="7">
        <v>1</v>
      </c>
      <c r="H552" s="7"/>
      <c r="I552" s="9">
        <f t="shared" si="69"/>
        <v>2</v>
      </c>
      <c r="J552" s="9">
        <f t="shared" si="70"/>
        <v>1</v>
      </c>
      <c r="K552" s="10" t="s">
        <v>673</v>
      </c>
      <c r="L552" s="11" t="s">
        <v>234</v>
      </c>
      <c r="M552" s="11"/>
      <c r="N552" s="11"/>
      <c r="O552" s="11"/>
      <c r="P552" s="123"/>
      <c r="Q552" s="121"/>
      <c r="R552" s="11"/>
      <c r="S552" s="11" t="s">
        <v>1181</v>
      </c>
      <c r="T552" s="157"/>
    </row>
    <row r="553" spans="1:20" ht="11.45" customHeight="1" x14ac:dyDescent="0.2">
      <c r="A553" s="33" t="s">
        <v>879</v>
      </c>
      <c r="B553" s="7">
        <f t="shared" si="65"/>
        <v>3211</v>
      </c>
      <c r="C553" s="7">
        <f t="shared" si="68"/>
        <v>3211</v>
      </c>
      <c r="D553" s="9" t="s">
        <v>895</v>
      </c>
      <c r="E553" s="8" t="s">
        <v>752</v>
      </c>
      <c r="F553" s="7">
        <v>1</v>
      </c>
      <c r="G553" s="7">
        <v>1</v>
      </c>
      <c r="H553" s="7"/>
      <c r="I553" s="9">
        <f t="shared" si="69"/>
        <v>2</v>
      </c>
      <c r="J553" s="9">
        <f t="shared" si="70"/>
        <v>1</v>
      </c>
      <c r="K553" s="10" t="s">
        <v>673</v>
      </c>
      <c r="L553" s="11" t="s">
        <v>234</v>
      </c>
      <c r="M553" s="11"/>
      <c r="N553" s="11"/>
      <c r="O553" s="11"/>
      <c r="P553" s="121"/>
      <c r="Q553" s="121"/>
      <c r="R553" s="11"/>
      <c r="S553" s="11" t="s">
        <v>1181</v>
      </c>
      <c r="T553" s="157"/>
    </row>
    <row r="554" spans="1:20" ht="11.45" customHeight="1" x14ac:dyDescent="0.2">
      <c r="A554" s="33" t="s">
        <v>879</v>
      </c>
      <c r="B554" s="7">
        <f t="shared" si="65"/>
        <v>3212</v>
      </c>
      <c r="C554" s="7">
        <f t="shared" si="68"/>
        <v>3212</v>
      </c>
      <c r="D554" s="9" t="s">
        <v>895</v>
      </c>
      <c r="E554" s="8" t="s">
        <v>431</v>
      </c>
      <c r="F554" s="7">
        <v>1</v>
      </c>
      <c r="G554" s="7">
        <v>1</v>
      </c>
      <c r="H554" s="7"/>
      <c r="I554" s="9">
        <f t="shared" si="69"/>
        <v>2</v>
      </c>
      <c r="J554" s="9">
        <f t="shared" si="70"/>
        <v>1</v>
      </c>
      <c r="K554" s="10" t="s">
        <v>673</v>
      </c>
      <c r="L554" s="11" t="s">
        <v>234</v>
      </c>
      <c r="M554" s="11"/>
      <c r="N554" s="11"/>
      <c r="O554" s="11"/>
      <c r="P554" s="121"/>
      <c r="Q554" s="121"/>
      <c r="R554" s="11"/>
      <c r="S554" s="11" t="s">
        <v>1181</v>
      </c>
      <c r="T554" s="157"/>
    </row>
    <row r="555" spans="1:20" ht="11.45" customHeight="1" x14ac:dyDescent="0.2">
      <c r="A555" s="33" t="s">
        <v>879</v>
      </c>
      <c r="B555" s="7">
        <f t="shared" si="65"/>
        <v>3213</v>
      </c>
      <c r="C555" s="7">
        <f t="shared" si="68"/>
        <v>3213</v>
      </c>
      <c r="D555" s="9" t="s">
        <v>895</v>
      </c>
      <c r="E555" s="8" t="s">
        <v>518</v>
      </c>
      <c r="F555" s="7">
        <v>1</v>
      </c>
      <c r="G555" s="7">
        <v>1</v>
      </c>
      <c r="H555" s="7"/>
      <c r="I555" s="9">
        <f t="shared" si="69"/>
        <v>2</v>
      </c>
      <c r="J555" s="9">
        <f t="shared" si="70"/>
        <v>1</v>
      </c>
      <c r="K555" s="10" t="s">
        <v>673</v>
      </c>
      <c r="L555" s="11" t="s">
        <v>234</v>
      </c>
      <c r="M555" s="11"/>
      <c r="N555" s="11"/>
      <c r="O555" s="11"/>
      <c r="P555" s="121"/>
      <c r="Q555" s="121"/>
      <c r="R555" s="11"/>
      <c r="S555" s="11" t="s">
        <v>1181</v>
      </c>
      <c r="T555" s="157"/>
    </row>
    <row r="556" spans="1:20" ht="11.45" customHeight="1" x14ac:dyDescent="0.2">
      <c r="A556" s="33" t="s">
        <v>879</v>
      </c>
      <c r="B556" s="7">
        <f t="shared" si="65"/>
        <v>3214</v>
      </c>
      <c r="C556" s="7">
        <f>B556+($F556*$G556)-1</f>
        <v>3214</v>
      </c>
      <c r="D556" s="9" t="s">
        <v>895</v>
      </c>
      <c r="E556" s="8" t="s">
        <v>834</v>
      </c>
      <c r="F556" s="7">
        <v>1</v>
      </c>
      <c r="G556" s="7">
        <v>1</v>
      </c>
      <c r="H556" s="7"/>
      <c r="I556" s="9">
        <f t="shared" si="69"/>
        <v>2</v>
      </c>
      <c r="J556" s="9">
        <f t="shared" si="70"/>
        <v>1</v>
      </c>
      <c r="K556" s="10" t="s">
        <v>673</v>
      </c>
      <c r="L556" s="11" t="s">
        <v>234</v>
      </c>
      <c r="M556" s="11"/>
      <c r="N556" s="11"/>
      <c r="O556" s="11"/>
      <c r="P556" s="123"/>
      <c r="Q556" s="121"/>
      <c r="R556" s="11"/>
      <c r="S556" s="11" t="s">
        <v>1181</v>
      </c>
      <c r="T556" s="117"/>
    </row>
    <row r="557" spans="1:20" ht="11.45" customHeight="1" x14ac:dyDescent="0.2">
      <c r="A557" s="33" t="s">
        <v>879</v>
      </c>
      <c r="B557" s="7">
        <f>C556+1</f>
        <v>3215</v>
      </c>
      <c r="C557" s="7">
        <f>B557+($F557*$G557)-1</f>
        <v>3215</v>
      </c>
      <c r="D557" s="9" t="s">
        <v>895</v>
      </c>
      <c r="E557" s="8" t="s">
        <v>923</v>
      </c>
      <c r="F557" s="7">
        <v>1</v>
      </c>
      <c r="G557" s="7">
        <v>1</v>
      </c>
      <c r="H557" s="7"/>
      <c r="I557" s="9">
        <f t="shared" si="69"/>
        <v>2</v>
      </c>
      <c r="J557" s="9">
        <f t="shared" si="70"/>
        <v>1</v>
      </c>
      <c r="K557" s="10" t="s">
        <v>673</v>
      </c>
      <c r="L557" s="11" t="s">
        <v>234</v>
      </c>
      <c r="M557" s="11"/>
      <c r="N557" s="11"/>
      <c r="O557" s="11"/>
      <c r="P557" s="123"/>
      <c r="Q557" s="121"/>
      <c r="R557" s="11"/>
      <c r="S557" s="11" t="s">
        <v>1181</v>
      </c>
      <c r="T557" s="117"/>
    </row>
    <row r="558" spans="1:20" ht="11.45" customHeight="1" x14ac:dyDescent="0.2">
      <c r="A558" s="33"/>
      <c r="B558" s="47">
        <f>B559</f>
        <v>4001</v>
      </c>
      <c r="C558" s="46"/>
      <c r="D558" s="48"/>
      <c r="E558" s="26" t="s">
        <v>1051</v>
      </c>
      <c r="F558" s="46"/>
      <c r="G558" s="46"/>
      <c r="H558" s="46"/>
      <c r="I558" s="48"/>
      <c r="J558" s="48"/>
      <c r="K558" s="49"/>
      <c r="L558" s="32"/>
      <c r="M558" s="32"/>
      <c r="N558" s="32"/>
      <c r="O558" s="32"/>
      <c r="P558" s="122"/>
      <c r="R558" s="143"/>
      <c r="S558" s="143"/>
      <c r="T558" s="156"/>
    </row>
    <row r="559" spans="1:20" ht="11.45" customHeight="1" x14ac:dyDescent="0.2">
      <c r="A559" s="33" t="s">
        <v>879</v>
      </c>
      <c r="B559" s="7">
        <v>4001</v>
      </c>
      <c r="C559" s="7">
        <f t="shared" ref="C559:C564" si="71">B559+($F559*$G559)-1</f>
        <v>4016</v>
      </c>
      <c r="D559" s="9" t="s">
        <v>895</v>
      </c>
      <c r="E559" s="8" t="s">
        <v>1398</v>
      </c>
      <c r="F559" s="7">
        <v>16</v>
      </c>
      <c r="G559" s="248">
        <v>1</v>
      </c>
      <c r="H559" s="7"/>
      <c r="I559" s="9">
        <f t="shared" ref="I559:I564" si="72">F559*2*G559</f>
        <v>32</v>
      </c>
      <c r="J559" s="9">
        <f t="shared" ref="J559:J564" si="73">C559-B559+1</f>
        <v>16</v>
      </c>
      <c r="K559" s="165" t="s">
        <v>1401</v>
      </c>
      <c r="L559" s="9" t="s">
        <v>234</v>
      </c>
      <c r="M559" s="154"/>
      <c r="N559" s="7"/>
      <c r="O559" s="11"/>
      <c r="P559" s="10"/>
      <c r="Q559" s="10"/>
      <c r="R559" s="11"/>
      <c r="S559" s="11" t="s">
        <v>1181</v>
      </c>
      <c r="T559" s="157"/>
    </row>
    <row r="560" spans="1:20" ht="11.45" customHeight="1" x14ac:dyDescent="0.2">
      <c r="A560" s="33" t="s">
        <v>879</v>
      </c>
      <c r="B560" s="7">
        <v>4017</v>
      </c>
      <c r="C560" s="7">
        <f t="shared" si="71"/>
        <v>4032</v>
      </c>
      <c r="D560" s="9" t="s">
        <v>895</v>
      </c>
      <c r="E560" s="8" t="s">
        <v>1393</v>
      </c>
      <c r="F560" s="7">
        <v>16</v>
      </c>
      <c r="G560" s="248">
        <v>1</v>
      </c>
      <c r="H560" s="7"/>
      <c r="I560" s="9">
        <f t="shared" si="72"/>
        <v>32</v>
      </c>
      <c r="J560" s="9">
        <f t="shared" si="73"/>
        <v>16</v>
      </c>
      <c r="K560" s="7" t="s">
        <v>1397</v>
      </c>
      <c r="L560" s="9" t="s">
        <v>234</v>
      </c>
      <c r="M560" s="154"/>
      <c r="N560" s="7"/>
      <c r="O560" s="11"/>
      <c r="P560" s="10"/>
      <c r="Q560" s="10"/>
      <c r="R560" s="11"/>
      <c r="S560" s="11" t="s">
        <v>1181</v>
      </c>
      <c r="T560" s="157"/>
    </row>
    <row r="561" spans="1:20" ht="11.45" customHeight="1" x14ac:dyDescent="0.2">
      <c r="A561" s="33" t="s">
        <v>879</v>
      </c>
      <c r="B561" s="330">
        <v>4033</v>
      </c>
      <c r="C561" s="330">
        <f t="shared" si="71"/>
        <v>4064</v>
      </c>
      <c r="D561" s="333" t="s">
        <v>895</v>
      </c>
      <c r="E561" s="339" t="s">
        <v>1395</v>
      </c>
      <c r="F561" s="330">
        <v>32</v>
      </c>
      <c r="G561" s="344">
        <v>1</v>
      </c>
      <c r="H561" s="330"/>
      <c r="I561" s="333">
        <f t="shared" si="72"/>
        <v>64</v>
      </c>
      <c r="J561" s="333">
        <f t="shared" si="73"/>
        <v>32</v>
      </c>
      <c r="K561" s="330" t="s">
        <v>1404</v>
      </c>
      <c r="L561" s="333" t="s">
        <v>234</v>
      </c>
      <c r="M561" s="345"/>
      <c r="N561" s="330"/>
      <c r="O561" s="11"/>
      <c r="P561" s="340"/>
      <c r="Q561" s="340"/>
      <c r="R561" s="11"/>
      <c r="S561" s="11" t="s">
        <v>1181</v>
      </c>
      <c r="T561" s="341"/>
    </row>
    <row r="562" spans="1:20" ht="11.45" customHeight="1" x14ac:dyDescent="0.2">
      <c r="A562" s="33" t="s">
        <v>879</v>
      </c>
      <c r="B562" s="7">
        <v>4065</v>
      </c>
      <c r="C562" s="7">
        <f t="shared" si="71"/>
        <v>4080</v>
      </c>
      <c r="D562" s="9" t="s">
        <v>895</v>
      </c>
      <c r="E562" s="8" t="s">
        <v>1399</v>
      </c>
      <c r="F562" s="7">
        <v>16</v>
      </c>
      <c r="G562" s="248">
        <v>1</v>
      </c>
      <c r="H562" s="7"/>
      <c r="I562" s="9">
        <f t="shared" si="72"/>
        <v>32</v>
      </c>
      <c r="J562" s="9">
        <f t="shared" si="73"/>
        <v>16</v>
      </c>
      <c r="K562" s="7" t="s">
        <v>1402</v>
      </c>
      <c r="L562" s="9" t="s">
        <v>234</v>
      </c>
      <c r="M562" s="154"/>
      <c r="N562" s="7"/>
      <c r="O562" s="11"/>
      <c r="P562" s="10"/>
      <c r="Q562" s="10"/>
      <c r="R562" s="11"/>
      <c r="S562" s="11" t="s">
        <v>1181</v>
      </c>
      <c r="T562" s="157"/>
    </row>
    <row r="563" spans="1:20" ht="11.45" customHeight="1" x14ac:dyDescent="0.2">
      <c r="A563" s="33" t="s">
        <v>879</v>
      </c>
      <c r="B563" s="330">
        <v>4081</v>
      </c>
      <c r="C563" s="330">
        <f t="shared" si="71"/>
        <v>4096</v>
      </c>
      <c r="D563" s="333" t="s">
        <v>895</v>
      </c>
      <c r="E563" s="339" t="s">
        <v>1392</v>
      </c>
      <c r="F563" s="330">
        <v>16</v>
      </c>
      <c r="G563" s="344">
        <v>1</v>
      </c>
      <c r="H563" s="330"/>
      <c r="I563" s="333">
        <f t="shared" si="72"/>
        <v>32</v>
      </c>
      <c r="J563" s="333">
        <f t="shared" si="73"/>
        <v>16</v>
      </c>
      <c r="K563" s="330" t="s">
        <v>1396</v>
      </c>
      <c r="L563" s="333" t="s">
        <v>234</v>
      </c>
      <c r="M563" s="345"/>
      <c r="N563" s="330"/>
      <c r="O563" s="11"/>
      <c r="P563" s="340"/>
      <c r="Q563" s="340"/>
      <c r="R563" s="11"/>
      <c r="S563" s="11" t="s">
        <v>1181</v>
      </c>
      <c r="T563" s="341"/>
    </row>
    <row r="564" spans="1:20" ht="11.45" customHeight="1" x14ac:dyDescent="0.2">
      <c r="A564" s="33" t="s">
        <v>879</v>
      </c>
      <c r="B564" s="330">
        <v>4097</v>
      </c>
      <c r="C564" s="330">
        <f t="shared" si="71"/>
        <v>4128</v>
      </c>
      <c r="D564" s="333" t="s">
        <v>895</v>
      </c>
      <c r="E564" s="339" t="s">
        <v>1394</v>
      </c>
      <c r="F564" s="330">
        <v>32</v>
      </c>
      <c r="G564" s="344">
        <v>1</v>
      </c>
      <c r="H564" s="330"/>
      <c r="I564" s="333">
        <f t="shared" si="72"/>
        <v>64</v>
      </c>
      <c r="J564" s="333">
        <f t="shared" si="73"/>
        <v>32</v>
      </c>
      <c r="K564" s="330" t="s">
        <v>1403</v>
      </c>
      <c r="L564" s="333" t="s">
        <v>234</v>
      </c>
      <c r="M564" s="345"/>
      <c r="N564" s="330"/>
      <c r="O564" s="11"/>
      <c r="P564" s="340"/>
      <c r="Q564" s="340"/>
      <c r="R564" s="11"/>
      <c r="S564" s="11" t="s">
        <v>1181</v>
      </c>
      <c r="T564" s="341"/>
    </row>
    <row r="565" spans="1:20" ht="11.45" customHeight="1" x14ac:dyDescent="0.2">
      <c r="A565" s="33"/>
      <c r="B565" s="47">
        <f>B566</f>
        <v>4201</v>
      </c>
      <c r="C565" s="26"/>
      <c r="D565" s="28"/>
      <c r="E565" s="26" t="s">
        <v>282</v>
      </c>
      <c r="F565" s="26"/>
      <c r="G565" s="26"/>
      <c r="H565" s="26"/>
      <c r="I565" s="28"/>
      <c r="J565" s="28"/>
      <c r="K565" s="27"/>
      <c r="L565" s="50"/>
      <c r="M565" s="50"/>
      <c r="N565" s="50"/>
      <c r="O565" s="50"/>
      <c r="R565" s="146"/>
      <c r="S565" s="146"/>
      <c r="T565" s="158"/>
    </row>
    <row r="566" spans="1:20" ht="11.45" customHeight="1" x14ac:dyDescent="0.2">
      <c r="A566" s="33" t="s">
        <v>879</v>
      </c>
      <c r="B566" s="7">
        <v>4201</v>
      </c>
      <c r="C566" s="7">
        <f>B566+($F566*$G566)-1</f>
        <v>4456</v>
      </c>
      <c r="D566" s="168" t="s">
        <v>895</v>
      </c>
      <c r="E566" s="179" t="s">
        <v>476</v>
      </c>
      <c r="F566" s="7">
        <v>256</v>
      </c>
      <c r="G566" s="7">
        <v>1</v>
      </c>
      <c r="H566" s="7"/>
      <c r="I566" s="9">
        <f>F566*G566*2</f>
        <v>512</v>
      </c>
      <c r="J566" s="9">
        <f>C566-B566+1</f>
        <v>256</v>
      </c>
      <c r="K566" s="165" t="s">
        <v>1262</v>
      </c>
      <c r="L566" s="11" t="s">
        <v>234</v>
      </c>
      <c r="M566" s="11"/>
      <c r="N566" s="11"/>
      <c r="O566" s="11"/>
      <c r="P566" s="136"/>
      <c r="Q566" s="136"/>
      <c r="R566" s="11"/>
      <c r="S566" s="11" t="s">
        <v>1181</v>
      </c>
      <c r="T566" s="117"/>
    </row>
    <row r="567" spans="1:20" ht="11.45" customHeight="1" x14ac:dyDescent="0.2">
      <c r="A567" s="33" t="s">
        <v>879</v>
      </c>
      <c r="B567" s="7">
        <f>C566+1</f>
        <v>4457</v>
      </c>
      <c r="C567" s="7">
        <f>B567+($F567*$G567)-1</f>
        <v>4712</v>
      </c>
      <c r="D567" s="168" t="s">
        <v>895</v>
      </c>
      <c r="E567" s="179" t="s">
        <v>1067</v>
      </c>
      <c r="F567" s="7">
        <v>256</v>
      </c>
      <c r="G567" s="7">
        <v>1</v>
      </c>
      <c r="H567" s="7"/>
      <c r="I567" s="9">
        <f>F567*G567*2</f>
        <v>512</v>
      </c>
      <c r="J567" s="9">
        <f>C567-B567+1</f>
        <v>256</v>
      </c>
      <c r="K567" s="165" t="s">
        <v>1066</v>
      </c>
      <c r="L567" s="11" t="s">
        <v>234</v>
      </c>
      <c r="M567" s="11"/>
      <c r="N567" s="11"/>
      <c r="O567" s="11"/>
      <c r="P567" s="136"/>
      <c r="Q567" s="136"/>
      <c r="R567" s="11"/>
      <c r="S567" s="11" t="s">
        <v>1181</v>
      </c>
      <c r="T567" s="117"/>
    </row>
    <row r="568" spans="1:20" ht="11.45" customHeight="1" x14ac:dyDescent="0.2">
      <c r="A568" s="33"/>
      <c r="B568" s="47">
        <f>B569</f>
        <v>6001</v>
      </c>
      <c r="C568" s="46"/>
      <c r="D568" s="48"/>
      <c r="E568" s="26" t="s">
        <v>756</v>
      </c>
      <c r="F568" s="46"/>
      <c r="G568" s="46"/>
      <c r="H568" s="46"/>
      <c r="I568" s="48"/>
      <c r="J568" s="48"/>
      <c r="K568" s="49"/>
      <c r="L568" s="32"/>
      <c r="M568" s="32"/>
      <c r="N568" s="32"/>
      <c r="O568" s="32"/>
      <c r="P568" s="122"/>
      <c r="R568" s="143"/>
      <c r="S568" s="143"/>
      <c r="T568" s="156"/>
    </row>
    <row r="569" spans="1:20" ht="11.45" customHeight="1" x14ac:dyDescent="0.2">
      <c r="A569" s="33" t="s">
        <v>879</v>
      </c>
      <c r="B569" s="7">
        <v>6001</v>
      </c>
      <c r="C569" s="7">
        <f>B569+($F569*$G569)-1</f>
        <v>6256</v>
      </c>
      <c r="D569" s="168" t="s">
        <v>895</v>
      </c>
      <c r="E569" s="179" t="s">
        <v>477</v>
      </c>
      <c r="F569" s="7">
        <v>256</v>
      </c>
      <c r="G569" s="7">
        <v>1</v>
      </c>
      <c r="H569" s="7"/>
      <c r="I569" s="9">
        <f>F569*G569*2</f>
        <v>512</v>
      </c>
      <c r="J569" s="9">
        <f>C569-B569+1</f>
        <v>256</v>
      </c>
      <c r="K569" s="165" t="s">
        <v>897</v>
      </c>
      <c r="L569" s="11" t="s">
        <v>234</v>
      </c>
      <c r="M569" s="11"/>
      <c r="N569" s="11"/>
      <c r="O569" s="11"/>
      <c r="P569" s="136"/>
      <c r="Q569" s="136"/>
      <c r="R569" s="11"/>
      <c r="S569" s="11" t="s">
        <v>1181</v>
      </c>
      <c r="T569" s="117"/>
    </row>
    <row r="570" spans="1:20" ht="11.45" customHeight="1" x14ac:dyDescent="0.2">
      <c r="A570" s="33" t="s">
        <v>879</v>
      </c>
      <c r="B570" s="7">
        <f>C569+1</f>
        <v>6257</v>
      </c>
      <c r="C570" s="7">
        <f>B570+($F570*$G570)-1</f>
        <v>6512</v>
      </c>
      <c r="D570" s="9" t="s">
        <v>895</v>
      </c>
      <c r="E570" s="8" t="s">
        <v>1263</v>
      </c>
      <c r="F570" s="7">
        <v>256</v>
      </c>
      <c r="G570" s="7">
        <v>1</v>
      </c>
      <c r="H570" s="7"/>
      <c r="I570" s="9">
        <f>F570*2*G570</f>
        <v>512</v>
      </c>
      <c r="J570" s="9">
        <f>C570-B570+1</f>
        <v>256</v>
      </c>
      <c r="K570" s="165" t="s">
        <v>897</v>
      </c>
      <c r="L570" s="11" t="s">
        <v>234</v>
      </c>
      <c r="M570" s="11"/>
      <c r="N570" s="11"/>
      <c r="O570" s="11"/>
      <c r="P570" s="10"/>
      <c r="Q570" s="10"/>
      <c r="R570" s="11"/>
      <c r="S570" s="11" t="s">
        <v>1181</v>
      </c>
      <c r="T570" s="157"/>
    </row>
    <row r="571" spans="1:20" ht="11.45" customHeight="1" x14ac:dyDescent="0.2">
      <c r="A571" s="33"/>
      <c r="B571" s="47">
        <f>B572</f>
        <v>8990</v>
      </c>
      <c r="C571" s="46"/>
      <c r="D571" s="48"/>
      <c r="E571" s="26" t="s">
        <v>1705</v>
      </c>
      <c r="F571" s="46"/>
      <c r="G571" s="46"/>
      <c r="H571" s="46"/>
      <c r="I571" s="48"/>
      <c r="J571" s="48"/>
      <c r="K571" s="49"/>
      <c r="L571" s="32"/>
      <c r="M571" s="32"/>
      <c r="N571" s="32"/>
      <c r="O571" s="32"/>
      <c r="P571" s="122"/>
      <c r="R571" s="143"/>
      <c r="S571" s="143"/>
      <c r="T571" s="156"/>
    </row>
    <row r="572" spans="1:20" ht="11.45" customHeight="1" x14ac:dyDescent="0.2">
      <c r="A572" s="33" t="s">
        <v>879</v>
      </c>
      <c r="B572" s="7">
        <v>8990</v>
      </c>
      <c r="C572" s="7">
        <f>B572+($F572*$G572)-1</f>
        <v>8990</v>
      </c>
      <c r="D572" s="168" t="s">
        <v>895</v>
      </c>
      <c r="E572" s="179" t="s">
        <v>1706</v>
      </c>
      <c r="F572" s="7">
        <v>1</v>
      </c>
      <c r="G572" s="7">
        <v>1</v>
      </c>
      <c r="H572" s="7"/>
      <c r="I572" s="9">
        <f>F572*G572*2</f>
        <v>2</v>
      </c>
      <c r="J572" s="9">
        <f>C572-B572+1</f>
        <v>1</v>
      </c>
      <c r="K572" s="165" t="s">
        <v>897</v>
      </c>
      <c r="L572" s="11" t="s">
        <v>234</v>
      </c>
      <c r="M572" s="11"/>
      <c r="N572" s="11"/>
      <c r="O572" s="11"/>
      <c r="P572" s="136"/>
      <c r="Q572" s="136"/>
      <c r="R572" s="11"/>
      <c r="S572" s="11" t="s">
        <v>1181</v>
      </c>
      <c r="T572" s="117"/>
    </row>
    <row r="573" spans="1:20" ht="11.45" customHeight="1" x14ac:dyDescent="0.2">
      <c r="A573" s="33" t="s">
        <v>879</v>
      </c>
      <c r="B573" s="7">
        <f>C572+1</f>
        <v>8991</v>
      </c>
      <c r="C573" s="7">
        <f>B573+($F573*$G573)-1</f>
        <v>8991</v>
      </c>
      <c r="D573" s="9" t="s">
        <v>895</v>
      </c>
      <c r="E573" s="8" t="s">
        <v>1707</v>
      </c>
      <c r="F573" s="7">
        <v>1</v>
      </c>
      <c r="G573" s="7">
        <v>1</v>
      </c>
      <c r="H573" s="7"/>
      <c r="I573" s="9">
        <f>F573*2*G573</f>
        <v>2</v>
      </c>
      <c r="J573" s="9">
        <f>C573-B573+1</f>
        <v>1</v>
      </c>
      <c r="K573" s="165" t="s">
        <v>897</v>
      </c>
      <c r="L573" s="11" t="s">
        <v>234</v>
      </c>
      <c r="M573" s="11"/>
      <c r="N573" s="11"/>
      <c r="O573" s="11"/>
      <c r="P573" s="10"/>
      <c r="Q573" s="10"/>
      <c r="R573" s="11"/>
      <c r="S573" s="11" t="s">
        <v>1181</v>
      </c>
      <c r="T573" s="157"/>
    </row>
    <row r="574" spans="1:20" ht="11.45" customHeight="1" x14ac:dyDescent="0.2">
      <c r="A574" s="33"/>
      <c r="B574" s="47">
        <f>B575</f>
        <v>9001</v>
      </c>
      <c r="C574" s="46"/>
      <c r="D574" s="48"/>
      <c r="E574" s="26" t="s">
        <v>1089</v>
      </c>
      <c r="F574" s="46"/>
      <c r="G574" s="46"/>
      <c r="H574" s="46"/>
      <c r="I574" s="48"/>
      <c r="J574" s="48"/>
      <c r="K574" s="49"/>
      <c r="L574" s="32"/>
      <c r="M574" s="32"/>
      <c r="N574" s="32"/>
      <c r="O574" s="32"/>
      <c r="P574" s="122"/>
      <c r="R574" s="143"/>
      <c r="S574" s="143"/>
      <c r="T574" s="156"/>
    </row>
    <row r="575" spans="1:20" ht="11.45" customHeight="1" x14ac:dyDescent="0.2">
      <c r="A575" s="33" t="s">
        <v>879</v>
      </c>
      <c r="B575" s="7">
        <v>9001</v>
      </c>
      <c r="C575" s="7">
        <f t="shared" ref="C575:C600" si="74">B575+($F575*$G575)-1</f>
        <v>9002</v>
      </c>
      <c r="D575" s="9" t="s">
        <v>895</v>
      </c>
      <c r="E575" s="8" t="s">
        <v>1276</v>
      </c>
      <c r="F575" s="7">
        <v>2</v>
      </c>
      <c r="G575" s="248">
        <v>1</v>
      </c>
      <c r="H575" s="7"/>
      <c r="I575" s="9">
        <f t="shared" ref="I575:I600" si="75">F575*2*G575</f>
        <v>4</v>
      </c>
      <c r="J575" s="9">
        <f t="shared" ref="J575:J600" si="76">C575-B575+1</f>
        <v>2</v>
      </c>
      <c r="K575" s="7" t="s">
        <v>1090</v>
      </c>
      <c r="L575" s="9" t="s">
        <v>234</v>
      </c>
      <c r="M575" s="154"/>
      <c r="N575" s="7"/>
      <c r="O575" s="11"/>
      <c r="P575" s="10"/>
      <c r="Q575" s="10"/>
      <c r="R575" s="11"/>
      <c r="S575" s="11" t="s">
        <v>1181</v>
      </c>
      <c r="T575" s="157"/>
    </row>
    <row r="576" spans="1:20" ht="11.45" customHeight="1" x14ac:dyDescent="0.2">
      <c r="A576" s="33" t="s">
        <v>879</v>
      </c>
      <c r="B576" s="7">
        <f t="shared" ref="B576:B602" si="77">C575+1</f>
        <v>9003</v>
      </c>
      <c r="C576" s="7">
        <f t="shared" si="74"/>
        <v>9004</v>
      </c>
      <c r="D576" s="9" t="s">
        <v>895</v>
      </c>
      <c r="E576" s="8" t="s">
        <v>1277</v>
      </c>
      <c r="F576" s="7">
        <v>2</v>
      </c>
      <c r="G576" s="248">
        <v>1</v>
      </c>
      <c r="H576" s="7"/>
      <c r="I576" s="9">
        <f t="shared" si="75"/>
        <v>4</v>
      </c>
      <c r="J576" s="9">
        <f t="shared" si="76"/>
        <v>2</v>
      </c>
      <c r="K576" s="7" t="s">
        <v>1090</v>
      </c>
      <c r="L576" s="9" t="s">
        <v>234</v>
      </c>
      <c r="M576" s="154"/>
      <c r="N576" s="7"/>
      <c r="O576" s="11"/>
      <c r="P576" s="10"/>
      <c r="Q576" s="10"/>
      <c r="R576" s="11"/>
      <c r="S576" s="11" t="s">
        <v>1181</v>
      </c>
      <c r="T576" s="157"/>
    </row>
    <row r="577" spans="1:20" ht="11.45" customHeight="1" x14ac:dyDescent="0.2">
      <c r="A577" s="33" t="s">
        <v>879</v>
      </c>
      <c r="B577" s="7">
        <f t="shared" si="77"/>
        <v>9005</v>
      </c>
      <c r="C577" s="7">
        <f t="shared" si="74"/>
        <v>9006</v>
      </c>
      <c r="D577" s="9" t="s">
        <v>895</v>
      </c>
      <c r="E577" s="8" t="s">
        <v>1711</v>
      </c>
      <c r="F577" s="7">
        <v>2</v>
      </c>
      <c r="G577" s="248">
        <v>1</v>
      </c>
      <c r="H577" s="7"/>
      <c r="I577" s="9">
        <f t="shared" si="75"/>
        <v>4</v>
      </c>
      <c r="J577" s="9">
        <f t="shared" si="76"/>
        <v>2</v>
      </c>
      <c r="K577" s="7" t="s">
        <v>1090</v>
      </c>
      <c r="L577" s="9" t="s">
        <v>234</v>
      </c>
      <c r="M577" s="154"/>
      <c r="N577" s="7"/>
      <c r="O577" s="11"/>
      <c r="P577" s="10"/>
      <c r="Q577" s="10"/>
      <c r="R577" s="11"/>
      <c r="S577" s="11" t="s">
        <v>1181</v>
      </c>
      <c r="T577" s="157"/>
    </row>
    <row r="578" spans="1:20" ht="11.45" customHeight="1" x14ac:dyDescent="0.2">
      <c r="A578" s="33" t="s">
        <v>879</v>
      </c>
      <c r="B578" s="7">
        <f t="shared" si="77"/>
        <v>9007</v>
      </c>
      <c r="C578" s="7">
        <f t="shared" si="74"/>
        <v>9008</v>
      </c>
      <c r="D578" s="9" t="s">
        <v>895</v>
      </c>
      <c r="E578" s="8" t="s">
        <v>1278</v>
      </c>
      <c r="F578" s="7">
        <v>2</v>
      </c>
      <c r="G578" s="248">
        <v>1</v>
      </c>
      <c r="H578" s="7"/>
      <c r="I578" s="9">
        <f t="shared" si="75"/>
        <v>4</v>
      </c>
      <c r="J578" s="9">
        <f t="shared" si="76"/>
        <v>2</v>
      </c>
      <c r="K578" s="7" t="s">
        <v>1090</v>
      </c>
      <c r="L578" s="9" t="s">
        <v>234</v>
      </c>
      <c r="M578" s="154"/>
      <c r="N578" s="7"/>
      <c r="O578" s="11"/>
      <c r="P578" s="10"/>
      <c r="Q578" s="10"/>
      <c r="R578" s="11"/>
      <c r="S578" s="11" t="s">
        <v>1181</v>
      </c>
      <c r="T578" s="157"/>
    </row>
    <row r="579" spans="1:20" ht="11.45" customHeight="1" x14ac:dyDescent="0.2">
      <c r="A579" s="33" t="s">
        <v>879</v>
      </c>
      <c r="B579" s="7">
        <f t="shared" si="77"/>
        <v>9009</v>
      </c>
      <c r="C579" s="7">
        <f t="shared" si="74"/>
        <v>9010</v>
      </c>
      <c r="D579" s="9" t="s">
        <v>895</v>
      </c>
      <c r="E579" s="8" t="s">
        <v>1279</v>
      </c>
      <c r="F579" s="7">
        <v>2</v>
      </c>
      <c r="G579" s="248">
        <v>1</v>
      </c>
      <c r="H579" s="7"/>
      <c r="I579" s="9">
        <f t="shared" si="75"/>
        <v>4</v>
      </c>
      <c r="J579" s="9">
        <f t="shared" si="76"/>
        <v>2</v>
      </c>
      <c r="K579" s="7" t="s">
        <v>1090</v>
      </c>
      <c r="L579" s="9" t="s">
        <v>234</v>
      </c>
      <c r="M579" s="154"/>
      <c r="N579" s="7"/>
      <c r="O579" s="11"/>
      <c r="P579" s="10"/>
      <c r="Q579" s="10"/>
      <c r="R579" s="11"/>
      <c r="S579" s="11" t="s">
        <v>1181</v>
      </c>
      <c r="T579" s="157"/>
    </row>
    <row r="580" spans="1:20" ht="11.45" customHeight="1" x14ac:dyDescent="0.2">
      <c r="A580" s="33" t="s">
        <v>879</v>
      </c>
      <c r="B580" s="7">
        <f t="shared" si="77"/>
        <v>9011</v>
      </c>
      <c r="C580" s="7">
        <f t="shared" si="74"/>
        <v>9012</v>
      </c>
      <c r="D580" s="9" t="s">
        <v>895</v>
      </c>
      <c r="E580" s="8" t="s">
        <v>1280</v>
      </c>
      <c r="F580" s="7">
        <v>2</v>
      </c>
      <c r="G580" s="248">
        <v>1</v>
      </c>
      <c r="H580" s="7"/>
      <c r="I580" s="9">
        <f t="shared" si="75"/>
        <v>4</v>
      </c>
      <c r="J580" s="9">
        <f t="shared" si="76"/>
        <v>2</v>
      </c>
      <c r="K580" s="7" t="s">
        <v>1090</v>
      </c>
      <c r="L580" s="9" t="s">
        <v>234</v>
      </c>
      <c r="M580" s="154"/>
      <c r="N580" s="7"/>
      <c r="O580" s="11"/>
      <c r="P580" s="10"/>
      <c r="Q580" s="10"/>
      <c r="R580" s="11"/>
      <c r="S580" s="11" t="s">
        <v>1181</v>
      </c>
      <c r="T580" s="157"/>
    </row>
    <row r="581" spans="1:20" ht="11.25" customHeight="1" x14ac:dyDescent="0.2">
      <c r="A581" s="33" t="s">
        <v>879</v>
      </c>
      <c r="B581" s="7">
        <f t="shared" si="77"/>
        <v>9013</v>
      </c>
      <c r="C581" s="7">
        <f t="shared" si="74"/>
        <v>9014</v>
      </c>
      <c r="D581" s="9" t="s">
        <v>895</v>
      </c>
      <c r="E581" s="8" t="s">
        <v>1281</v>
      </c>
      <c r="F581" s="7">
        <v>2</v>
      </c>
      <c r="G581" s="248">
        <v>1</v>
      </c>
      <c r="H581" s="7"/>
      <c r="I581" s="9">
        <f t="shared" si="75"/>
        <v>4</v>
      </c>
      <c r="J581" s="9">
        <f t="shared" si="76"/>
        <v>2</v>
      </c>
      <c r="K581" s="7" t="s">
        <v>1090</v>
      </c>
      <c r="L581" s="9" t="s">
        <v>234</v>
      </c>
      <c r="M581" s="154"/>
      <c r="N581" s="7"/>
      <c r="O581" s="11"/>
      <c r="P581" s="10"/>
      <c r="Q581" s="10"/>
      <c r="R581" s="11"/>
      <c r="S581" s="11" t="s">
        <v>1181</v>
      </c>
      <c r="T581" s="157"/>
    </row>
    <row r="582" spans="1:20" ht="11.25" customHeight="1" x14ac:dyDescent="0.2">
      <c r="A582" s="33" t="s">
        <v>879</v>
      </c>
      <c r="B582" s="7">
        <f t="shared" si="77"/>
        <v>9015</v>
      </c>
      <c r="C582" s="7">
        <f t="shared" si="74"/>
        <v>9016</v>
      </c>
      <c r="D582" s="9" t="s">
        <v>895</v>
      </c>
      <c r="E582" s="8" t="s">
        <v>1282</v>
      </c>
      <c r="F582" s="7">
        <v>2</v>
      </c>
      <c r="G582" s="248">
        <v>1</v>
      </c>
      <c r="H582" s="7"/>
      <c r="I582" s="9">
        <f t="shared" si="75"/>
        <v>4</v>
      </c>
      <c r="J582" s="9">
        <f t="shared" si="76"/>
        <v>2</v>
      </c>
      <c r="K582" s="7" t="s">
        <v>1090</v>
      </c>
      <c r="L582" s="9" t="s">
        <v>234</v>
      </c>
      <c r="M582" s="154"/>
      <c r="N582" s="7"/>
      <c r="O582" s="11"/>
      <c r="P582" s="10"/>
      <c r="Q582" s="10"/>
      <c r="R582" s="11"/>
      <c r="S582" s="11" t="s">
        <v>1181</v>
      </c>
      <c r="T582" s="157"/>
    </row>
    <row r="583" spans="1:20" ht="11.25" customHeight="1" x14ac:dyDescent="0.2">
      <c r="A583" s="33" t="s">
        <v>879</v>
      </c>
      <c r="B583" s="7">
        <f t="shared" si="77"/>
        <v>9017</v>
      </c>
      <c r="C583" s="7">
        <f t="shared" si="74"/>
        <v>9018</v>
      </c>
      <c r="D583" s="9" t="s">
        <v>895</v>
      </c>
      <c r="E583" s="8" t="s">
        <v>1821</v>
      </c>
      <c r="F583" s="7">
        <v>2</v>
      </c>
      <c r="G583" s="248">
        <v>1</v>
      </c>
      <c r="H583" s="7"/>
      <c r="I583" s="9">
        <f t="shared" si="75"/>
        <v>4</v>
      </c>
      <c r="J583" s="9">
        <f t="shared" si="76"/>
        <v>2</v>
      </c>
      <c r="K583" s="7" t="s">
        <v>1090</v>
      </c>
      <c r="L583" s="9" t="s">
        <v>234</v>
      </c>
      <c r="M583" s="154"/>
      <c r="N583" s="7"/>
      <c r="O583" s="11"/>
      <c r="P583" s="10"/>
      <c r="Q583" s="10"/>
      <c r="R583" s="11"/>
      <c r="S583" s="11" t="s">
        <v>1181</v>
      </c>
      <c r="T583" s="157"/>
    </row>
    <row r="584" spans="1:20" ht="11.25" customHeight="1" x14ac:dyDescent="0.2">
      <c r="A584" s="33" t="s">
        <v>879</v>
      </c>
      <c r="B584" s="7">
        <f t="shared" si="77"/>
        <v>9019</v>
      </c>
      <c r="C584" s="7">
        <f t="shared" si="74"/>
        <v>9020</v>
      </c>
      <c r="D584" s="9" t="s">
        <v>895</v>
      </c>
      <c r="E584" s="8" t="s">
        <v>1818</v>
      </c>
      <c r="F584" s="7">
        <v>2</v>
      </c>
      <c r="G584" s="248">
        <v>1</v>
      </c>
      <c r="H584" s="7"/>
      <c r="I584" s="9">
        <f t="shared" si="75"/>
        <v>4</v>
      </c>
      <c r="J584" s="9">
        <f t="shared" si="76"/>
        <v>2</v>
      </c>
      <c r="K584" s="7" t="s">
        <v>1090</v>
      </c>
      <c r="L584" s="9" t="s">
        <v>234</v>
      </c>
      <c r="M584" s="154"/>
      <c r="N584" s="7"/>
      <c r="O584" s="11"/>
      <c r="P584" s="10"/>
      <c r="Q584" s="10"/>
      <c r="R584" s="11"/>
      <c r="S584" s="11" t="s">
        <v>1181</v>
      </c>
      <c r="T584" s="157"/>
    </row>
    <row r="585" spans="1:20" ht="11.25" customHeight="1" x14ac:dyDescent="0.2">
      <c r="A585" s="33" t="s">
        <v>879</v>
      </c>
      <c r="B585" s="7">
        <f t="shared" si="77"/>
        <v>9021</v>
      </c>
      <c r="C585" s="7">
        <f t="shared" si="74"/>
        <v>9022</v>
      </c>
      <c r="D585" s="9" t="s">
        <v>895</v>
      </c>
      <c r="E585" s="8" t="s">
        <v>1283</v>
      </c>
      <c r="F585" s="7">
        <v>2</v>
      </c>
      <c r="G585" s="248">
        <v>1</v>
      </c>
      <c r="H585" s="7"/>
      <c r="I585" s="9">
        <f t="shared" si="75"/>
        <v>4</v>
      </c>
      <c r="J585" s="9">
        <f t="shared" si="76"/>
        <v>2</v>
      </c>
      <c r="K585" s="7" t="s">
        <v>1090</v>
      </c>
      <c r="L585" s="9" t="s">
        <v>234</v>
      </c>
      <c r="M585" s="154"/>
      <c r="N585" s="7"/>
      <c r="O585" s="11"/>
      <c r="P585" s="10"/>
      <c r="Q585" s="10"/>
      <c r="R585" s="11"/>
      <c r="S585" s="11" t="s">
        <v>1181</v>
      </c>
      <c r="T585" s="157"/>
    </row>
    <row r="586" spans="1:20" ht="11.25" customHeight="1" x14ac:dyDescent="0.2">
      <c r="A586" s="33" t="s">
        <v>879</v>
      </c>
      <c r="B586" s="7">
        <f t="shared" si="77"/>
        <v>9023</v>
      </c>
      <c r="C586" s="7">
        <f t="shared" si="74"/>
        <v>9024</v>
      </c>
      <c r="D586" s="9" t="s">
        <v>895</v>
      </c>
      <c r="E586" s="8" t="s">
        <v>1284</v>
      </c>
      <c r="F586" s="7">
        <v>2</v>
      </c>
      <c r="G586" s="248">
        <v>1</v>
      </c>
      <c r="H586" s="7"/>
      <c r="I586" s="9">
        <f t="shared" si="75"/>
        <v>4</v>
      </c>
      <c r="J586" s="9">
        <f t="shared" si="76"/>
        <v>2</v>
      </c>
      <c r="K586" s="7" t="s">
        <v>1090</v>
      </c>
      <c r="L586" s="9" t="s">
        <v>234</v>
      </c>
      <c r="M586" s="154"/>
      <c r="N586" s="7"/>
      <c r="O586" s="11"/>
      <c r="P586" s="10"/>
      <c r="Q586" s="10"/>
      <c r="R586" s="11"/>
      <c r="S586" s="11" t="s">
        <v>1181</v>
      </c>
      <c r="T586" s="157"/>
    </row>
    <row r="587" spans="1:20" ht="11.25" customHeight="1" x14ac:dyDescent="0.2">
      <c r="A587" s="33" t="s">
        <v>879</v>
      </c>
      <c r="B587" s="7">
        <f t="shared" si="77"/>
        <v>9025</v>
      </c>
      <c r="C587" s="7">
        <f t="shared" si="74"/>
        <v>9026</v>
      </c>
      <c r="D587" s="9" t="s">
        <v>895</v>
      </c>
      <c r="E587" s="8" t="s">
        <v>1285</v>
      </c>
      <c r="F587" s="7">
        <v>2</v>
      </c>
      <c r="G587" s="248">
        <v>1</v>
      </c>
      <c r="H587" s="7"/>
      <c r="I587" s="9">
        <f t="shared" si="75"/>
        <v>4</v>
      </c>
      <c r="J587" s="9">
        <f t="shared" si="76"/>
        <v>2</v>
      </c>
      <c r="K587" s="7" t="s">
        <v>1090</v>
      </c>
      <c r="L587" s="9" t="s">
        <v>234</v>
      </c>
      <c r="M587" s="154"/>
      <c r="N587" s="7"/>
      <c r="O587" s="11"/>
      <c r="P587" s="10"/>
      <c r="Q587" s="10"/>
      <c r="R587" s="11"/>
      <c r="S587" s="11" t="s">
        <v>1181</v>
      </c>
      <c r="T587" s="157"/>
    </row>
    <row r="588" spans="1:20" ht="11.25" customHeight="1" x14ac:dyDescent="0.2">
      <c r="A588" s="33" t="s">
        <v>879</v>
      </c>
      <c r="B588" s="7">
        <f t="shared" si="77"/>
        <v>9027</v>
      </c>
      <c r="C588" s="7">
        <f t="shared" si="74"/>
        <v>9028</v>
      </c>
      <c r="D588" s="9" t="s">
        <v>895</v>
      </c>
      <c r="E588" s="8" t="s">
        <v>1286</v>
      </c>
      <c r="F588" s="7">
        <v>2</v>
      </c>
      <c r="G588" s="248">
        <v>1</v>
      </c>
      <c r="H588" s="7"/>
      <c r="I588" s="9">
        <f t="shared" si="75"/>
        <v>4</v>
      </c>
      <c r="J588" s="9">
        <f t="shared" si="76"/>
        <v>2</v>
      </c>
      <c r="K588" s="7" t="s">
        <v>1090</v>
      </c>
      <c r="L588" s="9" t="s">
        <v>234</v>
      </c>
      <c r="M588" s="154"/>
      <c r="N588" s="7"/>
      <c r="O588" s="11"/>
      <c r="P588" s="10"/>
      <c r="Q588" s="10"/>
      <c r="R588" s="11"/>
      <c r="S588" s="11" t="s">
        <v>1181</v>
      </c>
      <c r="T588" s="157"/>
    </row>
    <row r="589" spans="1:20" ht="11.25" customHeight="1" x14ac:dyDescent="0.2">
      <c r="A589" s="33" t="s">
        <v>879</v>
      </c>
      <c r="B589" s="7">
        <f t="shared" si="77"/>
        <v>9029</v>
      </c>
      <c r="C589" s="7">
        <f t="shared" si="74"/>
        <v>9030</v>
      </c>
      <c r="D589" s="9" t="s">
        <v>895</v>
      </c>
      <c r="E589" s="8" t="s">
        <v>1287</v>
      </c>
      <c r="F589" s="7">
        <v>2</v>
      </c>
      <c r="G589" s="248">
        <v>1</v>
      </c>
      <c r="H589" s="7"/>
      <c r="I589" s="9">
        <f t="shared" si="75"/>
        <v>4</v>
      </c>
      <c r="J589" s="9">
        <f t="shared" si="76"/>
        <v>2</v>
      </c>
      <c r="K589" s="7" t="s">
        <v>1090</v>
      </c>
      <c r="L589" s="9" t="s">
        <v>234</v>
      </c>
      <c r="M589" s="154"/>
      <c r="N589" s="7"/>
      <c r="O589" s="11"/>
      <c r="P589" s="10"/>
      <c r="Q589" s="10"/>
      <c r="R589" s="11"/>
      <c r="S589" s="11" t="s">
        <v>1181</v>
      </c>
      <c r="T589" s="157"/>
    </row>
    <row r="590" spans="1:20" ht="11.25" customHeight="1" x14ac:dyDescent="0.2">
      <c r="A590" s="33" t="s">
        <v>879</v>
      </c>
      <c r="B590" s="7">
        <f t="shared" si="77"/>
        <v>9031</v>
      </c>
      <c r="C590" s="7">
        <f t="shared" si="74"/>
        <v>9032</v>
      </c>
      <c r="D590" s="9" t="s">
        <v>895</v>
      </c>
      <c r="E590" s="8" t="s">
        <v>1337</v>
      </c>
      <c r="F590" s="7">
        <v>2</v>
      </c>
      <c r="G590" s="248">
        <v>1</v>
      </c>
      <c r="H590" s="7"/>
      <c r="I590" s="9">
        <f t="shared" si="75"/>
        <v>4</v>
      </c>
      <c r="J590" s="9">
        <f t="shared" si="76"/>
        <v>2</v>
      </c>
      <c r="K590" s="7" t="s">
        <v>1090</v>
      </c>
      <c r="L590" s="9" t="s">
        <v>234</v>
      </c>
      <c r="M590" s="154"/>
      <c r="N590" s="7"/>
      <c r="O590" s="11"/>
      <c r="P590" s="10"/>
      <c r="Q590" s="10"/>
      <c r="R590" s="11"/>
      <c r="S590" s="11" t="s">
        <v>1181</v>
      </c>
      <c r="T590" s="157"/>
    </row>
    <row r="591" spans="1:20" ht="11.25" customHeight="1" x14ac:dyDescent="0.2">
      <c r="A591" s="33" t="s">
        <v>879</v>
      </c>
      <c r="B591" s="7">
        <f t="shared" si="77"/>
        <v>9033</v>
      </c>
      <c r="C591" s="7">
        <f t="shared" si="74"/>
        <v>9034</v>
      </c>
      <c r="D591" s="9" t="s">
        <v>895</v>
      </c>
      <c r="E591" s="8" t="s">
        <v>1288</v>
      </c>
      <c r="F591" s="7">
        <v>2</v>
      </c>
      <c r="G591" s="248">
        <v>1</v>
      </c>
      <c r="H591" s="7"/>
      <c r="I591" s="9">
        <f t="shared" si="75"/>
        <v>4</v>
      </c>
      <c r="J591" s="9">
        <f t="shared" si="76"/>
        <v>2</v>
      </c>
      <c r="K591" s="7" t="s">
        <v>1090</v>
      </c>
      <c r="L591" s="9" t="s">
        <v>234</v>
      </c>
      <c r="M591" s="154"/>
      <c r="N591" s="7"/>
      <c r="O591" s="11"/>
      <c r="P591" s="10"/>
      <c r="Q591" s="10"/>
      <c r="R591" s="11"/>
      <c r="S591" s="11" t="s">
        <v>1181</v>
      </c>
      <c r="T591" s="157"/>
    </row>
    <row r="592" spans="1:20" ht="11.25" customHeight="1" x14ac:dyDescent="0.2">
      <c r="A592" s="33" t="s">
        <v>879</v>
      </c>
      <c r="B592" s="7">
        <f t="shared" si="77"/>
        <v>9035</v>
      </c>
      <c r="C592" s="7">
        <f t="shared" si="74"/>
        <v>9036</v>
      </c>
      <c r="D592" s="9" t="s">
        <v>895</v>
      </c>
      <c r="E592" s="8" t="s">
        <v>1289</v>
      </c>
      <c r="F592" s="7">
        <v>2</v>
      </c>
      <c r="G592" s="248">
        <v>1</v>
      </c>
      <c r="H592" s="7"/>
      <c r="I592" s="9">
        <f t="shared" si="75"/>
        <v>4</v>
      </c>
      <c r="J592" s="9">
        <f t="shared" si="76"/>
        <v>2</v>
      </c>
      <c r="K592" s="7" t="s">
        <v>1090</v>
      </c>
      <c r="L592" s="9" t="s">
        <v>234</v>
      </c>
      <c r="M592" s="154"/>
      <c r="N592" s="7"/>
      <c r="O592" s="11"/>
      <c r="P592" s="10"/>
      <c r="Q592" s="10"/>
      <c r="R592" s="11"/>
      <c r="S592" s="11" t="s">
        <v>1181</v>
      </c>
      <c r="T592" s="157"/>
    </row>
    <row r="593" spans="1:20" x14ac:dyDescent="0.2">
      <c r="A593" s="33" t="s">
        <v>879</v>
      </c>
      <c r="B593" s="7">
        <f t="shared" si="77"/>
        <v>9037</v>
      </c>
      <c r="C593" s="7">
        <f t="shared" si="74"/>
        <v>9038</v>
      </c>
      <c r="D593" s="9" t="s">
        <v>895</v>
      </c>
      <c r="E593" s="8" t="s">
        <v>1290</v>
      </c>
      <c r="F593" s="7">
        <v>2</v>
      </c>
      <c r="G593" s="248">
        <v>1</v>
      </c>
      <c r="H593" s="7"/>
      <c r="I593" s="9">
        <f t="shared" si="75"/>
        <v>4</v>
      </c>
      <c r="J593" s="9">
        <f t="shared" si="76"/>
        <v>2</v>
      </c>
      <c r="K593" s="7" t="s">
        <v>1090</v>
      </c>
      <c r="L593" s="9" t="s">
        <v>234</v>
      </c>
      <c r="M593" s="154"/>
      <c r="N593" s="7"/>
      <c r="O593" s="11"/>
      <c r="P593" s="10"/>
      <c r="Q593" s="10"/>
      <c r="R593" s="11"/>
      <c r="S593" s="11" t="s">
        <v>1181</v>
      </c>
      <c r="T593" s="157"/>
    </row>
    <row r="594" spans="1:20" ht="11.25" customHeight="1" x14ac:dyDescent="0.2">
      <c r="A594" s="33" t="s">
        <v>879</v>
      </c>
      <c r="B594" s="7">
        <f t="shared" si="77"/>
        <v>9039</v>
      </c>
      <c r="C594" s="7">
        <f t="shared" si="74"/>
        <v>9040</v>
      </c>
      <c r="D594" s="9" t="s">
        <v>895</v>
      </c>
      <c r="E594" s="8" t="s">
        <v>1291</v>
      </c>
      <c r="F594" s="7">
        <v>2</v>
      </c>
      <c r="G594" s="248">
        <v>1</v>
      </c>
      <c r="H594" s="7"/>
      <c r="I594" s="9">
        <f t="shared" si="75"/>
        <v>4</v>
      </c>
      <c r="J594" s="9">
        <f t="shared" si="76"/>
        <v>2</v>
      </c>
      <c r="K594" s="7" t="s">
        <v>1090</v>
      </c>
      <c r="L594" s="9" t="s">
        <v>234</v>
      </c>
      <c r="M594" s="154"/>
      <c r="N594" s="7"/>
      <c r="O594" s="11"/>
      <c r="P594" s="10"/>
      <c r="Q594" s="10"/>
      <c r="R594" s="11"/>
      <c r="S594" s="11" t="s">
        <v>1181</v>
      </c>
      <c r="T594" s="157"/>
    </row>
    <row r="595" spans="1:20" ht="11.25" customHeight="1" x14ac:dyDescent="0.2">
      <c r="A595" s="33" t="s">
        <v>879</v>
      </c>
      <c r="B595" s="7">
        <f t="shared" si="77"/>
        <v>9041</v>
      </c>
      <c r="C595" s="7">
        <f t="shared" si="74"/>
        <v>9042</v>
      </c>
      <c r="D595" s="9" t="s">
        <v>895</v>
      </c>
      <c r="E595" s="8" t="s">
        <v>1292</v>
      </c>
      <c r="F595" s="7">
        <v>2</v>
      </c>
      <c r="G595" s="248">
        <v>1</v>
      </c>
      <c r="H595" s="7"/>
      <c r="I595" s="9">
        <f t="shared" si="75"/>
        <v>4</v>
      </c>
      <c r="J595" s="9">
        <f t="shared" si="76"/>
        <v>2</v>
      </c>
      <c r="K595" s="7" t="s">
        <v>1090</v>
      </c>
      <c r="L595" s="9" t="s">
        <v>234</v>
      </c>
      <c r="M595" s="154"/>
      <c r="N595" s="7"/>
      <c r="O595" s="11"/>
      <c r="P595" s="10"/>
      <c r="Q595" s="10"/>
      <c r="R595" s="11"/>
      <c r="S595" s="11" t="s">
        <v>1181</v>
      </c>
      <c r="T595" s="157"/>
    </row>
    <row r="596" spans="1:20" ht="11.25" customHeight="1" x14ac:dyDescent="0.2">
      <c r="A596" s="33" t="s">
        <v>879</v>
      </c>
      <c r="B596" s="7">
        <f t="shared" si="77"/>
        <v>9043</v>
      </c>
      <c r="C596" s="7">
        <f t="shared" si="74"/>
        <v>9044</v>
      </c>
      <c r="D596" s="9" t="s">
        <v>895</v>
      </c>
      <c r="E596" s="8" t="s">
        <v>1339</v>
      </c>
      <c r="F596" s="7">
        <v>2</v>
      </c>
      <c r="G596" s="248">
        <v>1</v>
      </c>
      <c r="H596" s="7"/>
      <c r="I596" s="9">
        <f t="shared" si="75"/>
        <v>4</v>
      </c>
      <c r="J596" s="9">
        <f t="shared" si="76"/>
        <v>2</v>
      </c>
      <c r="K596" s="7" t="s">
        <v>1090</v>
      </c>
      <c r="L596" s="9" t="s">
        <v>234</v>
      </c>
      <c r="M596" s="154"/>
      <c r="N596" s="7"/>
      <c r="O596" s="11"/>
      <c r="P596" s="10"/>
      <c r="Q596" s="10"/>
      <c r="R596" s="11"/>
      <c r="S596" s="11" t="s">
        <v>1181</v>
      </c>
      <c r="T596" s="157"/>
    </row>
    <row r="597" spans="1:20" x14ac:dyDescent="0.2">
      <c r="A597" s="33" t="s">
        <v>879</v>
      </c>
      <c r="B597" s="7">
        <f t="shared" si="77"/>
        <v>9045</v>
      </c>
      <c r="C597" s="7">
        <f>B597+($F597*$G597)-1</f>
        <v>9046</v>
      </c>
      <c r="D597" s="9" t="s">
        <v>895</v>
      </c>
      <c r="E597" s="8" t="s">
        <v>1338</v>
      </c>
      <c r="F597" s="7">
        <v>2</v>
      </c>
      <c r="G597" s="248">
        <v>1</v>
      </c>
      <c r="H597" s="7"/>
      <c r="I597" s="9">
        <f t="shared" si="75"/>
        <v>4</v>
      </c>
      <c r="J597" s="9">
        <f t="shared" si="76"/>
        <v>2</v>
      </c>
      <c r="K597" s="7" t="s">
        <v>1090</v>
      </c>
      <c r="L597" s="9" t="s">
        <v>234</v>
      </c>
      <c r="M597" s="154"/>
      <c r="N597" s="7"/>
      <c r="O597" s="11"/>
      <c r="P597" s="10"/>
      <c r="Q597" s="10"/>
      <c r="R597" s="11"/>
      <c r="S597" s="11" t="s">
        <v>1181</v>
      </c>
      <c r="T597" s="157"/>
    </row>
    <row r="598" spans="1:20" x14ac:dyDescent="0.2">
      <c r="A598" s="33" t="s">
        <v>879</v>
      </c>
      <c r="B598" s="7">
        <f>C597+1</f>
        <v>9047</v>
      </c>
      <c r="C598" s="7">
        <f t="shared" si="74"/>
        <v>9048</v>
      </c>
      <c r="D598" s="9" t="s">
        <v>895</v>
      </c>
      <c r="E598" s="8" t="s">
        <v>1720</v>
      </c>
      <c r="F598" s="7">
        <v>2</v>
      </c>
      <c r="G598" s="248">
        <v>1</v>
      </c>
      <c r="H598" s="7"/>
      <c r="I598" s="9">
        <f t="shared" si="75"/>
        <v>4</v>
      </c>
      <c r="J598" s="9">
        <f t="shared" si="76"/>
        <v>2</v>
      </c>
      <c r="K598" s="7" t="s">
        <v>1090</v>
      </c>
      <c r="L598" s="9" t="s">
        <v>234</v>
      </c>
      <c r="M598" s="154"/>
      <c r="N598" s="7"/>
      <c r="O598" s="11"/>
      <c r="P598" s="10"/>
      <c r="Q598" s="10"/>
      <c r="R598" s="11"/>
      <c r="S598" s="11" t="s">
        <v>1181</v>
      </c>
      <c r="T598" s="157"/>
    </row>
    <row r="599" spans="1:20" ht="11.25" customHeight="1" x14ac:dyDescent="0.2">
      <c r="A599" s="33" t="s">
        <v>879</v>
      </c>
      <c r="B599" s="7">
        <f t="shared" si="77"/>
        <v>9049</v>
      </c>
      <c r="C599" s="7">
        <f t="shared" si="74"/>
        <v>9050</v>
      </c>
      <c r="D599" s="9" t="s">
        <v>895</v>
      </c>
      <c r="E599" s="8" t="s">
        <v>1721</v>
      </c>
      <c r="F599" s="7">
        <v>2</v>
      </c>
      <c r="G599" s="248">
        <v>1</v>
      </c>
      <c r="H599" s="7"/>
      <c r="I599" s="9">
        <f t="shared" si="75"/>
        <v>4</v>
      </c>
      <c r="J599" s="9">
        <f t="shared" si="76"/>
        <v>2</v>
      </c>
      <c r="K599" s="7" t="s">
        <v>1090</v>
      </c>
      <c r="L599" s="9" t="s">
        <v>234</v>
      </c>
      <c r="M599" s="154"/>
      <c r="N599" s="7"/>
      <c r="O599" s="11"/>
      <c r="P599" s="10"/>
      <c r="Q599" s="10"/>
      <c r="R599" s="11"/>
      <c r="S599" s="11" t="s">
        <v>1181</v>
      </c>
      <c r="T599" s="157"/>
    </row>
    <row r="600" spans="1:20" ht="11.25" customHeight="1" x14ac:dyDescent="0.2">
      <c r="A600" s="33" t="s">
        <v>879</v>
      </c>
      <c r="B600" s="7">
        <f t="shared" si="77"/>
        <v>9051</v>
      </c>
      <c r="C600" s="7">
        <f t="shared" si="74"/>
        <v>9052</v>
      </c>
      <c r="D600" s="9" t="s">
        <v>895</v>
      </c>
      <c r="E600" s="8" t="s">
        <v>1822</v>
      </c>
      <c r="F600" s="7">
        <v>2</v>
      </c>
      <c r="G600" s="248">
        <v>1</v>
      </c>
      <c r="H600" s="7"/>
      <c r="I600" s="9">
        <f t="shared" si="75"/>
        <v>4</v>
      </c>
      <c r="J600" s="9">
        <f t="shared" si="76"/>
        <v>2</v>
      </c>
      <c r="K600" s="7" t="s">
        <v>1090</v>
      </c>
      <c r="L600" s="9" t="s">
        <v>234</v>
      </c>
      <c r="M600" s="154"/>
      <c r="N600" s="7"/>
      <c r="O600" s="11"/>
      <c r="P600" s="10"/>
      <c r="Q600" s="10"/>
      <c r="R600" s="11"/>
      <c r="S600" s="11" t="s">
        <v>1181</v>
      </c>
      <c r="T600" s="157"/>
    </row>
    <row r="601" spans="1:20" x14ac:dyDescent="0.2">
      <c r="A601" s="33" t="s">
        <v>879</v>
      </c>
      <c r="B601" s="7">
        <f>C600+1</f>
        <v>9053</v>
      </c>
      <c r="C601" s="7">
        <f>B601+($F601*$G601)-1</f>
        <v>9054</v>
      </c>
      <c r="D601" s="9" t="s">
        <v>895</v>
      </c>
      <c r="E601" s="8" t="s">
        <v>1820</v>
      </c>
      <c r="F601" s="7">
        <v>2</v>
      </c>
      <c r="G601" s="248">
        <v>1</v>
      </c>
      <c r="H601" s="7"/>
      <c r="I601" s="9">
        <f>F601*2*G601</f>
        <v>4</v>
      </c>
      <c r="J601" s="9">
        <f>C601-B601+1</f>
        <v>2</v>
      </c>
      <c r="K601" s="7" t="s">
        <v>1090</v>
      </c>
      <c r="L601" s="9" t="s">
        <v>234</v>
      </c>
      <c r="M601" s="154"/>
      <c r="N601" s="7"/>
      <c r="O601" s="11"/>
      <c r="P601" s="10"/>
      <c r="Q601" s="10"/>
      <c r="R601" s="11"/>
      <c r="S601" s="11" t="s">
        <v>1181</v>
      </c>
      <c r="T601" s="157"/>
    </row>
    <row r="602" spans="1:20" ht="11.25" customHeight="1" x14ac:dyDescent="0.2">
      <c r="A602" s="33" t="s">
        <v>879</v>
      </c>
      <c r="B602" s="7">
        <f t="shared" si="77"/>
        <v>9055</v>
      </c>
      <c r="C602" s="7">
        <f>B602+($F602*$G602)-1</f>
        <v>9056</v>
      </c>
      <c r="D602" s="9" t="s">
        <v>895</v>
      </c>
      <c r="E602" s="8" t="s">
        <v>1819</v>
      </c>
      <c r="F602" s="7">
        <v>2</v>
      </c>
      <c r="G602" s="248">
        <v>1</v>
      </c>
      <c r="H602" s="7"/>
      <c r="I602" s="9">
        <f>F602*2*G602</f>
        <v>4</v>
      </c>
      <c r="J602" s="9">
        <f>C602-B602+1</f>
        <v>2</v>
      </c>
      <c r="K602" s="7" t="s">
        <v>1090</v>
      </c>
      <c r="L602" s="9" t="s">
        <v>234</v>
      </c>
      <c r="M602" s="154"/>
      <c r="N602" s="7"/>
      <c r="O602" s="11"/>
      <c r="P602" s="10"/>
      <c r="Q602" s="10"/>
      <c r="R602" s="11"/>
      <c r="S602" s="11" t="s">
        <v>1181</v>
      </c>
      <c r="T602" s="157"/>
    </row>
    <row r="603" spans="1:20" ht="11.25" customHeight="1" x14ac:dyDescent="0.2">
      <c r="A603" s="33"/>
      <c r="B603" s="47">
        <f>B604</f>
        <v>9201</v>
      </c>
      <c r="C603" s="46"/>
      <c r="D603" s="48"/>
      <c r="E603" s="26" t="s">
        <v>1553</v>
      </c>
      <c r="F603" s="46"/>
      <c r="G603" s="46"/>
      <c r="H603" s="46"/>
      <c r="I603" s="48"/>
      <c r="J603" s="48"/>
      <c r="K603" s="49"/>
      <c r="L603" s="32"/>
      <c r="M603" s="32"/>
      <c r="N603" s="32"/>
      <c r="O603" s="32"/>
      <c r="P603" s="122"/>
      <c r="R603" s="143"/>
      <c r="S603" s="143"/>
      <c r="T603" s="156"/>
    </row>
    <row r="604" spans="1:20" x14ac:dyDescent="0.2">
      <c r="A604" s="33" t="s">
        <v>879</v>
      </c>
      <c r="B604" s="330">
        <v>9201</v>
      </c>
      <c r="C604" s="330">
        <f>B604+($F604*$G604)-1</f>
        <v>9456</v>
      </c>
      <c r="D604" s="333" t="s">
        <v>895</v>
      </c>
      <c r="E604" s="339" t="s">
        <v>1554</v>
      </c>
      <c r="F604" s="330">
        <v>256</v>
      </c>
      <c r="G604" s="344">
        <v>1</v>
      </c>
      <c r="H604" s="330"/>
      <c r="I604" s="333">
        <v>1</v>
      </c>
      <c r="J604" s="333">
        <f>C604-B604+1</f>
        <v>256</v>
      </c>
      <c r="K604" s="330" t="s">
        <v>1555</v>
      </c>
      <c r="L604" s="333" t="s">
        <v>234</v>
      </c>
      <c r="M604" s="345"/>
      <c r="N604" s="330"/>
      <c r="O604" s="11"/>
      <c r="P604" s="11"/>
      <c r="Q604" s="11"/>
      <c r="R604" s="11"/>
      <c r="S604" s="11" t="s">
        <v>1181</v>
      </c>
      <c r="T604" s="341"/>
    </row>
    <row r="605" spans="1:20" x14ac:dyDescent="0.2">
      <c r="A605" s="33"/>
      <c r="B605" s="47">
        <f>B606</f>
        <v>9501</v>
      </c>
      <c r="C605" s="46"/>
      <c r="D605" s="48"/>
      <c r="E605" s="26" t="s">
        <v>1790</v>
      </c>
      <c r="F605" s="46"/>
      <c r="G605" s="46"/>
      <c r="H605" s="46"/>
      <c r="I605" s="48"/>
      <c r="J605" s="48"/>
      <c r="K605" s="49"/>
      <c r="L605" s="32"/>
      <c r="M605" s="32"/>
      <c r="N605" s="32"/>
      <c r="O605" s="32"/>
      <c r="P605" s="122"/>
      <c r="R605" s="143"/>
      <c r="S605" s="143"/>
      <c r="T605" s="156"/>
    </row>
    <row r="606" spans="1:20" x14ac:dyDescent="0.2">
      <c r="A606" s="33" t="s">
        <v>879</v>
      </c>
      <c r="B606" s="7">
        <v>9501</v>
      </c>
      <c r="C606" s="7">
        <f>B606+($F606*$G606)-1</f>
        <v>9506</v>
      </c>
      <c r="D606" s="9" t="s">
        <v>895</v>
      </c>
      <c r="E606" s="375" t="s">
        <v>1788</v>
      </c>
      <c r="F606" s="372">
        <v>1</v>
      </c>
      <c r="G606" s="372">
        <v>6</v>
      </c>
      <c r="H606" s="372"/>
      <c r="I606" s="368">
        <f>F606*G606*2</f>
        <v>12</v>
      </c>
      <c r="J606" s="368">
        <f>C606-B606+1</f>
        <v>6</v>
      </c>
      <c r="K606" s="376" t="s">
        <v>620</v>
      </c>
      <c r="L606" s="11" t="s">
        <v>234</v>
      </c>
      <c r="M606" s="11"/>
      <c r="N606" s="7"/>
      <c r="O606" s="11"/>
      <c r="P606" s="11"/>
      <c r="Q606" s="11"/>
      <c r="R606" s="11"/>
      <c r="S606" s="11" t="s">
        <v>1181</v>
      </c>
      <c r="T606" s="157"/>
    </row>
    <row r="607" spans="1:20" x14ac:dyDescent="0.2">
      <c r="A607" s="33" t="s">
        <v>879</v>
      </c>
      <c r="B607" s="7">
        <f>C606+1</f>
        <v>9507</v>
      </c>
      <c r="C607" s="7">
        <f>B607+($F607*$G607)-1</f>
        <v>9507</v>
      </c>
      <c r="D607" s="9" t="s">
        <v>895</v>
      </c>
      <c r="E607" s="371" t="s">
        <v>1789</v>
      </c>
      <c r="F607" s="372">
        <v>1</v>
      </c>
      <c r="G607" s="372">
        <v>1</v>
      </c>
      <c r="H607" s="372"/>
      <c r="I607" s="368">
        <f>F607*G607*2</f>
        <v>2</v>
      </c>
      <c r="J607" s="368">
        <f>C607-B607+1</f>
        <v>1</v>
      </c>
      <c r="K607" s="372" t="s">
        <v>1791</v>
      </c>
      <c r="L607" s="11" t="s">
        <v>234</v>
      </c>
      <c r="M607" s="11"/>
      <c r="N607" s="7"/>
      <c r="O607" s="11"/>
      <c r="P607" s="11"/>
      <c r="Q607" s="11"/>
      <c r="R607" s="11"/>
      <c r="S607" s="11" t="s">
        <v>1181</v>
      </c>
      <c r="T607" s="157"/>
    </row>
    <row r="608" spans="1:20" x14ac:dyDescent="0.2">
      <c r="A608" s="33"/>
      <c r="B608" s="47">
        <f>B609</f>
        <v>9521</v>
      </c>
      <c r="C608" s="46"/>
      <c r="D608" s="48"/>
      <c r="E608" s="26" t="s">
        <v>1902</v>
      </c>
      <c r="F608" s="46"/>
      <c r="G608" s="46"/>
      <c r="H608" s="46"/>
      <c r="I608" s="48"/>
      <c r="J608" s="48"/>
      <c r="K608" s="49"/>
      <c r="L608" s="32"/>
      <c r="M608" s="32"/>
      <c r="N608" s="32"/>
      <c r="O608" s="32"/>
      <c r="P608" s="122"/>
      <c r="R608" s="143"/>
      <c r="S608" s="143"/>
      <c r="T608" s="156"/>
    </row>
    <row r="609" spans="1:20" x14ac:dyDescent="0.2">
      <c r="A609" s="33" t="s">
        <v>879</v>
      </c>
      <c r="B609" s="7">
        <v>9521</v>
      </c>
      <c r="C609" s="7">
        <f>B609+($F609*$G609)-1</f>
        <v>9521</v>
      </c>
      <c r="D609" s="9" t="s">
        <v>895</v>
      </c>
      <c r="E609" s="375" t="s">
        <v>1902</v>
      </c>
      <c r="F609" s="372">
        <v>1</v>
      </c>
      <c r="G609" s="372">
        <v>1</v>
      </c>
      <c r="H609" s="372"/>
      <c r="I609" s="368">
        <f>F609*G609*2</f>
        <v>2</v>
      </c>
      <c r="J609" s="368">
        <f>C609-B609+1</f>
        <v>1</v>
      </c>
      <c r="K609" s="211" t="s">
        <v>1903</v>
      </c>
      <c r="L609" s="11" t="s">
        <v>234</v>
      </c>
      <c r="M609" s="11"/>
      <c r="N609" s="7"/>
      <c r="O609" s="11"/>
      <c r="P609" s="11"/>
      <c r="Q609" s="11"/>
      <c r="R609" s="11"/>
      <c r="S609" s="11" t="s">
        <v>1181</v>
      </c>
      <c r="T609" s="157"/>
    </row>
    <row r="610" spans="1:20" ht="11.45" customHeight="1" x14ac:dyDescent="0.2">
      <c r="A610" s="33"/>
      <c r="B610" s="47">
        <f>B611</f>
        <v>9601</v>
      </c>
      <c r="C610" s="46"/>
      <c r="D610" s="48"/>
      <c r="E610" s="26" t="s">
        <v>1849</v>
      </c>
      <c r="F610" s="46"/>
      <c r="G610" s="46"/>
      <c r="H610" s="46"/>
      <c r="I610" s="48"/>
      <c r="J610" s="48"/>
      <c r="K610" s="49"/>
      <c r="L610" s="32"/>
      <c r="M610" s="32"/>
      <c r="N610" s="32"/>
      <c r="O610" s="32"/>
      <c r="P610" s="122"/>
      <c r="R610" s="143"/>
      <c r="S610" s="143"/>
      <c r="T610" s="156"/>
    </row>
    <row r="611" spans="1:20" x14ac:dyDescent="0.2">
      <c r="A611" s="33" t="s">
        <v>879</v>
      </c>
      <c r="B611" s="7">
        <v>9601</v>
      </c>
      <c r="C611" s="7">
        <f>B611+($F611*$G611)-1</f>
        <v>9664</v>
      </c>
      <c r="D611" s="9" t="s">
        <v>895</v>
      </c>
      <c r="E611" s="371" t="s">
        <v>1848</v>
      </c>
      <c r="F611" s="372">
        <v>64</v>
      </c>
      <c r="G611" s="372">
        <v>1</v>
      </c>
      <c r="H611" s="372"/>
      <c r="I611" s="368">
        <v>128</v>
      </c>
      <c r="J611" s="368">
        <f>C611-B611+1</f>
        <v>64</v>
      </c>
      <c r="K611" s="374" t="s">
        <v>673</v>
      </c>
      <c r="L611" s="11" t="s">
        <v>234</v>
      </c>
      <c r="M611" s="11"/>
      <c r="N611" s="7"/>
      <c r="O611" s="11"/>
      <c r="P611" s="11"/>
      <c r="Q611" s="11"/>
      <c r="R611" s="11"/>
      <c r="S611" s="11" t="s">
        <v>1181</v>
      </c>
      <c r="T611" s="157"/>
    </row>
    <row r="612" spans="1:20" x14ac:dyDescent="0.2">
      <c r="A612" s="33"/>
      <c r="B612" s="47">
        <f>B613</f>
        <v>9701</v>
      </c>
      <c r="C612" s="46"/>
      <c r="D612" s="48"/>
      <c r="E612" s="26" t="s">
        <v>1850</v>
      </c>
      <c r="F612" s="46"/>
      <c r="G612" s="46"/>
      <c r="H612" s="46"/>
      <c r="I612" s="48"/>
      <c r="J612" s="48"/>
      <c r="K612" s="49"/>
      <c r="L612" s="32"/>
      <c r="M612" s="32"/>
      <c r="N612" s="32"/>
      <c r="O612" s="32"/>
      <c r="P612" s="122"/>
      <c r="R612" s="143"/>
      <c r="S612" s="143"/>
      <c r="T612" s="156"/>
    </row>
    <row r="613" spans="1:20" ht="11.25" customHeight="1" x14ac:dyDescent="0.2">
      <c r="A613" s="33" t="s">
        <v>879</v>
      </c>
      <c r="B613" s="7">
        <v>9701</v>
      </c>
      <c r="C613" s="7">
        <f>B613+($F613*$G613)-1</f>
        <v>10212</v>
      </c>
      <c r="D613" s="9" t="s">
        <v>895</v>
      </c>
      <c r="E613" s="371" t="s">
        <v>1792</v>
      </c>
      <c r="F613" s="372">
        <v>512</v>
      </c>
      <c r="G613" s="372">
        <v>1</v>
      </c>
      <c r="H613" s="372"/>
      <c r="I613" s="368">
        <v>512</v>
      </c>
      <c r="J613" s="368">
        <f>C613-B613+1</f>
        <v>512</v>
      </c>
      <c r="K613" s="374" t="s">
        <v>673</v>
      </c>
      <c r="L613" s="11" t="s">
        <v>234</v>
      </c>
      <c r="M613" s="11"/>
      <c r="N613" s="7"/>
      <c r="O613" s="11"/>
      <c r="P613" s="11"/>
      <c r="Q613" s="11"/>
      <c r="R613" s="11"/>
      <c r="S613" s="11" t="s">
        <v>1181</v>
      </c>
      <c r="T613" s="157"/>
    </row>
    <row r="614" spans="1:20" x14ac:dyDescent="0.2">
      <c r="A614" s="33"/>
      <c r="B614" s="47">
        <f>B615</f>
        <v>10301</v>
      </c>
      <c r="C614" s="46"/>
      <c r="D614" s="48"/>
      <c r="E614" s="26" t="s">
        <v>1890</v>
      </c>
      <c r="F614" s="46"/>
      <c r="G614" s="46"/>
      <c r="H614" s="46"/>
      <c r="I614" s="48"/>
      <c r="J614" s="48"/>
      <c r="K614" s="49"/>
      <c r="L614" s="32"/>
      <c r="M614" s="32"/>
      <c r="N614" s="32"/>
      <c r="O614" s="32"/>
      <c r="P614" s="122"/>
      <c r="R614" s="143"/>
      <c r="S614" s="143"/>
      <c r="T614" s="156"/>
    </row>
    <row r="615" spans="1:20" x14ac:dyDescent="0.2">
      <c r="A615" s="33" t="s">
        <v>879</v>
      </c>
      <c r="B615" s="7">
        <v>10301</v>
      </c>
      <c r="C615" s="7">
        <f>B615+($F615*$G615)-1</f>
        <v>10812</v>
      </c>
      <c r="D615" s="9" t="s">
        <v>895</v>
      </c>
      <c r="E615" s="371" t="s">
        <v>1890</v>
      </c>
      <c r="F615" s="372">
        <v>512</v>
      </c>
      <c r="G615" s="372">
        <v>1</v>
      </c>
      <c r="H615" s="372"/>
      <c r="I615" s="368">
        <v>512</v>
      </c>
      <c r="J615" s="368">
        <f>C615-B615+1</f>
        <v>512</v>
      </c>
      <c r="K615" s="374" t="s">
        <v>673</v>
      </c>
      <c r="L615" s="11" t="s">
        <v>234</v>
      </c>
      <c r="M615" s="11"/>
      <c r="N615" s="7"/>
      <c r="O615" s="11"/>
      <c r="P615" s="11"/>
      <c r="Q615" s="11"/>
      <c r="R615" s="11"/>
      <c r="S615" s="11" t="s">
        <v>1181</v>
      </c>
      <c r="T615" s="157"/>
    </row>
    <row r="616" spans="1:20" x14ac:dyDescent="0.2">
      <c r="A616" s="33"/>
      <c r="B616" s="47">
        <f>B617</f>
        <v>34001</v>
      </c>
      <c r="C616" s="46"/>
      <c r="D616" s="48"/>
      <c r="E616" s="26" t="s">
        <v>284</v>
      </c>
      <c r="F616" s="46"/>
      <c r="G616" s="46"/>
      <c r="H616" s="46"/>
      <c r="I616" s="48"/>
      <c r="J616" s="48"/>
      <c r="K616" s="49"/>
      <c r="L616" s="32"/>
      <c r="M616" s="32"/>
      <c r="N616" s="32"/>
      <c r="O616" s="32"/>
      <c r="P616" s="19"/>
      <c r="Q616" s="19"/>
      <c r="R616" s="143"/>
      <c r="S616" s="143"/>
      <c r="T616" s="156"/>
    </row>
    <row r="617" spans="1:20" x14ac:dyDescent="0.2">
      <c r="A617" s="33" t="s">
        <v>879</v>
      </c>
      <c r="B617" s="7">
        <v>34001</v>
      </c>
      <c r="C617" s="7">
        <f t="shared" ref="C617:C644" si="78">B617+($F617*$G617)-1</f>
        <v>34001</v>
      </c>
      <c r="D617" s="9" t="s">
        <v>895</v>
      </c>
      <c r="E617" s="8" t="s">
        <v>788</v>
      </c>
      <c r="F617" s="17">
        <v>1</v>
      </c>
      <c r="G617" s="7">
        <v>1</v>
      </c>
      <c r="H617" s="7"/>
      <c r="I617" s="9">
        <f t="shared" ref="I617:I639" si="79">F617*G617*2</f>
        <v>2</v>
      </c>
      <c r="J617" s="9">
        <f t="shared" ref="J617:J639" si="80">C617-B617+1</f>
        <v>1</v>
      </c>
      <c r="K617" s="1" t="s">
        <v>1462</v>
      </c>
      <c r="L617" s="11" t="s">
        <v>234</v>
      </c>
      <c r="M617" s="11"/>
      <c r="N617" s="11"/>
      <c r="O617" s="11"/>
      <c r="P617" s="10"/>
      <c r="Q617" s="10"/>
      <c r="R617" s="11"/>
      <c r="S617" s="11" t="s">
        <v>1181</v>
      </c>
      <c r="T617" s="117"/>
    </row>
    <row r="618" spans="1:20" x14ac:dyDescent="0.2">
      <c r="A618" s="33" t="s">
        <v>879</v>
      </c>
      <c r="B618" s="7">
        <f t="shared" ref="B618:B628" si="81">C617+1</f>
        <v>34002</v>
      </c>
      <c r="C618" s="7">
        <f t="shared" si="78"/>
        <v>34002</v>
      </c>
      <c r="D618" s="168" t="s">
        <v>895</v>
      </c>
      <c r="E618" s="179" t="s">
        <v>617</v>
      </c>
      <c r="F618" s="7">
        <v>1</v>
      </c>
      <c r="G618" s="7">
        <v>1</v>
      </c>
      <c r="H618" s="7"/>
      <c r="I618" s="9">
        <f t="shared" si="79"/>
        <v>2</v>
      </c>
      <c r="J618" s="9">
        <f t="shared" si="80"/>
        <v>1</v>
      </c>
      <c r="K618" s="1" t="s">
        <v>886</v>
      </c>
      <c r="L618" s="11" t="s">
        <v>234</v>
      </c>
      <c r="M618" s="11"/>
      <c r="N618" s="11"/>
      <c r="O618" s="11"/>
      <c r="P618" s="136"/>
      <c r="Q618" s="136"/>
      <c r="R618" s="11"/>
      <c r="S618" s="11" t="s">
        <v>1181</v>
      </c>
      <c r="T618" s="117"/>
    </row>
    <row r="619" spans="1:20" ht="11.25" customHeight="1" x14ac:dyDescent="0.2">
      <c r="A619" s="33" t="s">
        <v>879</v>
      </c>
      <c r="B619" s="7">
        <f t="shared" si="81"/>
        <v>34003</v>
      </c>
      <c r="C619" s="7">
        <f t="shared" si="78"/>
        <v>34003</v>
      </c>
      <c r="D619" s="9" t="s">
        <v>895</v>
      </c>
      <c r="E619" s="8" t="s">
        <v>584</v>
      </c>
      <c r="F619" s="17">
        <v>1</v>
      </c>
      <c r="G619" s="7">
        <v>1</v>
      </c>
      <c r="H619" s="7"/>
      <c r="I619" s="9">
        <f t="shared" si="79"/>
        <v>2</v>
      </c>
      <c r="J619" s="9">
        <f t="shared" si="80"/>
        <v>1</v>
      </c>
      <c r="K619" s="1" t="s">
        <v>886</v>
      </c>
      <c r="L619" s="11" t="s">
        <v>234</v>
      </c>
      <c r="M619" s="11"/>
      <c r="N619" s="11"/>
      <c r="O619" s="11"/>
      <c r="P619" s="10"/>
      <c r="Q619" s="10"/>
      <c r="R619" s="11"/>
      <c r="S619" s="11" t="s">
        <v>1181</v>
      </c>
      <c r="T619" s="157"/>
    </row>
    <row r="620" spans="1:20" x14ac:dyDescent="0.2">
      <c r="A620" s="33" t="s">
        <v>879</v>
      </c>
      <c r="B620" s="7">
        <f t="shared" si="81"/>
        <v>34004</v>
      </c>
      <c r="C620" s="7">
        <f t="shared" si="78"/>
        <v>34004</v>
      </c>
      <c r="D620" s="168" t="s">
        <v>895</v>
      </c>
      <c r="E620" s="179" t="s">
        <v>687</v>
      </c>
      <c r="F620" s="7">
        <v>1</v>
      </c>
      <c r="G620" s="7">
        <v>1</v>
      </c>
      <c r="H620" s="7"/>
      <c r="I620" s="9">
        <f t="shared" si="79"/>
        <v>2</v>
      </c>
      <c r="J620" s="9">
        <f t="shared" si="80"/>
        <v>1</v>
      </c>
      <c r="K620" s="1" t="s">
        <v>149</v>
      </c>
      <c r="L620" s="11" t="s">
        <v>234</v>
      </c>
      <c r="M620" s="11"/>
      <c r="N620" s="11"/>
      <c r="O620" s="11"/>
      <c r="P620" s="136"/>
      <c r="Q620" s="136"/>
      <c r="R620" s="11"/>
      <c r="S620" s="11" t="s">
        <v>1181</v>
      </c>
      <c r="T620" s="117"/>
    </row>
    <row r="621" spans="1:20" ht="11.25" customHeight="1" x14ac:dyDescent="0.2">
      <c r="A621" s="33" t="s">
        <v>879</v>
      </c>
      <c r="B621" s="7">
        <f t="shared" si="81"/>
        <v>34005</v>
      </c>
      <c r="C621" s="7">
        <f t="shared" si="78"/>
        <v>34005</v>
      </c>
      <c r="D621" s="9" t="s">
        <v>895</v>
      </c>
      <c r="E621" s="8" t="s">
        <v>789</v>
      </c>
      <c r="F621" s="17">
        <v>1</v>
      </c>
      <c r="G621" s="7">
        <v>1</v>
      </c>
      <c r="H621" s="7"/>
      <c r="I621" s="9">
        <f t="shared" si="79"/>
        <v>2</v>
      </c>
      <c r="J621" s="9">
        <f t="shared" si="80"/>
        <v>1</v>
      </c>
      <c r="K621" s="57" t="s">
        <v>616</v>
      </c>
      <c r="L621" s="11" t="s">
        <v>234</v>
      </c>
      <c r="M621" s="11"/>
      <c r="N621" s="11"/>
      <c r="O621" s="11"/>
      <c r="P621" s="10"/>
      <c r="Q621" s="10"/>
      <c r="R621" s="11"/>
      <c r="S621" s="11" t="s">
        <v>1181</v>
      </c>
      <c r="T621" s="117"/>
    </row>
    <row r="622" spans="1:20" ht="11.25" customHeight="1" x14ac:dyDescent="0.2">
      <c r="A622" s="33" t="s">
        <v>879</v>
      </c>
      <c r="B622" s="7">
        <f t="shared" si="81"/>
        <v>34006</v>
      </c>
      <c r="C622" s="7">
        <f t="shared" si="78"/>
        <v>34006</v>
      </c>
      <c r="D622" s="168" t="s">
        <v>895</v>
      </c>
      <c r="E622" s="179" t="s">
        <v>583</v>
      </c>
      <c r="F622" s="7">
        <v>1</v>
      </c>
      <c r="G622" s="7">
        <v>1</v>
      </c>
      <c r="H622" s="7"/>
      <c r="I622" s="9">
        <f t="shared" si="79"/>
        <v>2</v>
      </c>
      <c r="J622" s="9">
        <f t="shared" si="80"/>
        <v>1</v>
      </c>
      <c r="K622" s="2">
        <v>1500</v>
      </c>
      <c r="L622" s="11" t="s">
        <v>234</v>
      </c>
      <c r="M622" s="11"/>
      <c r="N622" s="11"/>
      <c r="O622" s="11"/>
      <c r="P622" s="136"/>
      <c r="Q622" s="136"/>
      <c r="R622" s="11"/>
      <c r="S622" s="11" t="s">
        <v>1181</v>
      </c>
      <c r="T622" s="117"/>
    </row>
    <row r="623" spans="1:20" ht="11.25" customHeight="1" x14ac:dyDescent="0.2">
      <c r="A623" s="33" t="s">
        <v>879</v>
      </c>
      <c r="B623" s="7">
        <f t="shared" si="81"/>
        <v>34007</v>
      </c>
      <c r="C623" s="7">
        <f t="shared" si="78"/>
        <v>34007</v>
      </c>
      <c r="D623" s="9" t="s">
        <v>895</v>
      </c>
      <c r="E623" s="8" t="s">
        <v>605</v>
      </c>
      <c r="F623" s="17">
        <v>1</v>
      </c>
      <c r="G623" s="7">
        <v>1</v>
      </c>
      <c r="H623" s="7"/>
      <c r="I623" s="9">
        <f t="shared" si="79"/>
        <v>2</v>
      </c>
      <c r="J623" s="9">
        <f t="shared" si="80"/>
        <v>1</v>
      </c>
      <c r="K623" s="57" t="s">
        <v>606</v>
      </c>
      <c r="L623" s="11" t="s">
        <v>234</v>
      </c>
      <c r="M623" s="11"/>
      <c r="N623" s="11"/>
      <c r="O623" s="11"/>
      <c r="P623" s="10"/>
      <c r="Q623" s="10"/>
      <c r="R623" s="11"/>
      <c r="S623" s="11" t="s">
        <v>1181</v>
      </c>
      <c r="T623" s="117"/>
    </row>
    <row r="624" spans="1:20" ht="11.25" customHeight="1" x14ac:dyDescent="0.2">
      <c r="A624" s="33" t="s">
        <v>879</v>
      </c>
      <c r="B624" s="7">
        <f>C623+1</f>
        <v>34008</v>
      </c>
      <c r="C624" s="7">
        <f t="shared" si="78"/>
        <v>34008</v>
      </c>
      <c r="D624" s="168" t="s">
        <v>895</v>
      </c>
      <c r="E624" s="179" t="s">
        <v>682</v>
      </c>
      <c r="F624" s="7">
        <v>1</v>
      </c>
      <c r="G624" s="7">
        <v>1</v>
      </c>
      <c r="H624" s="7"/>
      <c r="I624" s="9">
        <f t="shared" si="79"/>
        <v>2</v>
      </c>
      <c r="J624" s="9">
        <f t="shared" si="80"/>
        <v>1</v>
      </c>
      <c r="K624" s="1" t="s">
        <v>1461</v>
      </c>
      <c r="L624" s="11" t="s">
        <v>234</v>
      </c>
      <c r="M624" s="11"/>
      <c r="N624" s="11"/>
      <c r="O624" s="11"/>
      <c r="P624" s="136"/>
      <c r="Q624" s="136"/>
      <c r="R624" s="11"/>
      <c r="S624" s="11" t="s">
        <v>1181</v>
      </c>
      <c r="T624" s="117"/>
    </row>
    <row r="625" spans="1:20" ht="11.25" customHeight="1" x14ac:dyDescent="0.2">
      <c r="A625" s="33" t="s">
        <v>879</v>
      </c>
      <c r="B625" s="383">
        <f>C624+1</f>
        <v>34009</v>
      </c>
      <c r="C625" s="383">
        <f t="shared" si="78"/>
        <v>34009</v>
      </c>
      <c r="D625" s="384" t="s">
        <v>895</v>
      </c>
      <c r="E625" s="411"/>
      <c r="F625" s="383">
        <v>1</v>
      </c>
      <c r="G625" s="383">
        <v>1</v>
      </c>
      <c r="H625" s="383"/>
      <c r="I625" s="388">
        <f t="shared" si="79"/>
        <v>2</v>
      </c>
      <c r="J625" s="388">
        <f t="shared" si="80"/>
        <v>1</v>
      </c>
      <c r="K625" s="389"/>
      <c r="L625" s="390" t="s">
        <v>234</v>
      </c>
      <c r="M625" s="390"/>
      <c r="N625" s="390"/>
      <c r="O625" s="390"/>
      <c r="P625" s="391"/>
      <c r="Q625" s="391"/>
      <c r="R625" s="390"/>
      <c r="S625" s="390"/>
      <c r="T625" s="392"/>
    </row>
    <row r="626" spans="1:20" ht="11.25" customHeight="1" x14ac:dyDescent="0.2">
      <c r="A626" s="33" t="s">
        <v>879</v>
      </c>
      <c r="B626" s="383">
        <f>C625+1</f>
        <v>34010</v>
      </c>
      <c r="C626" s="383">
        <f t="shared" si="78"/>
        <v>34010</v>
      </c>
      <c r="D626" s="388" t="s">
        <v>895</v>
      </c>
      <c r="E626" s="405"/>
      <c r="F626" s="410">
        <v>1</v>
      </c>
      <c r="G626" s="383">
        <v>1</v>
      </c>
      <c r="H626" s="383"/>
      <c r="I626" s="388">
        <f t="shared" si="79"/>
        <v>2</v>
      </c>
      <c r="J626" s="388">
        <f t="shared" si="80"/>
        <v>1</v>
      </c>
      <c r="K626" s="389"/>
      <c r="L626" s="390" t="s">
        <v>234</v>
      </c>
      <c r="M626" s="390"/>
      <c r="N626" s="390"/>
      <c r="O626" s="390"/>
      <c r="P626" s="394"/>
      <c r="Q626" s="394"/>
      <c r="R626" s="390"/>
      <c r="S626" s="390"/>
      <c r="T626" s="395"/>
    </row>
    <row r="627" spans="1:20" ht="11.25" customHeight="1" x14ac:dyDescent="0.2">
      <c r="A627" s="33" t="s">
        <v>879</v>
      </c>
      <c r="B627" s="383">
        <f>C626+1</f>
        <v>34011</v>
      </c>
      <c r="C627" s="383">
        <f t="shared" si="78"/>
        <v>34011</v>
      </c>
      <c r="D627" s="384" t="s">
        <v>895</v>
      </c>
      <c r="E627" s="411"/>
      <c r="F627" s="383">
        <v>1</v>
      </c>
      <c r="G627" s="383">
        <v>1</v>
      </c>
      <c r="H627" s="383"/>
      <c r="I627" s="388">
        <f t="shared" si="79"/>
        <v>2</v>
      </c>
      <c r="J627" s="388">
        <f t="shared" si="80"/>
        <v>1</v>
      </c>
      <c r="K627" s="389"/>
      <c r="L627" s="390" t="s">
        <v>234</v>
      </c>
      <c r="M627" s="390"/>
      <c r="N627" s="390"/>
      <c r="O627" s="390"/>
      <c r="P627" s="391"/>
      <c r="Q627" s="391"/>
      <c r="R627" s="390"/>
      <c r="S627" s="390"/>
      <c r="T627" s="392"/>
    </row>
    <row r="628" spans="1:20" ht="11.25" customHeight="1" x14ac:dyDescent="0.2">
      <c r="A628" s="33" t="s">
        <v>879</v>
      </c>
      <c r="B628" s="7">
        <f t="shared" si="81"/>
        <v>34012</v>
      </c>
      <c r="C628" s="7">
        <f t="shared" si="78"/>
        <v>34012</v>
      </c>
      <c r="D628" s="9" t="s">
        <v>895</v>
      </c>
      <c r="E628" s="179" t="s">
        <v>1088</v>
      </c>
      <c r="F628" s="17">
        <v>1</v>
      </c>
      <c r="G628" s="7">
        <v>1</v>
      </c>
      <c r="H628" s="7"/>
      <c r="I628" s="9">
        <f t="shared" si="79"/>
        <v>2</v>
      </c>
      <c r="J628" s="9">
        <f t="shared" si="80"/>
        <v>1</v>
      </c>
      <c r="K628" s="1" t="s">
        <v>1449</v>
      </c>
      <c r="L628" s="11" t="s">
        <v>234</v>
      </c>
      <c r="M628" s="11"/>
      <c r="N628" s="11"/>
      <c r="O628" s="11"/>
      <c r="P628" s="10"/>
      <c r="Q628" s="10"/>
      <c r="R628" s="11"/>
      <c r="S628" s="11" t="s">
        <v>1181</v>
      </c>
      <c r="T628" s="157"/>
    </row>
    <row r="629" spans="1:20" ht="11.25" customHeight="1" x14ac:dyDescent="0.2">
      <c r="A629" s="33" t="s">
        <v>879</v>
      </c>
      <c r="B629" s="383">
        <f t="shared" ref="B629:B644" si="82">C628+1</f>
        <v>34013</v>
      </c>
      <c r="C629" s="383">
        <f t="shared" si="78"/>
        <v>34013</v>
      </c>
      <c r="D629" s="384" t="s">
        <v>895</v>
      </c>
      <c r="E629" s="411"/>
      <c r="F629" s="383">
        <v>1</v>
      </c>
      <c r="G629" s="383">
        <v>1</v>
      </c>
      <c r="H629" s="383"/>
      <c r="I629" s="388">
        <f t="shared" si="79"/>
        <v>2</v>
      </c>
      <c r="J629" s="388">
        <f t="shared" si="80"/>
        <v>1</v>
      </c>
      <c r="K629" s="389"/>
      <c r="L629" s="390" t="s">
        <v>234</v>
      </c>
      <c r="M629" s="390"/>
      <c r="N629" s="390"/>
      <c r="O629" s="390"/>
      <c r="P629" s="391"/>
      <c r="Q629" s="391"/>
      <c r="R629" s="390"/>
      <c r="S629" s="390"/>
      <c r="T629" s="392"/>
    </row>
    <row r="630" spans="1:20" ht="11.25" customHeight="1" x14ac:dyDescent="0.2">
      <c r="A630" s="33" t="s">
        <v>879</v>
      </c>
      <c r="B630" s="383">
        <f t="shared" si="82"/>
        <v>34014</v>
      </c>
      <c r="C630" s="383">
        <f t="shared" si="78"/>
        <v>34014</v>
      </c>
      <c r="D630" s="388" t="s">
        <v>895</v>
      </c>
      <c r="E630" s="405"/>
      <c r="F630" s="410">
        <v>1</v>
      </c>
      <c r="G630" s="383">
        <v>1</v>
      </c>
      <c r="H630" s="383"/>
      <c r="I630" s="388">
        <f t="shared" si="79"/>
        <v>2</v>
      </c>
      <c r="J630" s="388">
        <f t="shared" si="80"/>
        <v>1</v>
      </c>
      <c r="K630" s="389"/>
      <c r="L630" s="390" t="s">
        <v>234</v>
      </c>
      <c r="M630" s="390"/>
      <c r="N630" s="390"/>
      <c r="O630" s="390"/>
      <c r="P630" s="394"/>
      <c r="Q630" s="394"/>
      <c r="R630" s="390"/>
      <c r="S630" s="390"/>
      <c r="T630" s="395"/>
    </row>
    <row r="631" spans="1:20" ht="11.25" customHeight="1" x14ac:dyDescent="0.2">
      <c r="A631" s="33" t="s">
        <v>879</v>
      </c>
      <c r="B631" s="7">
        <f t="shared" si="82"/>
        <v>34015</v>
      </c>
      <c r="C631" s="7">
        <f t="shared" si="78"/>
        <v>34015</v>
      </c>
      <c r="D631" s="168" t="s">
        <v>895</v>
      </c>
      <c r="E631" s="179" t="s">
        <v>353</v>
      </c>
      <c r="F631" s="7">
        <v>1</v>
      </c>
      <c r="G631" s="7">
        <v>1</v>
      </c>
      <c r="H631" s="7"/>
      <c r="I631" s="9">
        <f t="shared" si="79"/>
        <v>2</v>
      </c>
      <c r="J631" s="9">
        <f t="shared" si="80"/>
        <v>1</v>
      </c>
      <c r="K631" s="1" t="s">
        <v>886</v>
      </c>
      <c r="L631" s="11" t="s">
        <v>234</v>
      </c>
      <c r="M631" s="11"/>
      <c r="N631" s="11"/>
      <c r="O631" s="11"/>
      <c r="P631" s="136"/>
      <c r="Q631" s="136"/>
      <c r="R631" s="11"/>
      <c r="S631" s="11" t="s">
        <v>1181</v>
      </c>
      <c r="T631" s="117"/>
    </row>
    <row r="632" spans="1:20" ht="11.25" customHeight="1" x14ac:dyDescent="0.2">
      <c r="A632" s="33" t="s">
        <v>879</v>
      </c>
      <c r="B632" s="7">
        <f t="shared" si="82"/>
        <v>34016</v>
      </c>
      <c r="C632" s="7">
        <f t="shared" si="78"/>
        <v>34016</v>
      </c>
      <c r="D632" s="168" t="s">
        <v>895</v>
      </c>
      <c r="E632" s="179" t="s">
        <v>293</v>
      </c>
      <c r="F632" s="7">
        <v>1</v>
      </c>
      <c r="G632" s="7">
        <v>1</v>
      </c>
      <c r="H632" s="7"/>
      <c r="I632" s="9">
        <f t="shared" si="79"/>
        <v>2</v>
      </c>
      <c r="J632" s="9">
        <f t="shared" si="80"/>
        <v>1</v>
      </c>
      <c r="K632" s="211" t="s">
        <v>294</v>
      </c>
      <c r="L632" s="11" t="s">
        <v>234</v>
      </c>
      <c r="M632" s="11"/>
      <c r="N632" s="11"/>
      <c r="O632" s="11"/>
      <c r="P632" s="136"/>
      <c r="Q632" s="136"/>
      <c r="R632" s="11"/>
      <c r="S632" s="11" t="s">
        <v>1181</v>
      </c>
      <c r="T632" s="117"/>
    </row>
    <row r="633" spans="1:20" ht="11.25" customHeight="1" x14ac:dyDescent="0.2">
      <c r="A633" s="33" t="s">
        <v>879</v>
      </c>
      <c r="B633" s="7">
        <f t="shared" si="82"/>
        <v>34017</v>
      </c>
      <c r="C633" s="7">
        <f t="shared" si="78"/>
        <v>34017</v>
      </c>
      <c r="D633" s="168" t="s">
        <v>895</v>
      </c>
      <c r="E633" s="179" t="s">
        <v>150</v>
      </c>
      <c r="F633" s="7">
        <v>1</v>
      </c>
      <c r="G633" s="7">
        <v>1</v>
      </c>
      <c r="H633" s="7"/>
      <c r="I633" s="9">
        <f t="shared" si="79"/>
        <v>2</v>
      </c>
      <c r="J633" s="9">
        <f t="shared" si="80"/>
        <v>1</v>
      </c>
      <c r="K633" s="1" t="s">
        <v>151</v>
      </c>
      <c r="L633" s="11" t="s">
        <v>234</v>
      </c>
      <c r="M633" s="11"/>
      <c r="N633" s="11"/>
      <c r="O633" s="11"/>
      <c r="P633" s="136"/>
      <c r="Q633" s="136"/>
      <c r="R633" s="11"/>
      <c r="S633" s="11" t="s">
        <v>1181</v>
      </c>
      <c r="T633" s="117"/>
    </row>
    <row r="634" spans="1:20" ht="11.25" customHeight="1" x14ac:dyDescent="0.2">
      <c r="A634" s="33" t="s">
        <v>879</v>
      </c>
      <c r="B634" s="7">
        <f t="shared" si="82"/>
        <v>34018</v>
      </c>
      <c r="C634" s="7">
        <f>B634+($F634*$G634)-1</f>
        <v>34018</v>
      </c>
      <c r="D634" s="9" t="s">
        <v>895</v>
      </c>
      <c r="E634" s="8" t="s">
        <v>582</v>
      </c>
      <c r="F634" s="17">
        <v>1</v>
      </c>
      <c r="G634" s="7">
        <v>1</v>
      </c>
      <c r="H634" s="7"/>
      <c r="I634" s="9">
        <f t="shared" si="79"/>
        <v>2</v>
      </c>
      <c r="J634" s="9">
        <f t="shared" si="80"/>
        <v>1</v>
      </c>
      <c r="K634" s="94"/>
      <c r="L634" s="11" t="s">
        <v>234</v>
      </c>
      <c r="M634" s="11"/>
      <c r="N634" s="11"/>
      <c r="O634" s="11"/>
      <c r="P634" s="10"/>
      <c r="Q634" s="10"/>
      <c r="R634" s="11"/>
      <c r="S634" s="11" t="s">
        <v>1181</v>
      </c>
      <c r="T634" s="157"/>
    </row>
    <row r="635" spans="1:20" ht="11.25" customHeight="1" x14ac:dyDescent="0.2">
      <c r="A635" s="33" t="s">
        <v>879</v>
      </c>
      <c r="B635" s="7">
        <f>C634+1</f>
        <v>34019</v>
      </c>
      <c r="C635" s="7">
        <f>B635+($F635*$G635)-1</f>
        <v>34019</v>
      </c>
      <c r="D635" s="9" t="s">
        <v>895</v>
      </c>
      <c r="E635" s="8" t="s">
        <v>582</v>
      </c>
      <c r="F635" s="17">
        <v>1</v>
      </c>
      <c r="G635" s="7">
        <v>1</v>
      </c>
      <c r="H635" s="7"/>
      <c r="I635" s="9">
        <f t="shared" si="79"/>
        <v>2</v>
      </c>
      <c r="J635" s="9">
        <f t="shared" si="80"/>
        <v>1</v>
      </c>
      <c r="K635" s="94"/>
      <c r="L635" s="11" t="s">
        <v>234</v>
      </c>
      <c r="M635" s="11"/>
      <c r="N635" s="11"/>
      <c r="O635" s="11"/>
      <c r="P635" s="10"/>
      <c r="Q635" s="10"/>
      <c r="R635" s="11"/>
      <c r="S635" s="11" t="s">
        <v>1181</v>
      </c>
      <c r="T635" s="157"/>
    </row>
    <row r="636" spans="1:20" ht="11.25" customHeight="1" x14ac:dyDescent="0.2">
      <c r="A636" s="33" t="s">
        <v>879</v>
      </c>
      <c r="B636" s="7">
        <f>C635+1</f>
        <v>34020</v>
      </c>
      <c r="C636" s="7">
        <f t="shared" si="78"/>
        <v>34020</v>
      </c>
      <c r="D636" s="9" t="s">
        <v>895</v>
      </c>
      <c r="E636" s="8" t="s">
        <v>48</v>
      </c>
      <c r="F636" s="17">
        <v>1</v>
      </c>
      <c r="G636" s="7">
        <v>1</v>
      </c>
      <c r="H636" s="7"/>
      <c r="I636" s="9">
        <f t="shared" si="79"/>
        <v>2</v>
      </c>
      <c r="J636" s="9">
        <f t="shared" si="80"/>
        <v>1</v>
      </c>
      <c r="K636" s="94" t="s">
        <v>1114</v>
      </c>
      <c r="L636" s="11" t="s">
        <v>234</v>
      </c>
      <c r="M636" s="11"/>
      <c r="N636" s="11"/>
      <c r="O636" s="11"/>
      <c r="P636" s="10"/>
      <c r="Q636" s="10"/>
      <c r="R636" s="11"/>
      <c r="S636" s="11" t="s">
        <v>1181</v>
      </c>
      <c r="T636" s="157"/>
    </row>
    <row r="637" spans="1:20" ht="11.25" customHeight="1" x14ac:dyDescent="0.2">
      <c r="A637" s="33" t="s">
        <v>879</v>
      </c>
      <c r="B637" s="7">
        <f t="shared" si="82"/>
        <v>34021</v>
      </c>
      <c r="C637" s="7">
        <f t="shared" si="78"/>
        <v>34021</v>
      </c>
      <c r="D637" s="9" t="s">
        <v>895</v>
      </c>
      <c r="E637" s="8" t="s">
        <v>49</v>
      </c>
      <c r="F637" s="17">
        <v>1</v>
      </c>
      <c r="G637" s="7">
        <v>1</v>
      </c>
      <c r="H637" s="7"/>
      <c r="I637" s="9">
        <f t="shared" si="79"/>
        <v>2</v>
      </c>
      <c r="J637" s="9">
        <f t="shared" si="80"/>
        <v>1</v>
      </c>
      <c r="K637" s="94" t="s">
        <v>1115</v>
      </c>
      <c r="L637" s="11" t="s">
        <v>234</v>
      </c>
      <c r="M637" s="11"/>
      <c r="N637" s="11"/>
      <c r="O637" s="11"/>
      <c r="P637" s="10"/>
      <c r="Q637" s="10"/>
      <c r="R637" s="11"/>
      <c r="S637" s="11" t="s">
        <v>1181</v>
      </c>
      <c r="T637" s="157"/>
    </row>
    <row r="638" spans="1:20" ht="11.25" customHeight="1" x14ac:dyDescent="0.2">
      <c r="A638" s="33" t="s">
        <v>879</v>
      </c>
      <c r="B638" s="7">
        <f t="shared" si="82"/>
        <v>34022</v>
      </c>
      <c r="C638" s="7">
        <f t="shared" si="78"/>
        <v>34022</v>
      </c>
      <c r="D638" s="9" t="s">
        <v>895</v>
      </c>
      <c r="E638" s="8" t="s">
        <v>652</v>
      </c>
      <c r="F638" s="17">
        <v>1</v>
      </c>
      <c r="G638" s="7">
        <v>1</v>
      </c>
      <c r="H638" s="7"/>
      <c r="I638" s="9">
        <f t="shared" si="79"/>
        <v>2</v>
      </c>
      <c r="J638" s="9">
        <f t="shared" si="80"/>
        <v>1</v>
      </c>
      <c r="K638" s="94" t="s">
        <v>314</v>
      </c>
      <c r="L638" s="11" t="s">
        <v>234</v>
      </c>
      <c r="M638" s="11"/>
      <c r="N638" s="11"/>
      <c r="O638" s="11"/>
      <c r="P638" s="10"/>
      <c r="Q638" s="10"/>
      <c r="R638" s="11"/>
      <c r="S638" s="11" t="s">
        <v>1181</v>
      </c>
      <c r="T638" s="117"/>
    </row>
    <row r="639" spans="1:20" ht="11.25" customHeight="1" x14ac:dyDescent="0.2">
      <c r="A639" s="33" t="s">
        <v>879</v>
      </c>
      <c r="B639" s="7">
        <f>C638+1</f>
        <v>34023</v>
      </c>
      <c r="C639" s="7">
        <f t="shared" si="78"/>
        <v>34024</v>
      </c>
      <c r="D639" s="9" t="s">
        <v>895</v>
      </c>
      <c r="E639" s="8" t="s">
        <v>165</v>
      </c>
      <c r="F639" s="17">
        <v>2</v>
      </c>
      <c r="G639" s="7">
        <v>1</v>
      </c>
      <c r="H639" s="7"/>
      <c r="I639" s="9">
        <f t="shared" si="79"/>
        <v>4</v>
      </c>
      <c r="J639" s="9">
        <f t="shared" si="80"/>
        <v>2</v>
      </c>
      <c r="K639" s="94" t="s">
        <v>582</v>
      </c>
      <c r="L639" s="11" t="s">
        <v>234</v>
      </c>
      <c r="M639" s="11"/>
      <c r="N639" s="11"/>
      <c r="O639" s="11"/>
      <c r="P639" s="10"/>
      <c r="Q639" s="10"/>
      <c r="R639" s="11"/>
      <c r="S639" s="11" t="s">
        <v>1181</v>
      </c>
      <c r="T639" s="117"/>
    </row>
    <row r="640" spans="1:20" ht="11.25" customHeight="1" x14ac:dyDescent="0.2">
      <c r="A640" s="33" t="s">
        <v>879</v>
      </c>
      <c r="B640" s="7">
        <f>C639+1</f>
        <v>34025</v>
      </c>
      <c r="C640" s="7">
        <f t="shared" si="78"/>
        <v>34025</v>
      </c>
      <c r="D640" s="9" t="s">
        <v>895</v>
      </c>
      <c r="E640" s="8" t="s">
        <v>1693</v>
      </c>
      <c r="F640" s="17">
        <v>1</v>
      </c>
      <c r="G640" s="7">
        <v>1</v>
      </c>
      <c r="H640" s="7"/>
      <c r="I640" s="9">
        <v>2</v>
      </c>
      <c r="J640" s="9">
        <v>1</v>
      </c>
      <c r="K640" s="165" t="s">
        <v>1116</v>
      </c>
      <c r="L640" s="11" t="s">
        <v>234</v>
      </c>
      <c r="M640" s="11"/>
      <c r="N640" s="11"/>
      <c r="O640" s="11"/>
      <c r="P640" s="10"/>
      <c r="Q640" s="10"/>
      <c r="R640" s="11"/>
      <c r="S640" s="11" t="s">
        <v>1181</v>
      </c>
      <c r="T640" s="117"/>
    </row>
    <row r="641" spans="1:20" ht="11.25" customHeight="1" x14ac:dyDescent="0.2">
      <c r="A641" s="33" t="s">
        <v>879</v>
      </c>
      <c r="B641" s="7">
        <f t="shared" si="82"/>
        <v>34026</v>
      </c>
      <c r="C641" s="7">
        <f t="shared" si="78"/>
        <v>34028</v>
      </c>
      <c r="D641" s="168" t="s">
        <v>895</v>
      </c>
      <c r="E641" s="179" t="s">
        <v>153</v>
      </c>
      <c r="F641" s="7">
        <v>3</v>
      </c>
      <c r="G641" s="7">
        <v>1</v>
      </c>
      <c r="H641" s="7"/>
      <c r="I641" s="9">
        <f t="shared" ref="I641:I648" si="83">F641*G641*2</f>
        <v>6</v>
      </c>
      <c r="J641" s="9">
        <f t="shared" ref="J641:J648" si="84">C641-B641+1</f>
        <v>3</v>
      </c>
      <c r="K641" s="57" t="s">
        <v>620</v>
      </c>
      <c r="L641" s="11" t="s">
        <v>234</v>
      </c>
      <c r="M641" s="11"/>
      <c r="N641" s="11"/>
      <c r="O641" s="11"/>
      <c r="P641" s="136"/>
      <c r="Q641" s="136"/>
      <c r="R641" s="11"/>
      <c r="S641" s="11" t="s">
        <v>1181</v>
      </c>
      <c r="T641" s="117"/>
    </row>
    <row r="642" spans="1:20" ht="11.25" customHeight="1" x14ac:dyDescent="0.2">
      <c r="A642" s="33" t="s">
        <v>879</v>
      </c>
      <c r="B642" s="7">
        <f t="shared" si="82"/>
        <v>34029</v>
      </c>
      <c r="C642" s="7">
        <f t="shared" si="78"/>
        <v>34031</v>
      </c>
      <c r="D642" s="9" t="s">
        <v>895</v>
      </c>
      <c r="E642" s="179" t="s">
        <v>152</v>
      </c>
      <c r="F642" s="17">
        <v>3</v>
      </c>
      <c r="G642" s="7">
        <v>1</v>
      </c>
      <c r="H642" s="7"/>
      <c r="I642" s="9">
        <f t="shared" si="83"/>
        <v>6</v>
      </c>
      <c r="J642" s="9">
        <f t="shared" si="84"/>
        <v>3</v>
      </c>
      <c r="K642" s="57" t="s">
        <v>620</v>
      </c>
      <c r="L642" s="11" t="s">
        <v>234</v>
      </c>
      <c r="M642" s="11"/>
      <c r="N642" s="11"/>
      <c r="O642" s="11"/>
      <c r="P642" s="10"/>
      <c r="Q642" s="10"/>
      <c r="R642" s="11"/>
      <c r="S642" s="11" t="s">
        <v>1181</v>
      </c>
      <c r="T642" s="117"/>
    </row>
    <row r="643" spans="1:20" ht="11.25" customHeight="1" x14ac:dyDescent="0.2">
      <c r="A643" s="33" t="s">
        <v>879</v>
      </c>
      <c r="B643" s="7">
        <f t="shared" si="82"/>
        <v>34032</v>
      </c>
      <c r="C643" s="7">
        <f t="shared" si="78"/>
        <v>34034</v>
      </c>
      <c r="D643" s="9" t="s">
        <v>895</v>
      </c>
      <c r="E643" s="8" t="s">
        <v>154</v>
      </c>
      <c r="F643" s="17">
        <v>3</v>
      </c>
      <c r="G643" s="7">
        <v>1</v>
      </c>
      <c r="H643" s="7"/>
      <c r="I643" s="9">
        <f t="shared" si="83"/>
        <v>6</v>
      </c>
      <c r="J643" s="9">
        <f t="shared" si="84"/>
        <v>3</v>
      </c>
      <c r="K643" s="57" t="s">
        <v>620</v>
      </c>
      <c r="L643" s="11" t="s">
        <v>234</v>
      </c>
      <c r="M643" s="11"/>
      <c r="N643" s="11"/>
      <c r="O643" s="11"/>
      <c r="P643" s="10"/>
      <c r="Q643" s="10"/>
      <c r="R643" s="11"/>
      <c r="S643" s="11" t="s">
        <v>1181</v>
      </c>
      <c r="T643" s="117"/>
    </row>
    <row r="644" spans="1:20" ht="11.25" customHeight="1" x14ac:dyDescent="0.2">
      <c r="A644" s="33" t="s">
        <v>879</v>
      </c>
      <c r="B644" s="7">
        <f t="shared" si="82"/>
        <v>34035</v>
      </c>
      <c r="C644" s="7">
        <f t="shared" si="78"/>
        <v>34035</v>
      </c>
      <c r="D644" s="9" t="s">
        <v>895</v>
      </c>
      <c r="E644" s="8" t="s">
        <v>949</v>
      </c>
      <c r="F644" s="7">
        <v>1</v>
      </c>
      <c r="G644" s="7">
        <v>1</v>
      </c>
      <c r="H644" s="7"/>
      <c r="I644" s="9">
        <f t="shared" si="83"/>
        <v>2</v>
      </c>
      <c r="J644" s="9">
        <f t="shared" si="84"/>
        <v>1</v>
      </c>
      <c r="K644" s="10" t="s">
        <v>1379</v>
      </c>
      <c r="L644" s="11" t="s">
        <v>234</v>
      </c>
      <c r="M644" s="11"/>
      <c r="N644" s="11"/>
      <c r="O644" s="11"/>
      <c r="P644" s="123"/>
      <c r="Q644" s="121"/>
      <c r="R644" s="11"/>
      <c r="S644" s="11" t="s">
        <v>1181</v>
      </c>
      <c r="T644" s="157"/>
    </row>
    <row r="645" spans="1:20" ht="11.25" customHeight="1" x14ac:dyDescent="0.2">
      <c r="A645" s="33" t="s">
        <v>879</v>
      </c>
      <c r="B645" s="7">
        <f>C644+1</f>
        <v>34036</v>
      </c>
      <c r="C645" s="7">
        <f>B645+($F645*$G645)-1</f>
        <v>34036</v>
      </c>
      <c r="D645" s="168" t="s">
        <v>895</v>
      </c>
      <c r="E645" s="179" t="s">
        <v>120</v>
      </c>
      <c r="F645" s="7">
        <v>1</v>
      </c>
      <c r="G645" s="7">
        <v>1</v>
      </c>
      <c r="H645" s="7"/>
      <c r="I645" s="9">
        <f t="shared" si="83"/>
        <v>2</v>
      </c>
      <c r="J645" s="9">
        <f t="shared" si="84"/>
        <v>1</v>
      </c>
      <c r="K645" s="211" t="s">
        <v>1229</v>
      </c>
      <c r="L645" s="11" t="s">
        <v>234</v>
      </c>
      <c r="M645" s="11"/>
      <c r="N645" s="11"/>
      <c r="O645" s="11"/>
      <c r="P645" s="136"/>
      <c r="Q645" s="136"/>
      <c r="R645" s="11"/>
      <c r="S645" s="11" t="s">
        <v>1181</v>
      </c>
      <c r="T645" s="117"/>
    </row>
    <row r="646" spans="1:20" ht="11.25" customHeight="1" x14ac:dyDescent="0.2">
      <c r="A646" s="33" t="s">
        <v>879</v>
      </c>
      <c r="B646" s="7">
        <f>C645+1</f>
        <v>34037</v>
      </c>
      <c r="C646" s="7">
        <f>B646+($F646*$G646)-1</f>
        <v>34037</v>
      </c>
      <c r="D646" s="9" t="s">
        <v>895</v>
      </c>
      <c r="E646" s="8" t="s">
        <v>1454</v>
      </c>
      <c r="F646" s="17">
        <v>1</v>
      </c>
      <c r="G646" s="7">
        <v>1</v>
      </c>
      <c r="H646" s="7"/>
      <c r="I646" s="9">
        <f t="shared" si="83"/>
        <v>2</v>
      </c>
      <c r="J646" s="9">
        <f t="shared" si="84"/>
        <v>1</v>
      </c>
      <c r="K646" s="211" t="s">
        <v>1457</v>
      </c>
      <c r="L646" s="11" t="s">
        <v>234</v>
      </c>
      <c r="M646" s="11"/>
      <c r="N646" s="11"/>
      <c r="O646" s="11"/>
      <c r="P646" s="10"/>
      <c r="Q646" s="10"/>
      <c r="R646" s="11"/>
      <c r="S646" s="11" t="s">
        <v>1181</v>
      </c>
      <c r="T646" s="117"/>
    </row>
    <row r="647" spans="1:20" ht="11.25" customHeight="1" x14ac:dyDescent="0.2">
      <c r="A647" s="33" t="s">
        <v>879</v>
      </c>
      <c r="B647" s="7">
        <f>C646+1</f>
        <v>34038</v>
      </c>
      <c r="C647" s="7">
        <f>B647+($F647*$G647)-1</f>
        <v>34038</v>
      </c>
      <c r="D647" s="168" t="s">
        <v>895</v>
      </c>
      <c r="E647" s="179" t="s">
        <v>121</v>
      </c>
      <c r="F647" s="7">
        <v>1</v>
      </c>
      <c r="G647" s="7">
        <v>1</v>
      </c>
      <c r="H647" s="7"/>
      <c r="I647" s="9">
        <f t="shared" si="83"/>
        <v>2</v>
      </c>
      <c r="J647" s="9">
        <f t="shared" si="84"/>
        <v>1</v>
      </c>
      <c r="K647" s="232" t="s">
        <v>1228</v>
      </c>
      <c r="L647" s="11" t="s">
        <v>234</v>
      </c>
      <c r="M647" s="11"/>
      <c r="N647" s="11"/>
      <c r="O647" s="11"/>
      <c r="P647" s="136"/>
      <c r="Q647" s="136"/>
      <c r="R647" s="11"/>
      <c r="S647" s="11" t="s">
        <v>1181</v>
      </c>
      <c r="T647" s="117"/>
    </row>
    <row r="648" spans="1:20" ht="11.25" customHeight="1" x14ac:dyDescent="0.2">
      <c r="A648" s="33" t="s">
        <v>879</v>
      </c>
      <c r="B648" s="7">
        <f>C647+1</f>
        <v>34039</v>
      </c>
      <c r="C648" s="7">
        <f>B648+($F648*$G648)-1</f>
        <v>34039</v>
      </c>
      <c r="D648" s="9" t="s">
        <v>895</v>
      </c>
      <c r="E648" s="8" t="s">
        <v>1455</v>
      </c>
      <c r="F648" s="17">
        <v>1</v>
      </c>
      <c r="G648" s="7">
        <v>1</v>
      </c>
      <c r="H648" s="7"/>
      <c r="I648" s="9">
        <f t="shared" si="83"/>
        <v>2</v>
      </c>
      <c r="J648" s="9">
        <f t="shared" si="84"/>
        <v>1</v>
      </c>
      <c r="K648" s="232" t="s">
        <v>1458</v>
      </c>
      <c r="L648" s="11" t="s">
        <v>234</v>
      </c>
      <c r="M648" s="11"/>
      <c r="N648" s="11"/>
      <c r="O648" s="11"/>
      <c r="P648" s="10"/>
      <c r="Q648" s="10"/>
      <c r="R648" s="11"/>
      <c r="S648" s="11" t="s">
        <v>1181</v>
      </c>
      <c r="T648" s="117"/>
    </row>
    <row r="649" spans="1:20" ht="11.25" customHeight="1" x14ac:dyDescent="0.2">
      <c r="A649" s="33"/>
      <c r="B649" s="47">
        <f>B650</f>
        <v>60001</v>
      </c>
      <c r="C649" s="46"/>
      <c r="D649" s="48"/>
      <c r="E649" s="26" t="s">
        <v>194</v>
      </c>
      <c r="F649" s="46"/>
      <c r="G649" s="46"/>
      <c r="H649" s="46"/>
      <c r="I649" s="48"/>
      <c r="J649" s="48"/>
      <c r="K649" s="49"/>
      <c r="L649" s="32"/>
      <c r="M649" s="32"/>
      <c r="N649" s="32"/>
      <c r="O649" s="32"/>
      <c r="P649" s="121"/>
      <c r="Q649" s="121"/>
      <c r="R649" s="143"/>
      <c r="S649" s="143"/>
      <c r="T649" s="156"/>
    </row>
    <row r="650" spans="1:20" ht="11.25" customHeight="1" x14ac:dyDescent="0.2">
      <c r="A650" s="33" t="s">
        <v>879</v>
      </c>
      <c r="B650" s="7">
        <v>60001</v>
      </c>
      <c r="C650" s="7">
        <f t="shared" ref="C650:C668" si="85">B650+($F650*$G650)-1</f>
        <v>60016</v>
      </c>
      <c r="D650" s="168" t="s">
        <v>894</v>
      </c>
      <c r="E650" s="179" t="s">
        <v>1295</v>
      </c>
      <c r="F650" s="7">
        <v>256</v>
      </c>
      <c r="G650" s="230">
        <f>1/16</f>
        <v>6.25E-2</v>
      </c>
      <c r="H650" s="7"/>
      <c r="I650" s="9">
        <f t="shared" ref="I650:I668" si="86">F650*2*G650</f>
        <v>32</v>
      </c>
      <c r="J650" s="9"/>
      <c r="K650" s="1" t="s">
        <v>579</v>
      </c>
      <c r="L650" s="11" t="s">
        <v>234</v>
      </c>
      <c r="M650" s="11"/>
      <c r="N650" s="11"/>
      <c r="O650" s="11"/>
      <c r="P650" s="136"/>
      <c r="Q650" s="136"/>
      <c r="R650" s="11"/>
      <c r="S650" s="11" t="s">
        <v>1181</v>
      </c>
      <c r="T650" s="117"/>
    </row>
    <row r="651" spans="1:20" ht="11.25" customHeight="1" x14ac:dyDescent="0.2">
      <c r="A651" s="33" t="s">
        <v>879</v>
      </c>
      <c r="B651" s="7">
        <f t="shared" ref="B651:B660" si="87">C650+1</f>
        <v>60017</v>
      </c>
      <c r="C651" s="7">
        <f t="shared" si="85"/>
        <v>60032</v>
      </c>
      <c r="D651" s="9" t="s">
        <v>894</v>
      </c>
      <c r="E651" s="8" t="s">
        <v>1296</v>
      </c>
      <c r="F651" s="7">
        <v>256</v>
      </c>
      <c r="G651" s="230">
        <f t="shared" ref="G651:G659" si="88">1/16</f>
        <v>6.25E-2</v>
      </c>
      <c r="H651" s="7"/>
      <c r="I651" s="9">
        <f t="shared" si="86"/>
        <v>32</v>
      </c>
      <c r="J651" s="9"/>
      <c r="K651" s="1" t="s">
        <v>579</v>
      </c>
      <c r="L651" s="11" t="s">
        <v>234</v>
      </c>
      <c r="M651" s="11"/>
      <c r="N651" s="11"/>
      <c r="O651" s="11"/>
      <c r="P651" s="10"/>
      <c r="Q651" s="10"/>
      <c r="R651" s="11"/>
      <c r="S651" s="11" t="s">
        <v>1181</v>
      </c>
      <c r="T651" s="157"/>
    </row>
    <row r="652" spans="1:20" ht="11.25" customHeight="1" x14ac:dyDescent="0.2">
      <c r="A652" s="33" t="s">
        <v>879</v>
      </c>
      <c r="B652" s="7">
        <f t="shared" si="87"/>
        <v>60033</v>
      </c>
      <c r="C652" s="7">
        <f t="shared" si="85"/>
        <v>60048</v>
      </c>
      <c r="D652" s="168" t="s">
        <v>894</v>
      </c>
      <c r="E652" s="179" t="s">
        <v>408</v>
      </c>
      <c r="F652" s="7">
        <v>256</v>
      </c>
      <c r="G652" s="230">
        <f>1/16</f>
        <v>6.25E-2</v>
      </c>
      <c r="H652" s="7"/>
      <c r="I652" s="9">
        <f t="shared" si="86"/>
        <v>32</v>
      </c>
      <c r="J652" s="9"/>
      <c r="K652" s="1" t="s">
        <v>579</v>
      </c>
      <c r="L652" s="11" t="s">
        <v>234</v>
      </c>
      <c r="M652" s="11"/>
      <c r="N652" s="11"/>
      <c r="O652" s="11"/>
      <c r="P652" s="136"/>
      <c r="Q652" s="136"/>
      <c r="R652" s="11"/>
      <c r="S652" s="11" t="s">
        <v>1181</v>
      </c>
      <c r="T652" s="117"/>
    </row>
    <row r="653" spans="1:20" ht="11.25" customHeight="1" x14ac:dyDescent="0.2">
      <c r="A653" s="33" t="s">
        <v>879</v>
      </c>
      <c r="B653" s="7">
        <f t="shared" si="87"/>
        <v>60049</v>
      </c>
      <c r="C653" s="7">
        <f t="shared" si="85"/>
        <v>60064</v>
      </c>
      <c r="D653" s="9" t="s">
        <v>894</v>
      </c>
      <c r="E653" s="8" t="s">
        <v>409</v>
      </c>
      <c r="F653" s="7">
        <v>256</v>
      </c>
      <c r="G653" s="230">
        <f t="shared" si="88"/>
        <v>6.25E-2</v>
      </c>
      <c r="H653" s="7"/>
      <c r="I653" s="9">
        <f t="shared" si="86"/>
        <v>32</v>
      </c>
      <c r="J653" s="9"/>
      <c r="K653" s="1" t="s">
        <v>579</v>
      </c>
      <c r="L653" s="11" t="s">
        <v>234</v>
      </c>
      <c r="M653" s="11"/>
      <c r="N653" s="11"/>
      <c r="O653" s="11"/>
      <c r="P653" s="10"/>
      <c r="Q653" s="10"/>
      <c r="R653" s="11"/>
      <c r="S653" s="11" t="s">
        <v>1181</v>
      </c>
      <c r="T653" s="157"/>
    </row>
    <row r="654" spans="1:20" ht="11.25" customHeight="1" x14ac:dyDescent="0.2">
      <c r="A654" s="33" t="s">
        <v>879</v>
      </c>
      <c r="B654" s="7">
        <f t="shared" si="87"/>
        <v>60065</v>
      </c>
      <c r="C654" s="7">
        <f t="shared" si="85"/>
        <v>60080</v>
      </c>
      <c r="D654" s="168" t="s">
        <v>894</v>
      </c>
      <c r="E654" s="179" t="s">
        <v>466</v>
      </c>
      <c r="F654" s="7">
        <v>256</v>
      </c>
      <c r="G654" s="230">
        <f t="shared" si="88"/>
        <v>6.25E-2</v>
      </c>
      <c r="H654" s="7"/>
      <c r="I654" s="9">
        <f t="shared" si="86"/>
        <v>32</v>
      </c>
      <c r="J654" s="9"/>
      <c r="K654" s="1" t="s">
        <v>579</v>
      </c>
      <c r="L654" s="11" t="s">
        <v>234</v>
      </c>
      <c r="M654" s="11"/>
      <c r="N654" s="11"/>
      <c r="O654" s="11"/>
      <c r="P654" s="136"/>
      <c r="Q654" s="136"/>
      <c r="R654" s="11"/>
      <c r="S654" s="11" t="s">
        <v>1181</v>
      </c>
      <c r="T654" s="117"/>
    </row>
    <row r="655" spans="1:20" ht="11.25" customHeight="1" x14ac:dyDescent="0.2">
      <c r="A655" s="33" t="s">
        <v>879</v>
      </c>
      <c r="B655" s="7">
        <f t="shared" si="87"/>
        <v>60081</v>
      </c>
      <c r="C655" s="7">
        <f t="shared" si="85"/>
        <v>60096</v>
      </c>
      <c r="D655" s="168" t="s">
        <v>894</v>
      </c>
      <c r="E655" s="179" t="s">
        <v>1261</v>
      </c>
      <c r="F655" s="7">
        <v>256</v>
      </c>
      <c r="G655" s="230">
        <f t="shared" si="88"/>
        <v>6.25E-2</v>
      </c>
      <c r="H655" s="7"/>
      <c r="I655" s="9">
        <f t="shared" si="86"/>
        <v>32</v>
      </c>
      <c r="J655" s="9"/>
      <c r="K655" s="1" t="s">
        <v>579</v>
      </c>
      <c r="L655" s="11" t="s">
        <v>234</v>
      </c>
      <c r="M655" s="11"/>
      <c r="N655" s="11"/>
      <c r="O655" s="11"/>
      <c r="P655" s="136"/>
      <c r="Q655" s="136"/>
      <c r="R655" s="11"/>
      <c r="S655" s="11" t="s">
        <v>1181</v>
      </c>
      <c r="T655" s="117"/>
    </row>
    <row r="656" spans="1:20" ht="11.25" customHeight="1" x14ac:dyDescent="0.2">
      <c r="A656" s="33" t="s">
        <v>879</v>
      </c>
      <c r="B656" s="7">
        <f t="shared" si="87"/>
        <v>60097</v>
      </c>
      <c r="C656" s="7">
        <f>B656+($F656*$G656)-1</f>
        <v>60112</v>
      </c>
      <c r="D656" s="168" t="s">
        <v>894</v>
      </c>
      <c r="E656" s="179" t="s">
        <v>1493</v>
      </c>
      <c r="F656" s="7">
        <v>256</v>
      </c>
      <c r="G656" s="230">
        <f t="shared" si="88"/>
        <v>6.25E-2</v>
      </c>
      <c r="H656" s="7"/>
      <c r="I656" s="9">
        <f t="shared" si="86"/>
        <v>32</v>
      </c>
      <c r="J656" s="9"/>
      <c r="K656" s="1" t="s">
        <v>579</v>
      </c>
      <c r="L656" s="11" t="s">
        <v>234</v>
      </c>
      <c r="M656" s="11"/>
      <c r="N656" s="11"/>
      <c r="O656" s="11"/>
      <c r="P656" s="136"/>
      <c r="Q656" s="136"/>
      <c r="R656" s="11"/>
      <c r="S656" s="11" t="s">
        <v>1181</v>
      </c>
      <c r="T656" s="117"/>
    </row>
    <row r="657" spans="1:20" ht="11.25" customHeight="1" x14ac:dyDescent="0.2">
      <c r="A657" s="33" t="s">
        <v>879</v>
      </c>
      <c r="B657" s="7">
        <f t="shared" si="87"/>
        <v>60113</v>
      </c>
      <c r="C657" s="7">
        <f t="shared" si="85"/>
        <v>60128</v>
      </c>
      <c r="D657" s="168" t="s">
        <v>894</v>
      </c>
      <c r="E657" s="179" t="s">
        <v>1297</v>
      </c>
      <c r="F657" s="7">
        <v>256</v>
      </c>
      <c r="G657" s="230">
        <f t="shared" si="88"/>
        <v>6.25E-2</v>
      </c>
      <c r="H657" s="7"/>
      <c r="I657" s="9">
        <f t="shared" si="86"/>
        <v>32</v>
      </c>
      <c r="J657" s="9"/>
      <c r="K657" s="1" t="s">
        <v>579</v>
      </c>
      <c r="L657" s="11" t="s">
        <v>234</v>
      </c>
      <c r="M657" s="11"/>
      <c r="N657" s="11"/>
      <c r="O657" s="11"/>
      <c r="P657" s="136"/>
      <c r="Q657" s="136"/>
      <c r="R657" s="11"/>
      <c r="S657" s="11" t="s">
        <v>1181</v>
      </c>
      <c r="T657" s="117"/>
    </row>
    <row r="658" spans="1:20" ht="11.25" customHeight="1" x14ac:dyDescent="0.2">
      <c r="A658" s="33" t="s">
        <v>879</v>
      </c>
      <c r="B658" s="7">
        <f t="shared" si="87"/>
        <v>60129</v>
      </c>
      <c r="C658" s="7">
        <f t="shared" si="85"/>
        <v>60144</v>
      </c>
      <c r="D658" s="168" t="s">
        <v>894</v>
      </c>
      <c r="E658" s="8" t="s">
        <v>755</v>
      </c>
      <c r="F658" s="7">
        <v>256</v>
      </c>
      <c r="G658" s="230">
        <f t="shared" si="88"/>
        <v>6.25E-2</v>
      </c>
      <c r="H658" s="7"/>
      <c r="I658" s="9">
        <f t="shared" si="86"/>
        <v>32</v>
      </c>
      <c r="J658" s="9"/>
      <c r="K658" s="1" t="s">
        <v>579</v>
      </c>
      <c r="L658" s="11" t="s">
        <v>234</v>
      </c>
      <c r="M658" s="11"/>
      <c r="N658" s="11"/>
      <c r="O658" s="11"/>
      <c r="P658" s="136"/>
      <c r="Q658" s="136"/>
      <c r="R658" s="11"/>
      <c r="S658" s="11" t="s">
        <v>1181</v>
      </c>
      <c r="T658" s="117"/>
    </row>
    <row r="659" spans="1:20" ht="11.25" customHeight="1" x14ac:dyDescent="0.2">
      <c r="A659" s="33" t="s">
        <v>879</v>
      </c>
      <c r="B659" s="7">
        <f t="shared" si="87"/>
        <v>60145</v>
      </c>
      <c r="C659" s="7">
        <f t="shared" si="85"/>
        <v>60160</v>
      </c>
      <c r="D659" s="9" t="s">
        <v>894</v>
      </c>
      <c r="E659" s="179" t="s">
        <v>407</v>
      </c>
      <c r="F659" s="7">
        <v>256</v>
      </c>
      <c r="G659" s="230">
        <f t="shared" si="88"/>
        <v>6.25E-2</v>
      </c>
      <c r="H659" s="7"/>
      <c r="I659" s="9">
        <f t="shared" si="86"/>
        <v>32</v>
      </c>
      <c r="J659" s="9"/>
      <c r="K659" s="1" t="s">
        <v>579</v>
      </c>
      <c r="L659" s="11" t="s">
        <v>234</v>
      </c>
      <c r="M659" s="11"/>
      <c r="N659" s="11"/>
      <c r="O659" s="11"/>
      <c r="P659" s="10"/>
      <c r="Q659" s="10"/>
      <c r="R659" s="11"/>
      <c r="S659" s="11" t="s">
        <v>1181</v>
      </c>
      <c r="T659" s="181"/>
    </row>
    <row r="660" spans="1:20" ht="11.25" customHeight="1" x14ac:dyDescent="0.2">
      <c r="A660" s="33" t="s">
        <v>879</v>
      </c>
      <c r="B660" s="7">
        <f t="shared" si="87"/>
        <v>60161</v>
      </c>
      <c r="C660" s="7">
        <f t="shared" si="85"/>
        <v>60416</v>
      </c>
      <c r="D660" s="9" t="s">
        <v>894</v>
      </c>
      <c r="E660" s="8" t="s">
        <v>1301</v>
      </c>
      <c r="F660" s="7">
        <v>256</v>
      </c>
      <c r="G660" s="285">
        <v>1</v>
      </c>
      <c r="H660" s="7"/>
      <c r="I660" s="9">
        <f t="shared" si="86"/>
        <v>512</v>
      </c>
      <c r="J660" s="9"/>
      <c r="K660" s="1" t="s">
        <v>579</v>
      </c>
      <c r="L660" s="11" t="s">
        <v>234</v>
      </c>
      <c r="M660" s="11"/>
      <c r="N660" s="11"/>
      <c r="O660" s="11"/>
      <c r="P660" s="10"/>
      <c r="Q660" s="10"/>
      <c r="R660" s="11"/>
      <c r="S660" s="11" t="s">
        <v>1181</v>
      </c>
      <c r="T660" s="117"/>
    </row>
    <row r="661" spans="1:20" ht="11.25" customHeight="1" x14ac:dyDescent="0.2">
      <c r="A661" s="33" t="s">
        <v>879</v>
      </c>
      <c r="B661" s="7">
        <f t="shared" ref="B661:B668" si="89">C660+1</f>
        <v>60417</v>
      </c>
      <c r="C661" s="7">
        <f t="shared" si="85"/>
        <v>60672</v>
      </c>
      <c r="D661" s="168" t="s">
        <v>894</v>
      </c>
      <c r="E661" s="8" t="s">
        <v>1302</v>
      </c>
      <c r="F661" s="7">
        <v>256</v>
      </c>
      <c r="G661" s="285">
        <v>1</v>
      </c>
      <c r="H661" s="7"/>
      <c r="I661" s="9">
        <f t="shared" si="86"/>
        <v>512</v>
      </c>
      <c r="J661" s="9"/>
      <c r="K661" s="1" t="s">
        <v>579</v>
      </c>
      <c r="L661" s="11" t="s">
        <v>234</v>
      </c>
      <c r="M661" s="11"/>
      <c r="N661" s="11"/>
      <c r="O661" s="11"/>
      <c r="P661" s="136"/>
      <c r="Q661" s="136"/>
      <c r="R661" s="11"/>
      <c r="S661" s="11" t="s">
        <v>1181</v>
      </c>
      <c r="T661" s="117"/>
    </row>
    <row r="662" spans="1:20" ht="11.25" customHeight="1" x14ac:dyDescent="0.2">
      <c r="A662" s="33" t="s">
        <v>879</v>
      </c>
      <c r="B662" s="7">
        <f t="shared" si="89"/>
        <v>60673</v>
      </c>
      <c r="C662" s="7">
        <f t="shared" si="85"/>
        <v>60928</v>
      </c>
      <c r="D662" s="168" t="s">
        <v>894</v>
      </c>
      <c r="E662" s="8" t="s">
        <v>1303</v>
      </c>
      <c r="F662" s="7">
        <v>256</v>
      </c>
      <c r="G662" s="285">
        <v>1</v>
      </c>
      <c r="H662" s="7"/>
      <c r="I662" s="9">
        <f t="shared" si="86"/>
        <v>512</v>
      </c>
      <c r="J662" s="9"/>
      <c r="K662" s="1" t="s">
        <v>579</v>
      </c>
      <c r="L662" s="11" t="s">
        <v>234</v>
      </c>
      <c r="M662" s="11"/>
      <c r="N662" s="11"/>
      <c r="O662" s="11"/>
      <c r="P662" s="136"/>
      <c r="Q662" s="136"/>
      <c r="R662" s="11"/>
      <c r="S662" s="11" t="s">
        <v>1181</v>
      </c>
      <c r="T662" s="117"/>
    </row>
    <row r="663" spans="1:20" ht="11.25" customHeight="1" x14ac:dyDescent="0.2">
      <c r="A663" s="33" t="s">
        <v>879</v>
      </c>
      <c r="B663" s="7">
        <f t="shared" si="89"/>
        <v>60929</v>
      </c>
      <c r="C663" s="7">
        <f t="shared" si="85"/>
        <v>61184</v>
      </c>
      <c r="D663" s="9" t="s">
        <v>894</v>
      </c>
      <c r="E663" s="8" t="s">
        <v>1298</v>
      </c>
      <c r="F663" s="7">
        <v>256</v>
      </c>
      <c r="G663" s="285">
        <v>1</v>
      </c>
      <c r="H663" s="7"/>
      <c r="I663" s="9">
        <f t="shared" si="86"/>
        <v>512</v>
      </c>
      <c r="J663" s="9"/>
      <c r="K663" s="1" t="s">
        <v>579</v>
      </c>
      <c r="L663" s="11" t="s">
        <v>234</v>
      </c>
      <c r="M663" s="11"/>
      <c r="N663" s="11"/>
      <c r="O663" s="11"/>
      <c r="P663" s="10"/>
      <c r="Q663" s="10"/>
      <c r="R663" s="11"/>
      <c r="S663" s="11" t="s">
        <v>1181</v>
      </c>
      <c r="T663" s="181"/>
    </row>
    <row r="664" spans="1:20" ht="11.25" customHeight="1" x14ac:dyDescent="0.2">
      <c r="A664" s="33" t="s">
        <v>879</v>
      </c>
      <c r="B664" s="7">
        <f t="shared" si="89"/>
        <v>61185</v>
      </c>
      <c r="C664" s="7">
        <f t="shared" si="85"/>
        <v>61440</v>
      </c>
      <c r="D664" s="168" t="s">
        <v>894</v>
      </c>
      <c r="E664" s="8" t="s">
        <v>1299</v>
      </c>
      <c r="F664" s="7">
        <v>256</v>
      </c>
      <c r="G664" s="285">
        <v>1</v>
      </c>
      <c r="H664" s="7"/>
      <c r="I664" s="9">
        <f t="shared" si="86"/>
        <v>512</v>
      </c>
      <c r="J664" s="9"/>
      <c r="K664" s="1" t="s">
        <v>579</v>
      </c>
      <c r="L664" s="11" t="s">
        <v>234</v>
      </c>
      <c r="M664" s="11"/>
      <c r="N664" s="11"/>
      <c r="O664" s="11"/>
      <c r="P664" s="136"/>
      <c r="Q664" s="136"/>
      <c r="R664" s="11"/>
      <c r="S664" s="11" t="s">
        <v>1181</v>
      </c>
      <c r="T664" s="117"/>
    </row>
    <row r="665" spans="1:20" ht="11.25" customHeight="1" x14ac:dyDescent="0.2">
      <c r="A665" s="33" t="s">
        <v>879</v>
      </c>
      <c r="B665" s="7">
        <f t="shared" si="89"/>
        <v>61441</v>
      </c>
      <c r="C665" s="7">
        <f t="shared" si="85"/>
        <v>61696</v>
      </c>
      <c r="D665" s="168" t="s">
        <v>894</v>
      </c>
      <c r="E665" s="8" t="s">
        <v>1300</v>
      </c>
      <c r="F665" s="7">
        <v>256</v>
      </c>
      <c r="G665" s="285">
        <v>1</v>
      </c>
      <c r="H665" s="7"/>
      <c r="I665" s="9">
        <f t="shared" si="86"/>
        <v>512</v>
      </c>
      <c r="J665" s="9"/>
      <c r="K665" s="1" t="s">
        <v>579</v>
      </c>
      <c r="L665" s="11" t="s">
        <v>234</v>
      </c>
      <c r="M665" s="11"/>
      <c r="N665" s="11"/>
      <c r="O665" s="11"/>
      <c r="P665" s="136"/>
      <c r="Q665" s="136"/>
      <c r="R665" s="11"/>
      <c r="S665" s="11" t="s">
        <v>1181</v>
      </c>
      <c r="T665" s="117"/>
    </row>
    <row r="666" spans="1:20" ht="11.25" customHeight="1" x14ac:dyDescent="0.2">
      <c r="A666" s="33" t="s">
        <v>879</v>
      </c>
      <c r="B666" s="7">
        <f t="shared" si="89"/>
        <v>61697</v>
      </c>
      <c r="C666" s="7">
        <f t="shared" si="85"/>
        <v>61760</v>
      </c>
      <c r="D666" s="168" t="s">
        <v>894</v>
      </c>
      <c r="E666" s="179" t="s">
        <v>1305</v>
      </c>
      <c r="F666" s="7">
        <v>1024</v>
      </c>
      <c r="G666" s="230">
        <f>1/16</f>
        <v>6.25E-2</v>
      </c>
      <c r="H666" s="7"/>
      <c r="I666" s="9">
        <f t="shared" si="86"/>
        <v>128</v>
      </c>
      <c r="J666" s="9"/>
      <c r="K666" s="1" t="s">
        <v>1304</v>
      </c>
      <c r="L666" s="11" t="s">
        <v>234</v>
      </c>
      <c r="M666" s="11"/>
      <c r="N666" s="11"/>
      <c r="O666" s="11"/>
      <c r="P666" s="136"/>
      <c r="Q666" s="136"/>
      <c r="R666" s="11"/>
      <c r="S666" s="11" t="s">
        <v>1181</v>
      </c>
      <c r="T666" s="117"/>
    </row>
    <row r="667" spans="1:20" ht="11.25" customHeight="1" x14ac:dyDescent="0.2">
      <c r="A667" s="33" t="s">
        <v>879</v>
      </c>
      <c r="B667" s="7">
        <f t="shared" si="89"/>
        <v>61761</v>
      </c>
      <c r="C667" s="7">
        <f t="shared" si="85"/>
        <v>61824</v>
      </c>
      <c r="D667" s="9" t="s">
        <v>894</v>
      </c>
      <c r="E667" s="8" t="s">
        <v>1306</v>
      </c>
      <c r="F667" s="7">
        <v>1024</v>
      </c>
      <c r="G667" s="230">
        <f>1/16</f>
        <v>6.25E-2</v>
      </c>
      <c r="H667" s="7"/>
      <c r="I667" s="9">
        <f t="shared" si="86"/>
        <v>128</v>
      </c>
      <c r="J667" s="9"/>
      <c r="K667" s="1" t="s">
        <v>579</v>
      </c>
      <c r="L667" s="11" t="s">
        <v>234</v>
      </c>
      <c r="M667" s="11"/>
      <c r="N667" s="11"/>
      <c r="O667" s="11"/>
      <c r="P667" s="10"/>
      <c r="Q667" s="10"/>
      <c r="R667" s="11"/>
      <c r="S667" s="11" t="s">
        <v>1181</v>
      </c>
      <c r="T667" s="157"/>
    </row>
    <row r="668" spans="1:20" ht="11.25" customHeight="1" x14ac:dyDescent="0.2">
      <c r="A668" s="33" t="s">
        <v>879</v>
      </c>
      <c r="B668" s="7">
        <f t="shared" si="89"/>
        <v>61825</v>
      </c>
      <c r="C668" s="7">
        <f t="shared" si="85"/>
        <v>61888</v>
      </c>
      <c r="D668" s="168" t="s">
        <v>894</v>
      </c>
      <c r="E668" s="179" t="s">
        <v>1307</v>
      </c>
      <c r="F668" s="7">
        <v>1024</v>
      </c>
      <c r="G668" s="230">
        <f>1/16</f>
        <v>6.25E-2</v>
      </c>
      <c r="H668" s="7"/>
      <c r="I668" s="9">
        <f t="shared" si="86"/>
        <v>128</v>
      </c>
      <c r="J668" s="9"/>
      <c r="K668" s="1" t="s">
        <v>579</v>
      </c>
      <c r="L668" s="11" t="s">
        <v>234</v>
      </c>
      <c r="M668" s="11"/>
      <c r="N668" s="11"/>
      <c r="O668" s="11"/>
      <c r="P668" s="136"/>
      <c r="Q668" s="136"/>
      <c r="R668" s="11"/>
      <c r="S668" s="11" t="s">
        <v>1181</v>
      </c>
      <c r="T668" s="117"/>
    </row>
    <row r="669" spans="1:20" x14ac:dyDescent="0.2">
      <c r="A669" s="33"/>
      <c r="B669" s="47">
        <f>B670</f>
        <v>62001</v>
      </c>
      <c r="C669" s="46"/>
      <c r="D669" s="48"/>
      <c r="E669" s="26" t="s">
        <v>194</v>
      </c>
      <c r="F669" s="46"/>
      <c r="G669" s="46"/>
      <c r="H669" s="46"/>
      <c r="I669" s="48"/>
      <c r="J669" s="48"/>
      <c r="K669" s="49"/>
      <c r="L669" s="32"/>
      <c r="M669" s="32"/>
      <c r="N669" s="32"/>
      <c r="O669" s="32"/>
      <c r="R669" s="143"/>
      <c r="S669" s="143"/>
      <c r="T669" s="156"/>
    </row>
    <row r="670" spans="1:20" x14ac:dyDescent="0.2">
      <c r="A670" s="33" t="s">
        <v>879</v>
      </c>
      <c r="B670" s="7">
        <v>62001</v>
      </c>
      <c r="C670" s="7">
        <f>B670+($F670*$G670)-1</f>
        <v>62016</v>
      </c>
      <c r="D670" s="168" t="s">
        <v>894</v>
      </c>
      <c r="E670" s="179" t="s">
        <v>410</v>
      </c>
      <c r="F670" s="7">
        <v>256</v>
      </c>
      <c r="G670" s="230">
        <f t="shared" ref="G670:G684" si="90">1/16</f>
        <v>6.25E-2</v>
      </c>
      <c r="H670" s="7"/>
      <c r="I670" s="9">
        <f>(F670*G670)/8</f>
        <v>2</v>
      </c>
      <c r="J670" s="9"/>
      <c r="K670" s="1" t="s">
        <v>579</v>
      </c>
      <c r="L670" s="11" t="s">
        <v>234</v>
      </c>
      <c r="M670" s="11"/>
      <c r="N670" s="11"/>
      <c r="O670" s="11"/>
      <c r="P670" s="136"/>
      <c r="Q670" s="136"/>
      <c r="R670" s="11"/>
      <c r="S670" s="11" t="s">
        <v>1181</v>
      </c>
      <c r="T670" s="117"/>
    </row>
    <row r="671" spans="1:20" x14ac:dyDescent="0.2">
      <c r="A671" s="33" t="s">
        <v>879</v>
      </c>
      <c r="B671" s="7">
        <f>C670+1</f>
        <v>62017</v>
      </c>
      <c r="C671" s="7">
        <f>B671+($F671*$G671)-1</f>
        <v>62032</v>
      </c>
      <c r="D671" s="168" t="s">
        <v>894</v>
      </c>
      <c r="E671" s="179" t="s">
        <v>411</v>
      </c>
      <c r="F671" s="7">
        <v>256</v>
      </c>
      <c r="G671" s="230">
        <f t="shared" si="90"/>
        <v>6.25E-2</v>
      </c>
      <c r="H671" s="7"/>
      <c r="I671" s="9">
        <f>(F671*G671)/8</f>
        <v>2</v>
      </c>
      <c r="J671" s="9"/>
      <c r="K671" s="1" t="s">
        <v>700</v>
      </c>
      <c r="L671" s="11" t="s">
        <v>234</v>
      </c>
      <c r="M671" s="11"/>
      <c r="N671" s="11"/>
      <c r="O671" s="11"/>
      <c r="P671" s="136"/>
      <c r="Q671" s="136"/>
      <c r="R671" s="11"/>
      <c r="S671" s="11" t="s">
        <v>1181</v>
      </c>
      <c r="T671" s="117"/>
    </row>
    <row r="672" spans="1:20" x14ac:dyDescent="0.2">
      <c r="A672" s="33" t="s">
        <v>879</v>
      </c>
      <c r="B672" s="7">
        <f>C671+1</f>
        <v>62033</v>
      </c>
      <c r="C672" s="7">
        <f>B672+($F672*$G672)-1</f>
        <v>62048</v>
      </c>
      <c r="D672" s="168" t="s">
        <v>894</v>
      </c>
      <c r="E672" s="179" t="s">
        <v>406</v>
      </c>
      <c r="F672" s="7">
        <v>256</v>
      </c>
      <c r="G672" s="230">
        <f t="shared" si="90"/>
        <v>6.25E-2</v>
      </c>
      <c r="H672" s="7"/>
      <c r="I672" s="9">
        <f>(F672*G672)/8</f>
        <v>2</v>
      </c>
      <c r="J672" s="9"/>
      <c r="K672" s="94" t="s">
        <v>887</v>
      </c>
      <c r="L672" s="11" t="s">
        <v>234</v>
      </c>
      <c r="M672" s="11"/>
      <c r="N672" s="11"/>
      <c r="O672" s="11"/>
      <c r="P672" s="10"/>
      <c r="Q672" s="10"/>
      <c r="R672" s="11"/>
      <c r="S672" s="11" t="s">
        <v>1181</v>
      </c>
      <c r="T672" s="178"/>
    </row>
    <row r="673" spans="1:180" x14ac:dyDescent="0.2">
      <c r="A673" s="33" t="s">
        <v>879</v>
      </c>
      <c r="B673" s="7">
        <f>C672+1</f>
        <v>62049</v>
      </c>
      <c r="C673" s="7">
        <f>B673+($F673*$G673)-1</f>
        <v>62064</v>
      </c>
      <c r="D673" s="9" t="s">
        <v>894</v>
      </c>
      <c r="E673" s="8" t="s">
        <v>1294</v>
      </c>
      <c r="F673" s="7">
        <v>256</v>
      </c>
      <c r="G673" s="230">
        <f t="shared" si="90"/>
        <v>6.25E-2</v>
      </c>
      <c r="H673" s="7"/>
      <c r="I673" s="9">
        <f>(F673*G673)/8</f>
        <v>2</v>
      </c>
      <c r="J673" s="9"/>
      <c r="K673" s="1" t="s">
        <v>240</v>
      </c>
      <c r="L673" s="11" t="s">
        <v>234</v>
      </c>
      <c r="M673" s="11"/>
      <c r="N673" s="11"/>
      <c r="O673" s="11"/>
      <c r="P673" s="136"/>
      <c r="Q673" s="136"/>
      <c r="R673" s="11"/>
      <c r="S673" s="11" t="s">
        <v>1181</v>
      </c>
      <c r="T673" s="117"/>
    </row>
    <row r="674" spans="1:180" ht="11.25" customHeight="1" x14ac:dyDescent="0.2">
      <c r="A674" s="33" t="s">
        <v>879</v>
      </c>
      <c r="B674" s="7">
        <f>C673+1</f>
        <v>62065</v>
      </c>
      <c r="C674" s="7">
        <f>B674+($F674*$G674)-1</f>
        <v>62080</v>
      </c>
      <c r="D674" s="9" t="s">
        <v>894</v>
      </c>
      <c r="E674" s="8" t="s">
        <v>1293</v>
      </c>
      <c r="F674" s="7">
        <v>256</v>
      </c>
      <c r="G674" s="230">
        <f t="shared" si="90"/>
        <v>6.25E-2</v>
      </c>
      <c r="H674" s="7"/>
      <c r="I674" s="9">
        <f>(F674*G674)/8</f>
        <v>2</v>
      </c>
      <c r="J674" s="9"/>
      <c r="K674" s="1" t="s">
        <v>240</v>
      </c>
      <c r="L674" s="11" t="s">
        <v>234</v>
      </c>
      <c r="M674" s="11"/>
      <c r="N674" s="11"/>
      <c r="O674" s="11"/>
      <c r="P674" s="136"/>
      <c r="Q674" s="136"/>
      <c r="R674" s="11"/>
      <c r="S674" s="11" t="s">
        <v>1181</v>
      </c>
      <c r="T674" s="117"/>
    </row>
    <row r="675" spans="1:180" x14ac:dyDescent="0.2">
      <c r="A675" s="33"/>
      <c r="B675" s="47">
        <f>B676</f>
        <v>62091</v>
      </c>
      <c r="C675" s="46"/>
      <c r="D675" s="48"/>
      <c r="E675" s="26" t="s">
        <v>1552</v>
      </c>
      <c r="F675" s="46"/>
      <c r="G675" s="46"/>
      <c r="H675" s="46"/>
      <c r="I675" s="48"/>
      <c r="J675" s="48"/>
      <c r="K675" s="49"/>
      <c r="L675" s="32"/>
      <c r="M675" s="32"/>
      <c r="N675" s="32"/>
      <c r="O675" s="32"/>
      <c r="P675" s="122"/>
      <c r="R675" s="143"/>
      <c r="S675" s="143"/>
      <c r="T675" s="156"/>
    </row>
    <row r="676" spans="1:180" ht="11.25" customHeight="1" x14ac:dyDescent="0.2">
      <c r="A676" s="33" t="s">
        <v>879</v>
      </c>
      <c r="B676" s="7">
        <v>62091</v>
      </c>
      <c r="C676" s="7">
        <f t="shared" ref="C676:C684" si="91">B676+($F676*$G676)-1</f>
        <v>62091</v>
      </c>
      <c r="D676" s="168" t="s">
        <v>894</v>
      </c>
      <c r="E676" s="8" t="s">
        <v>1052</v>
      </c>
      <c r="F676" s="7">
        <v>16</v>
      </c>
      <c r="G676" s="230">
        <f t="shared" si="90"/>
        <v>6.25E-2</v>
      </c>
      <c r="H676" s="7"/>
      <c r="I676" s="9">
        <f t="shared" ref="I676:I684" si="92">F676*2*G676</f>
        <v>2</v>
      </c>
      <c r="J676" s="9" t="s">
        <v>387</v>
      </c>
      <c r="K676" s="1" t="s">
        <v>579</v>
      </c>
      <c r="L676" s="9" t="s">
        <v>234</v>
      </c>
      <c r="M676" s="154"/>
      <c r="N676" s="7"/>
      <c r="O676" s="11"/>
      <c r="P676" s="10"/>
      <c r="Q676" s="10"/>
      <c r="R676" s="11"/>
      <c r="S676" s="11" t="s">
        <v>1181</v>
      </c>
      <c r="T676" s="157"/>
    </row>
    <row r="677" spans="1:180" x14ac:dyDescent="0.2">
      <c r="A677" s="33" t="s">
        <v>879</v>
      </c>
      <c r="B677" s="7">
        <f t="shared" ref="B677:B684" si="93">C676+1</f>
        <v>62092</v>
      </c>
      <c r="C677" s="7">
        <f t="shared" si="91"/>
        <v>62092</v>
      </c>
      <c r="D677" s="168" t="s">
        <v>894</v>
      </c>
      <c r="E677" s="8" t="s">
        <v>1053</v>
      </c>
      <c r="F677" s="7">
        <v>16</v>
      </c>
      <c r="G677" s="230">
        <f t="shared" si="90"/>
        <v>6.25E-2</v>
      </c>
      <c r="H677" s="7"/>
      <c r="I677" s="9">
        <f t="shared" si="92"/>
        <v>2</v>
      </c>
      <c r="J677" s="9" t="s">
        <v>387</v>
      </c>
      <c r="K677" s="1" t="s">
        <v>579</v>
      </c>
      <c r="L677" s="9" t="s">
        <v>234</v>
      </c>
      <c r="M677" s="154"/>
      <c r="N677" s="7"/>
      <c r="O677" s="11"/>
      <c r="P677" s="10"/>
      <c r="Q677" s="10"/>
      <c r="R677" s="11"/>
      <c r="S677" s="11" t="s">
        <v>1181</v>
      </c>
      <c r="T677" s="157"/>
    </row>
    <row r="678" spans="1:180" x14ac:dyDescent="0.2">
      <c r="A678" s="33" t="s">
        <v>879</v>
      </c>
      <c r="B678" s="7">
        <f t="shared" si="93"/>
        <v>62093</v>
      </c>
      <c r="C678" s="7">
        <f t="shared" si="91"/>
        <v>62093</v>
      </c>
      <c r="D678" s="168" t="s">
        <v>894</v>
      </c>
      <c r="E678" s="8" t="s">
        <v>1308</v>
      </c>
      <c r="F678" s="7">
        <v>16</v>
      </c>
      <c r="G678" s="230">
        <f t="shared" si="90"/>
        <v>6.25E-2</v>
      </c>
      <c r="H678" s="7"/>
      <c r="I678" s="9">
        <f t="shared" si="92"/>
        <v>2</v>
      </c>
      <c r="J678" s="9" t="s">
        <v>387</v>
      </c>
      <c r="K678" s="1" t="s">
        <v>579</v>
      </c>
      <c r="L678" s="9" t="s">
        <v>234</v>
      </c>
      <c r="M678" s="154"/>
      <c r="N678" s="7"/>
      <c r="O678" s="11"/>
      <c r="P678" s="10"/>
      <c r="Q678" s="10"/>
      <c r="R678" s="11"/>
      <c r="S678" s="11" t="s">
        <v>1181</v>
      </c>
      <c r="T678" s="157"/>
    </row>
    <row r="679" spans="1:180" x14ac:dyDescent="0.2">
      <c r="A679" s="33" t="s">
        <v>879</v>
      </c>
      <c r="B679" s="7">
        <f t="shared" si="93"/>
        <v>62094</v>
      </c>
      <c r="C679" s="7">
        <f t="shared" si="91"/>
        <v>62094</v>
      </c>
      <c r="D679" s="168" t="s">
        <v>894</v>
      </c>
      <c r="E679" s="8" t="s">
        <v>1309</v>
      </c>
      <c r="F679" s="7">
        <v>16</v>
      </c>
      <c r="G679" s="230">
        <f t="shared" si="90"/>
        <v>6.25E-2</v>
      </c>
      <c r="H679" s="7"/>
      <c r="I679" s="9">
        <f t="shared" si="92"/>
        <v>2</v>
      </c>
      <c r="J679" s="9" t="s">
        <v>387</v>
      </c>
      <c r="K679" s="1" t="s">
        <v>579</v>
      </c>
      <c r="L679" s="9" t="s">
        <v>234</v>
      </c>
      <c r="M679" s="154"/>
      <c r="N679" s="7"/>
      <c r="O679" s="11"/>
      <c r="P679" s="10"/>
      <c r="Q679" s="10"/>
      <c r="R679" s="11"/>
      <c r="S679" s="11" t="s">
        <v>1181</v>
      </c>
      <c r="T679" s="157"/>
    </row>
    <row r="680" spans="1:180" x14ac:dyDescent="0.2">
      <c r="A680" s="33" t="s">
        <v>879</v>
      </c>
      <c r="B680" s="7">
        <f t="shared" si="93"/>
        <v>62095</v>
      </c>
      <c r="C680" s="7">
        <f t="shared" si="91"/>
        <v>62095</v>
      </c>
      <c r="D680" s="168" t="s">
        <v>894</v>
      </c>
      <c r="E680" s="8" t="s">
        <v>1310</v>
      </c>
      <c r="F680" s="7">
        <v>16</v>
      </c>
      <c r="G680" s="230">
        <f t="shared" si="90"/>
        <v>6.25E-2</v>
      </c>
      <c r="H680" s="7"/>
      <c r="I680" s="9">
        <f t="shared" si="92"/>
        <v>2</v>
      </c>
      <c r="J680" s="9" t="s">
        <v>387</v>
      </c>
      <c r="K680" s="1" t="s">
        <v>579</v>
      </c>
      <c r="L680" s="9" t="s">
        <v>234</v>
      </c>
      <c r="M680" s="154"/>
      <c r="N680" s="7"/>
      <c r="O680" s="11"/>
      <c r="P680" s="10"/>
      <c r="Q680" s="10"/>
      <c r="R680" s="11"/>
      <c r="S680" s="11" t="s">
        <v>1181</v>
      </c>
      <c r="T680" s="157"/>
    </row>
    <row r="681" spans="1:180" x14ac:dyDescent="0.2">
      <c r="A681" s="33" t="s">
        <v>879</v>
      </c>
      <c r="B681" s="7">
        <f t="shared" si="93"/>
        <v>62096</v>
      </c>
      <c r="C681" s="7">
        <f t="shared" si="91"/>
        <v>62096</v>
      </c>
      <c r="D681" s="168" t="s">
        <v>894</v>
      </c>
      <c r="E681" s="8" t="s">
        <v>1311</v>
      </c>
      <c r="F681" s="7">
        <v>16</v>
      </c>
      <c r="G681" s="230">
        <f t="shared" si="90"/>
        <v>6.25E-2</v>
      </c>
      <c r="H681" s="7"/>
      <c r="I681" s="9">
        <f t="shared" si="92"/>
        <v>2</v>
      </c>
      <c r="J681" s="9" t="s">
        <v>387</v>
      </c>
      <c r="K681" s="1" t="s">
        <v>579</v>
      </c>
      <c r="L681" s="9" t="s">
        <v>234</v>
      </c>
      <c r="M681" s="154"/>
      <c r="N681" s="7"/>
      <c r="O681" s="11"/>
      <c r="P681" s="10"/>
      <c r="Q681" s="10"/>
      <c r="R681" s="11"/>
      <c r="S681" s="11" t="s">
        <v>1181</v>
      </c>
      <c r="T681" s="157"/>
    </row>
    <row r="682" spans="1:180" x14ac:dyDescent="0.2">
      <c r="A682" s="33" t="s">
        <v>879</v>
      </c>
      <c r="B682" s="7">
        <f t="shared" si="93"/>
        <v>62097</v>
      </c>
      <c r="C682" s="7">
        <f t="shared" si="91"/>
        <v>62097</v>
      </c>
      <c r="D682" s="168" t="s">
        <v>894</v>
      </c>
      <c r="E682" s="8" t="s">
        <v>1054</v>
      </c>
      <c r="F682" s="7">
        <v>16</v>
      </c>
      <c r="G682" s="230">
        <f t="shared" si="90"/>
        <v>6.25E-2</v>
      </c>
      <c r="H682" s="7"/>
      <c r="I682" s="9">
        <f t="shared" si="92"/>
        <v>2</v>
      </c>
      <c r="J682" s="9" t="s">
        <v>387</v>
      </c>
      <c r="K682" s="1" t="s">
        <v>579</v>
      </c>
      <c r="L682" s="9" t="s">
        <v>234</v>
      </c>
      <c r="M682" s="154"/>
      <c r="N682" s="7"/>
      <c r="O682" s="11"/>
      <c r="P682" s="10"/>
      <c r="Q682" s="10"/>
      <c r="R682" s="11"/>
      <c r="S682" s="11" t="s">
        <v>1181</v>
      </c>
      <c r="T682" s="157"/>
    </row>
    <row r="683" spans="1:180" x14ac:dyDescent="0.2">
      <c r="A683" s="33" t="s">
        <v>879</v>
      </c>
      <c r="B683" s="7">
        <f t="shared" si="93"/>
        <v>62098</v>
      </c>
      <c r="C683" s="7">
        <f t="shared" si="91"/>
        <v>62098</v>
      </c>
      <c r="D683" s="168" t="s">
        <v>894</v>
      </c>
      <c r="E683" s="8" t="s">
        <v>1055</v>
      </c>
      <c r="F683" s="7">
        <v>16</v>
      </c>
      <c r="G683" s="230">
        <f t="shared" si="90"/>
        <v>6.25E-2</v>
      </c>
      <c r="H683" s="7"/>
      <c r="I683" s="9">
        <f t="shared" si="92"/>
        <v>2</v>
      </c>
      <c r="J683" s="9" t="s">
        <v>387</v>
      </c>
      <c r="K683" s="1" t="s">
        <v>579</v>
      </c>
      <c r="L683" s="9" t="s">
        <v>234</v>
      </c>
      <c r="M683" s="154"/>
      <c r="N683" s="7"/>
      <c r="O683" s="11"/>
      <c r="P683" s="10"/>
      <c r="Q683" s="10"/>
      <c r="R683" s="11"/>
      <c r="S683" s="11" t="s">
        <v>1181</v>
      </c>
      <c r="T683" s="157"/>
    </row>
    <row r="684" spans="1:180" x14ac:dyDescent="0.2">
      <c r="A684" s="33" t="s">
        <v>879</v>
      </c>
      <c r="B684" s="7">
        <f t="shared" si="93"/>
        <v>62099</v>
      </c>
      <c r="C684" s="7">
        <f t="shared" si="91"/>
        <v>62099</v>
      </c>
      <c r="D684" s="168" t="s">
        <v>894</v>
      </c>
      <c r="E684" s="8" t="s">
        <v>1057</v>
      </c>
      <c r="F684" s="7">
        <v>16</v>
      </c>
      <c r="G684" s="230">
        <f t="shared" si="90"/>
        <v>6.25E-2</v>
      </c>
      <c r="H684" s="7"/>
      <c r="I684" s="9">
        <f t="shared" si="92"/>
        <v>2</v>
      </c>
      <c r="J684" s="9" t="s">
        <v>387</v>
      </c>
      <c r="K684" s="1" t="s">
        <v>1058</v>
      </c>
      <c r="L684" s="9" t="s">
        <v>234</v>
      </c>
      <c r="M684" s="154"/>
      <c r="N684" s="7"/>
      <c r="O684" s="11"/>
      <c r="P684" s="10"/>
      <c r="Q684" s="10"/>
      <c r="R684" s="11"/>
      <c r="S684" s="11" t="s">
        <v>1181</v>
      </c>
      <c r="T684" s="157"/>
    </row>
    <row r="685" spans="1:180" x14ac:dyDescent="0.2">
      <c r="A685" s="33"/>
      <c r="B685" s="47">
        <f>B686</f>
        <v>62101</v>
      </c>
      <c r="C685" s="26"/>
      <c r="D685" s="28"/>
      <c r="E685" s="26" t="s">
        <v>194</v>
      </c>
      <c r="F685" s="171"/>
      <c r="G685" s="171"/>
      <c r="H685" s="171"/>
      <c r="I685" s="177"/>
      <c r="J685" s="177"/>
      <c r="K685" s="184"/>
      <c r="L685" s="185"/>
      <c r="M685" s="185"/>
      <c r="N685" s="185"/>
      <c r="O685" s="185"/>
      <c r="P685" s="182"/>
      <c r="Q685" s="182"/>
      <c r="R685" s="186"/>
      <c r="S685" s="186"/>
      <c r="T685" s="187"/>
    </row>
    <row r="686" spans="1:180" x14ac:dyDescent="0.2">
      <c r="A686" s="33" t="s">
        <v>879</v>
      </c>
      <c r="B686" s="7">
        <v>62101</v>
      </c>
      <c r="C686" s="7">
        <f>B686+($F686*$G686)-1</f>
        <v>62101</v>
      </c>
      <c r="D686" s="9" t="s">
        <v>895</v>
      </c>
      <c r="E686" s="8" t="s">
        <v>2004</v>
      </c>
      <c r="F686" s="7">
        <v>16</v>
      </c>
      <c r="G686" s="230">
        <f>1/16</f>
        <v>6.25E-2</v>
      </c>
      <c r="H686" s="7"/>
      <c r="I686" s="9">
        <f>F686*2*G686</f>
        <v>2</v>
      </c>
      <c r="J686" s="9">
        <f>C686-B686+1</f>
        <v>1</v>
      </c>
      <c r="K686" s="1" t="s">
        <v>885</v>
      </c>
      <c r="L686" s="11" t="s">
        <v>234</v>
      </c>
      <c r="M686" s="11"/>
      <c r="N686" s="11"/>
      <c r="O686" s="11"/>
      <c r="P686" s="125"/>
      <c r="Q686" s="125"/>
      <c r="R686" s="11"/>
      <c r="S686" s="11" t="s">
        <v>1181</v>
      </c>
      <c r="T686" s="157"/>
    </row>
    <row r="687" spans="1:180" x14ac:dyDescent="0.2">
      <c r="A687" s="33" t="s">
        <v>879</v>
      </c>
      <c r="B687" s="7">
        <f>C686+1</f>
        <v>62102</v>
      </c>
      <c r="C687" s="7">
        <f>B687+($F687*$G687)-1</f>
        <v>62102</v>
      </c>
      <c r="D687" s="9" t="s">
        <v>895</v>
      </c>
      <c r="E687" s="8" t="s">
        <v>2005</v>
      </c>
      <c r="F687" s="7">
        <v>16</v>
      </c>
      <c r="G687" s="230">
        <f>1/16</f>
        <v>6.25E-2</v>
      </c>
      <c r="H687" s="7"/>
      <c r="I687" s="9">
        <f>F687*2*G687</f>
        <v>2</v>
      </c>
      <c r="J687" s="9">
        <f>C687-B687+1</f>
        <v>1</v>
      </c>
      <c r="K687" s="1" t="s">
        <v>884</v>
      </c>
      <c r="L687" s="11" t="s">
        <v>234</v>
      </c>
      <c r="M687" s="11"/>
      <c r="N687" s="11"/>
      <c r="O687" s="11"/>
      <c r="P687" s="10"/>
      <c r="Q687" s="10"/>
      <c r="R687" s="11"/>
      <c r="S687" s="11" t="s">
        <v>1181</v>
      </c>
      <c r="T687" s="157"/>
    </row>
    <row r="688" spans="1:180" x14ac:dyDescent="0.2">
      <c r="A688" s="33"/>
      <c r="B688" s="47">
        <f>B689</f>
        <v>62103</v>
      </c>
      <c r="C688" s="26"/>
      <c r="D688" s="28"/>
      <c r="E688" s="26" t="s">
        <v>194</v>
      </c>
      <c r="F688" s="171"/>
      <c r="G688" s="171"/>
      <c r="H688" s="171"/>
      <c r="I688" s="177"/>
      <c r="J688" s="177"/>
      <c r="K688" s="184"/>
      <c r="L688" s="185"/>
      <c r="M688" s="185"/>
      <c r="N688" s="185"/>
      <c r="O688" s="185"/>
      <c r="P688" s="182"/>
      <c r="Q688" s="182"/>
      <c r="R688" s="186"/>
      <c r="S688" s="186"/>
      <c r="T688" s="187"/>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K688" s="18"/>
      <c r="DL688" s="18"/>
      <c r="DM688" s="18"/>
      <c r="DN688" s="18"/>
      <c r="DO688" s="18"/>
      <c r="DP688" s="18"/>
      <c r="DQ688" s="18"/>
      <c r="DR688" s="18"/>
      <c r="DS688" s="18"/>
      <c r="DT688" s="18"/>
      <c r="DU688" s="18"/>
      <c r="DV688" s="18"/>
      <c r="DW688" s="18"/>
      <c r="DX688" s="18"/>
      <c r="DY688" s="18"/>
      <c r="DZ688" s="18"/>
      <c r="EA688" s="18"/>
      <c r="EB688" s="18"/>
      <c r="EC688" s="18"/>
      <c r="ED688" s="18"/>
      <c r="EE688" s="18"/>
      <c r="EF688" s="18"/>
      <c r="EG688" s="18"/>
      <c r="EH688" s="18"/>
      <c r="EI688" s="18"/>
      <c r="EJ688" s="18"/>
      <c r="EK688" s="18"/>
      <c r="EL688" s="18"/>
      <c r="EM688" s="18"/>
      <c r="EN688" s="18"/>
      <c r="EO688" s="18"/>
      <c r="EP688" s="18"/>
      <c r="EQ688" s="18"/>
      <c r="ER688" s="18"/>
      <c r="ES688" s="18"/>
      <c r="ET688" s="18"/>
      <c r="EU688" s="18"/>
      <c r="EV688" s="18"/>
      <c r="EW688" s="18"/>
      <c r="EX688" s="18"/>
      <c r="EY688" s="18"/>
      <c r="EZ688" s="18"/>
      <c r="FA688" s="18"/>
      <c r="FB688" s="18"/>
      <c r="FC688" s="18"/>
      <c r="FD688" s="18"/>
      <c r="FE688" s="18"/>
      <c r="FF688" s="18"/>
      <c r="FG688" s="18"/>
      <c r="FH688" s="18"/>
      <c r="FI688" s="18"/>
      <c r="FJ688" s="18"/>
      <c r="FK688" s="18"/>
      <c r="FL688" s="18"/>
      <c r="FM688" s="18"/>
      <c r="FN688" s="18"/>
      <c r="FO688" s="18"/>
      <c r="FP688" s="18"/>
      <c r="FQ688" s="18"/>
      <c r="FR688" s="18"/>
      <c r="FS688" s="18"/>
      <c r="FT688" s="18"/>
      <c r="FU688" s="18"/>
      <c r="FV688" s="18"/>
      <c r="FW688" s="18"/>
      <c r="FX688" s="18"/>
    </row>
    <row r="689" spans="1:20" x14ac:dyDescent="0.2">
      <c r="A689" s="33" t="s">
        <v>879</v>
      </c>
      <c r="B689" s="7">
        <v>62103</v>
      </c>
      <c r="C689" s="7">
        <f t="shared" ref="C689:C704" si="94">B689+($F689*$G689)-1</f>
        <v>62104</v>
      </c>
      <c r="D689" s="9" t="s">
        <v>895</v>
      </c>
      <c r="E689" s="8" t="s">
        <v>179</v>
      </c>
      <c r="F689" s="7">
        <v>32</v>
      </c>
      <c r="G689" s="230">
        <f t="shared" ref="G689:G757" si="95">1/16</f>
        <v>6.25E-2</v>
      </c>
      <c r="H689" s="7"/>
      <c r="I689" s="9">
        <f t="shared" ref="I689:I704" si="96">F689*2*G689</f>
        <v>4</v>
      </c>
      <c r="J689" s="9">
        <f t="shared" ref="J689:J704" si="97">C689-B689+1</f>
        <v>2</v>
      </c>
      <c r="K689" s="1" t="s">
        <v>579</v>
      </c>
      <c r="L689" s="11" t="s">
        <v>234</v>
      </c>
      <c r="M689" s="11"/>
      <c r="N689" s="11"/>
      <c r="O689" s="11"/>
      <c r="P689" s="125"/>
      <c r="Q689" s="121"/>
      <c r="R689" s="11"/>
      <c r="S689" s="11" t="s">
        <v>1181</v>
      </c>
      <c r="T689" s="157"/>
    </row>
    <row r="690" spans="1:20" x14ac:dyDescent="0.2">
      <c r="A690" s="33" t="s">
        <v>879</v>
      </c>
      <c r="B690" s="7">
        <f t="shared" ref="B690:B704" si="98">C689+1</f>
        <v>62105</v>
      </c>
      <c r="C690" s="7">
        <f t="shared" si="94"/>
        <v>62106</v>
      </c>
      <c r="D690" s="9" t="s">
        <v>895</v>
      </c>
      <c r="E690" s="8" t="s">
        <v>180</v>
      </c>
      <c r="F690" s="7">
        <v>32</v>
      </c>
      <c r="G690" s="230">
        <f t="shared" si="95"/>
        <v>6.25E-2</v>
      </c>
      <c r="H690" s="7"/>
      <c r="I690" s="9">
        <f t="shared" si="96"/>
        <v>4</v>
      </c>
      <c r="J690" s="9">
        <f t="shared" si="97"/>
        <v>2</v>
      </c>
      <c r="K690" s="1" t="s">
        <v>579</v>
      </c>
      <c r="L690" s="11" t="s">
        <v>234</v>
      </c>
      <c r="M690" s="11"/>
      <c r="N690" s="11"/>
      <c r="O690" s="11"/>
      <c r="P690" s="125"/>
      <c r="Q690" s="121"/>
      <c r="R690" s="11"/>
      <c r="S690" s="11" t="s">
        <v>1181</v>
      </c>
      <c r="T690" s="157"/>
    </row>
    <row r="691" spans="1:20" x14ac:dyDescent="0.2">
      <c r="A691" s="33" t="s">
        <v>879</v>
      </c>
      <c r="B691" s="7">
        <f t="shared" si="98"/>
        <v>62107</v>
      </c>
      <c r="C691" s="7">
        <f t="shared" si="94"/>
        <v>62108</v>
      </c>
      <c r="D691" s="9" t="s">
        <v>895</v>
      </c>
      <c r="E691" s="8" t="s">
        <v>181</v>
      </c>
      <c r="F691" s="7">
        <v>32</v>
      </c>
      <c r="G691" s="230">
        <f t="shared" si="95"/>
        <v>6.25E-2</v>
      </c>
      <c r="H691" s="7"/>
      <c r="I691" s="9">
        <f t="shared" si="96"/>
        <v>4</v>
      </c>
      <c r="J691" s="9">
        <f t="shared" si="97"/>
        <v>2</v>
      </c>
      <c r="K691" s="1" t="s">
        <v>579</v>
      </c>
      <c r="L691" s="11" t="s">
        <v>234</v>
      </c>
      <c r="M691" s="11"/>
      <c r="N691" s="11"/>
      <c r="O691" s="11"/>
      <c r="P691" s="125"/>
      <c r="Q691" s="121"/>
      <c r="R691" s="11"/>
      <c r="S691" s="11" t="s">
        <v>1181</v>
      </c>
      <c r="T691" s="157"/>
    </row>
    <row r="692" spans="1:20" x14ac:dyDescent="0.2">
      <c r="A692" s="33" t="s">
        <v>879</v>
      </c>
      <c r="B692" s="7">
        <f t="shared" si="98"/>
        <v>62109</v>
      </c>
      <c r="C692" s="7">
        <f t="shared" si="94"/>
        <v>62110</v>
      </c>
      <c r="D692" s="9" t="s">
        <v>895</v>
      </c>
      <c r="E692" s="8" t="s">
        <v>182</v>
      </c>
      <c r="F692" s="7">
        <v>32</v>
      </c>
      <c r="G692" s="230">
        <f t="shared" si="95"/>
        <v>6.25E-2</v>
      </c>
      <c r="H692" s="7"/>
      <c r="I692" s="9">
        <f t="shared" si="96"/>
        <v>4</v>
      </c>
      <c r="J692" s="9">
        <f t="shared" si="97"/>
        <v>2</v>
      </c>
      <c r="K692" s="1" t="s">
        <v>579</v>
      </c>
      <c r="L692" s="11" t="s">
        <v>234</v>
      </c>
      <c r="M692" s="11"/>
      <c r="N692" s="11"/>
      <c r="O692" s="11"/>
      <c r="P692" s="125"/>
      <c r="Q692" s="121"/>
      <c r="R692" s="11"/>
      <c r="S692" s="11" t="s">
        <v>1181</v>
      </c>
      <c r="T692" s="157"/>
    </row>
    <row r="693" spans="1:20" ht="11.25" customHeight="1" x14ac:dyDescent="0.2">
      <c r="A693" s="33" t="s">
        <v>879</v>
      </c>
      <c r="B693" s="7">
        <f t="shared" si="98"/>
        <v>62111</v>
      </c>
      <c r="C693" s="7">
        <f t="shared" si="94"/>
        <v>62112</v>
      </c>
      <c r="D693" s="9" t="s">
        <v>895</v>
      </c>
      <c r="E693" s="8" t="s">
        <v>183</v>
      </c>
      <c r="F693" s="7">
        <v>32</v>
      </c>
      <c r="G693" s="230">
        <f t="shared" si="95"/>
        <v>6.25E-2</v>
      </c>
      <c r="H693" s="7"/>
      <c r="I693" s="9">
        <f t="shared" si="96"/>
        <v>4</v>
      </c>
      <c r="J693" s="9">
        <f t="shared" si="97"/>
        <v>2</v>
      </c>
      <c r="K693" s="1" t="s">
        <v>579</v>
      </c>
      <c r="L693" s="11" t="s">
        <v>234</v>
      </c>
      <c r="M693" s="11"/>
      <c r="N693" s="11"/>
      <c r="O693" s="11"/>
      <c r="P693" s="125"/>
      <c r="Q693" s="121"/>
      <c r="R693" s="11"/>
      <c r="S693" s="11" t="s">
        <v>1181</v>
      </c>
      <c r="T693" s="157"/>
    </row>
    <row r="694" spans="1:20" x14ac:dyDescent="0.2">
      <c r="A694" s="33" t="s">
        <v>879</v>
      </c>
      <c r="B694" s="7">
        <f t="shared" si="98"/>
        <v>62113</v>
      </c>
      <c r="C694" s="7">
        <f t="shared" si="94"/>
        <v>62114</v>
      </c>
      <c r="D694" s="9" t="s">
        <v>895</v>
      </c>
      <c r="E694" s="8" t="s">
        <v>184</v>
      </c>
      <c r="F694" s="7">
        <v>32</v>
      </c>
      <c r="G694" s="230">
        <f t="shared" si="95"/>
        <v>6.25E-2</v>
      </c>
      <c r="H694" s="7"/>
      <c r="I694" s="9">
        <f t="shared" si="96"/>
        <v>4</v>
      </c>
      <c r="J694" s="9">
        <f t="shared" si="97"/>
        <v>2</v>
      </c>
      <c r="K694" s="1" t="s">
        <v>579</v>
      </c>
      <c r="L694" s="11" t="s">
        <v>234</v>
      </c>
      <c r="M694" s="11"/>
      <c r="N694" s="11"/>
      <c r="O694" s="11"/>
      <c r="P694" s="125"/>
      <c r="Q694" s="121"/>
      <c r="R694" s="11"/>
      <c r="S694" s="11" t="s">
        <v>1181</v>
      </c>
      <c r="T694" s="157"/>
    </row>
    <row r="695" spans="1:20" x14ac:dyDescent="0.2">
      <c r="A695" s="33" t="s">
        <v>879</v>
      </c>
      <c r="B695" s="7">
        <f t="shared" si="98"/>
        <v>62115</v>
      </c>
      <c r="C695" s="7">
        <f t="shared" si="94"/>
        <v>62116</v>
      </c>
      <c r="D695" s="9" t="s">
        <v>895</v>
      </c>
      <c r="E695" s="8" t="s">
        <v>2109</v>
      </c>
      <c r="F695" s="7">
        <v>32</v>
      </c>
      <c r="G695" s="230">
        <f t="shared" si="95"/>
        <v>6.25E-2</v>
      </c>
      <c r="H695" s="7"/>
      <c r="I695" s="9">
        <f t="shared" si="96"/>
        <v>4</v>
      </c>
      <c r="J695" s="9">
        <f t="shared" si="97"/>
        <v>2</v>
      </c>
      <c r="K695" s="1" t="s">
        <v>579</v>
      </c>
      <c r="L695" s="11" t="s">
        <v>234</v>
      </c>
      <c r="M695" s="11"/>
      <c r="N695" s="11"/>
      <c r="O695" s="11"/>
      <c r="P695" s="125"/>
      <c r="Q695" s="121"/>
      <c r="R695" s="11"/>
      <c r="S695" s="11" t="s">
        <v>1181</v>
      </c>
      <c r="T695" s="157"/>
    </row>
    <row r="696" spans="1:20" x14ac:dyDescent="0.2">
      <c r="A696" s="33" t="s">
        <v>879</v>
      </c>
      <c r="B696" s="7">
        <f t="shared" si="98"/>
        <v>62117</v>
      </c>
      <c r="C696" s="7">
        <f t="shared" si="94"/>
        <v>62118</v>
      </c>
      <c r="D696" s="9" t="s">
        <v>895</v>
      </c>
      <c r="E696" s="8" t="s">
        <v>2134</v>
      </c>
      <c r="F696" s="7">
        <v>32</v>
      </c>
      <c r="G696" s="230">
        <f t="shared" si="95"/>
        <v>6.25E-2</v>
      </c>
      <c r="H696" s="7"/>
      <c r="I696" s="9">
        <f t="shared" si="96"/>
        <v>4</v>
      </c>
      <c r="J696" s="9">
        <f t="shared" si="97"/>
        <v>2</v>
      </c>
      <c r="K696" s="1" t="s">
        <v>579</v>
      </c>
      <c r="L696" s="11" t="s">
        <v>234</v>
      </c>
      <c r="M696" s="11"/>
      <c r="N696" s="11"/>
      <c r="O696" s="11"/>
      <c r="P696" s="125"/>
      <c r="Q696" s="121"/>
      <c r="R696" s="11"/>
      <c r="S696" s="11" t="s">
        <v>1181</v>
      </c>
      <c r="T696" s="157"/>
    </row>
    <row r="697" spans="1:20" x14ac:dyDescent="0.2">
      <c r="A697" s="33" t="s">
        <v>879</v>
      </c>
      <c r="B697" s="7">
        <f t="shared" si="98"/>
        <v>62119</v>
      </c>
      <c r="C697" s="7">
        <f t="shared" si="94"/>
        <v>62120</v>
      </c>
      <c r="D697" s="9" t="s">
        <v>895</v>
      </c>
      <c r="E697" s="8" t="s">
        <v>2159</v>
      </c>
      <c r="F697" s="7">
        <v>32</v>
      </c>
      <c r="G697" s="230">
        <f t="shared" si="95"/>
        <v>6.25E-2</v>
      </c>
      <c r="H697" s="7"/>
      <c r="I697" s="9">
        <f t="shared" si="96"/>
        <v>4</v>
      </c>
      <c r="J697" s="9">
        <f t="shared" si="97"/>
        <v>2</v>
      </c>
      <c r="K697" s="1" t="s">
        <v>579</v>
      </c>
      <c r="L697" s="11" t="s">
        <v>234</v>
      </c>
      <c r="M697" s="11"/>
      <c r="N697" s="11"/>
      <c r="O697" s="11"/>
      <c r="P697" s="125"/>
      <c r="Q697" s="121"/>
      <c r="R697" s="11"/>
      <c r="S697" s="11" t="s">
        <v>1181</v>
      </c>
      <c r="T697" s="157"/>
    </row>
    <row r="698" spans="1:20" x14ac:dyDescent="0.2">
      <c r="A698" s="33" t="s">
        <v>879</v>
      </c>
      <c r="B698" s="7">
        <f t="shared" si="98"/>
        <v>62121</v>
      </c>
      <c r="C698" s="7">
        <f t="shared" si="94"/>
        <v>62122</v>
      </c>
      <c r="D698" s="9" t="s">
        <v>895</v>
      </c>
      <c r="E698" s="8" t="s">
        <v>2184</v>
      </c>
      <c r="F698" s="7">
        <v>32</v>
      </c>
      <c r="G698" s="230">
        <f t="shared" si="95"/>
        <v>6.25E-2</v>
      </c>
      <c r="H698" s="7"/>
      <c r="I698" s="9">
        <f t="shared" si="96"/>
        <v>4</v>
      </c>
      <c r="J698" s="9">
        <f t="shared" si="97"/>
        <v>2</v>
      </c>
      <c r="K698" s="1" t="s">
        <v>579</v>
      </c>
      <c r="L698" s="11" t="s">
        <v>234</v>
      </c>
      <c r="M698" s="11"/>
      <c r="N698" s="11"/>
      <c r="O698" s="11"/>
      <c r="P698" s="125"/>
      <c r="Q698" s="121"/>
      <c r="R698" s="11"/>
      <c r="S698" s="11" t="s">
        <v>1181</v>
      </c>
      <c r="T698" s="157"/>
    </row>
    <row r="699" spans="1:20" x14ac:dyDescent="0.2">
      <c r="A699" s="33" t="s">
        <v>879</v>
      </c>
      <c r="B699" s="7">
        <f t="shared" si="98"/>
        <v>62123</v>
      </c>
      <c r="C699" s="7">
        <f t="shared" si="94"/>
        <v>62124</v>
      </c>
      <c r="D699" s="9" t="s">
        <v>895</v>
      </c>
      <c r="E699" s="8" t="s">
        <v>2219</v>
      </c>
      <c r="F699" s="7">
        <v>32</v>
      </c>
      <c r="G699" s="230">
        <f t="shared" si="95"/>
        <v>6.25E-2</v>
      </c>
      <c r="H699" s="7"/>
      <c r="I699" s="9">
        <f t="shared" si="96"/>
        <v>4</v>
      </c>
      <c r="J699" s="9">
        <f t="shared" si="97"/>
        <v>2</v>
      </c>
      <c r="K699" s="1" t="s">
        <v>579</v>
      </c>
      <c r="L699" s="11" t="s">
        <v>234</v>
      </c>
      <c r="M699" s="11"/>
      <c r="N699" s="11"/>
      <c r="O699" s="11"/>
      <c r="P699" s="125"/>
      <c r="Q699" s="121"/>
      <c r="R699" s="11"/>
      <c r="S699" s="11" t="s">
        <v>1181</v>
      </c>
      <c r="T699" s="157"/>
    </row>
    <row r="700" spans="1:20" x14ac:dyDescent="0.2">
      <c r="A700" s="33" t="s">
        <v>879</v>
      </c>
      <c r="B700" s="7">
        <f t="shared" si="98"/>
        <v>62125</v>
      </c>
      <c r="C700" s="7">
        <f t="shared" si="94"/>
        <v>62126</v>
      </c>
      <c r="D700" s="9" t="s">
        <v>895</v>
      </c>
      <c r="E700" s="8" t="s">
        <v>2220</v>
      </c>
      <c r="F700" s="7">
        <v>32</v>
      </c>
      <c r="G700" s="230">
        <f t="shared" si="95"/>
        <v>6.25E-2</v>
      </c>
      <c r="H700" s="7"/>
      <c r="I700" s="9">
        <f t="shared" si="96"/>
        <v>4</v>
      </c>
      <c r="J700" s="9">
        <f t="shared" si="97"/>
        <v>2</v>
      </c>
      <c r="K700" s="1" t="s">
        <v>579</v>
      </c>
      <c r="L700" s="11" t="s">
        <v>234</v>
      </c>
      <c r="M700" s="11"/>
      <c r="N700" s="11"/>
      <c r="O700" s="11"/>
      <c r="P700" s="125"/>
      <c r="Q700" s="121"/>
      <c r="R700" s="11"/>
      <c r="S700" s="11" t="s">
        <v>1181</v>
      </c>
      <c r="T700" s="157"/>
    </row>
    <row r="701" spans="1:20" x14ac:dyDescent="0.2">
      <c r="A701" s="33" t="s">
        <v>879</v>
      </c>
      <c r="B701" s="7">
        <f t="shared" si="98"/>
        <v>62127</v>
      </c>
      <c r="C701" s="7">
        <f t="shared" si="94"/>
        <v>62128</v>
      </c>
      <c r="D701" s="9" t="s">
        <v>895</v>
      </c>
      <c r="E701" s="8" t="s">
        <v>2221</v>
      </c>
      <c r="F701" s="7">
        <v>32</v>
      </c>
      <c r="G701" s="230">
        <f t="shared" si="95"/>
        <v>6.25E-2</v>
      </c>
      <c r="H701" s="7"/>
      <c r="I701" s="9">
        <f t="shared" si="96"/>
        <v>4</v>
      </c>
      <c r="J701" s="9">
        <f t="shared" si="97"/>
        <v>2</v>
      </c>
      <c r="K701" s="1" t="s">
        <v>579</v>
      </c>
      <c r="L701" s="11" t="s">
        <v>234</v>
      </c>
      <c r="M701" s="11"/>
      <c r="N701" s="11"/>
      <c r="O701" s="11"/>
      <c r="P701" s="125"/>
      <c r="Q701" s="121"/>
      <c r="R701" s="11"/>
      <c r="S701" s="11" t="s">
        <v>1181</v>
      </c>
      <c r="T701" s="157"/>
    </row>
    <row r="702" spans="1:20" x14ac:dyDescent="0.2">
      <c r="A702" s="33" t="s">
        <v>879</v>
      </c>
      <c r="B702" s="7">
        <f t="shared" si="98"/>
        <v>62129</v>
      </c>
      <c r="C702" s="7">
        <f t="shared" si="94"/>
        <v>62130</v>
      </c>
      <c r="D702" s="9" t="s">
        <v>895</v>
      </c>
      <c r="E702" s="8" t="s">
        <v>2222</v>
      </c>
      <c r="F702" s="7">
        <v>32</v>
      </c>
      <c r="G702" s="230">
        <f t="shared" si="95"/>
        <v>6.25E-2</v>
      </c>
      <c r="H702" s="7"/>
      <c r="I702" s="9">
        <f t="shared" si="96"/>
        <v>4</v>
      </c>
      <c r="J702" s="9">
        <f t="shared" si="97"/>
        <v>2</v>
      </c>
      <c r="K702" s="1" t="s">
        <v>579</v>
      </c>
      <c r="L702" s="11" t="s">
        <v>234</v>
      </c>
      <c r="M702" s="11"/>
      <c r="N702" s="11"/>
      <c r="O702" s="11"/>
      <c r="P702" s="125"/>
      <c r="Q702" s="121"/>
      <c r="R702" s="11"/>
      <c r="S702" s="11" t="s">
        <v>1181</v>
      </c>
      <c r="T702" s="157"/>
    </row>
    <row r="703" spans="1:20" x14ac:dyDescent="0.2">
      <c r="A703" s="33" t="s">
        <v>879</v>
      </c>
      <c r="B703" s="7">
        <f t="shared" si="98"/>
        <v>62131</v>
      </c>
      <c r="C703" s="7">
        <f t="shared" si="94"/>
        <v>62132</v>
      </c>
      <c r="D703" s="9" t="s">
        <v>895</v>
      </c>
      <c r="E703" s="8" t="s">
        <v>2223</v>
      </c>
      <c r="F703" s="7">
        <v>32</v>
      </c>
      <c r="G703" s="230">
        <f t="shared" si="95"/>
        <v>6.25E-2</v>
      </c>
      <c r="H703" s="7"/>
      <c r="I703" s="9">
        <f t="shared" si="96"/>
        <v>4</v>
      </c>
      <c r="J703" s="9">
        <f t="shared" si="97"/>
        <v>2</v>
      </c>
      <c r="K703" s="1" t="s">
        <v>579</v>
      </c>
      <c r="L703" s="11" t="s">
        <v>234</v>
      </c>
      <c r="M703" s="11"/>
      <c r="N703" s="11"/>
      <c r="O703" s="11"/>
      <c r="P703" s="125"/>
      <c r="Q703" s="121"/>
      <c r="R703" s="11"/>
      <c r="S703" s="11" t="s">
        <v>1181</v>
      </c>
      <c r="T703" s="157"/>
    </row>
    <row r="704" spans="1:20" x14ac:dyDescent="0.2">
      <c r="A704" s="33" t="s">
        <v>879</v>
      </c>
      <c r="B704" s="7">
        <f t="shared" si="98"/>
        <v>62133</v>
      </c>
      <c r="C704" s="7">
        <f t="shared" si="94"/>
        <v>62134</v>
      </c>
      <c r="D704" s="9" t="s">
        <v>895</v>
      </c>
      <c r="E704" s="8" t="s">
        <v>2224</v>
      </c>
      <c r="F704" s="7">
        <v>32</v>
      </c>
      <c r="G704" s="230">
        <f t="shared" si="95"/>
        <v>6.25E-2</v>
      </c>
      <c r="H704" s="7"/>
      <c r="I704" s="9">
        <f t="shared" si="96"/>
        <v>4</v>
      </c>
      <c r="J704" s="9">
        <f t="shared" si="97"/>
        <v>2</v>
      </c>
      <c r="K704" s="1" t="s">
        <v>579</v>
      </c>
      <c r="L704" s="11" t="s">
        <v>234</v>
      </c>
      <c r="M704" s="11"/>
      <c r="N704" s="11"/>
      <c r="O704" s="11"/>
      <c r="P704" s="125"/>
      <c r="Q704" s="121"/>
      <c r="R704" s="11"/>
      <c r="S704" s="11" t="s">
        <v>1181</v>
      </c>
      <c r="T704" s="157"/>
    </row>
    <row r="705" spans="1:20" x14ac:dyDescent="0.2">
      <c r="A705" s="33"/>
      <c r="B705" s="47">
        <f>B706</f>
        <v>62135</v>
      </c>
      <c r="C705" s="26"/>
      <c r="D705" s="28"/>
      <c r="E705" s="26" t="s">
        <v>194</v>
      </c>
      <c r="F705" s="171"/>
      <c r="G705" s="171"/>
      <c r="H705" s="171"/>
      <c r="I705" s="177"/>
      <c r="J705" s="177"/>
      <c r="K705" s="184"/>
      <c r="L705" s="185"/>
      <c r="M705" s="185"/>
      <c r="N705" s="185"/>
      <c r="O705" s="185"/>
      <c r="P705" s="182"/>
      <c r="Q705" s="182"/>
      <c r="R705" s="186"/>
      <c r="S705" s="186"/>
      <c r="T705" s="187"/>
    </row>
    <row r="706" spans="1:20" x14ac:dyDescent="0.2">
      <c r="A706" s="33" t="s">
        <v>879</v>
      </c>
      <c r="B706" s="330">
        <f>C704+1</f>
        <v>62135</v>
      </c>
      <c r="C706" s="330">
        <f t="shared" ref="C706:C721" si="99">B706+($F706*$G706)-1</f>
        <v>62136</v>
      </c>
      <c r="D706" s="333" t="s">
        <v>895</v>
      </c>
      <c r="E706" s="339" t="s">
        <v>643</v>
      </c>
      <c r="F706" s="330">
        <v>32</v>
      </c>
      <c r="G706" s="346">
        <f t="shared" si="95"/>
        <v>6.25E-2</v>
      </c>
      <c r="H706" s="330"/>
      <c r="I706" s="333">
        <f t="shared" ref="I706:I721" si="100">F706*2*G706</f>
        <v>4</v>
      </c>
      <c r="J706" s="333">
        <f t="shared" ref="J706:J721" si="101">C706-B706+1</f>
        <v>2</v>
      </c>
      <c r="K706" s="334" t="s">
        <v>579</v>
      </c>
      <c r="L706" s="335" t="s">
        <v>234</v>
      </c>
      <c r="M706" s="335"/>
      <c r="N706" s="335"/>
      <c r="O706" s="11"/>
      <c r="P706" s="336"/>
      <c r="Q706" s="340"/>
      <c r="R706" s="11"/>
      <c r="S706" s="11" t="s">
        <v>1181</v>
      </c>
      <c r="T706" s="341"/>
    </row>
    <row r="707" spans="1:20" x14ac:dyDescent="0.2">
      <c r="A707" s="33" t="s">
        <v>879</v>
      </c>
      <c r="B707" s="330">
        <f t="shared" ref="B707:B721" si="102">C706+1</f>
        <v>62137</v>
      </c>
      <c r="C707" s="330">
        <f t="shared" si="99"/>
        <v>62138</v>
      </c>
      <c r="D707" s="333" t="s">
        <v>895</v>
      </c>
      <c r="E707" s="339" t="s">
        <v>644</v>
      </c>
      <c r="F707" s="330">
        <v>32</v>
      </c>
      <c r="G707" s="346">
        <f t="shared" si="95"/>
        <v>6.25E-2</v>
      </c>
      <c r="H707" s="330"/>
      <c r="I707" s="333">
        <f t="shared" si="100"/>
        <v>4</v>
      </c>
      <c r="J707" s="333">
        <f t="shared" si="101"/>
        <v>2</v>
      </c>
      <c r="K707" s="334" t="s">
        <v>579</v>
      </c>
      <c r="L707" s="335" t="s">
        <v>234</v>
      </c>
      <c r="M707" s="335"/>
      <c r="N707" s="335"/>
      <c r="O707" s="11"/>
      <c r="P707" s="336"/>
      <c r="Q707" s="340"/>
      <c r="R707" s="11"/>
      <c r="S707" s="11" t="s">
        <v>1181</v>
      </c>
      <c r="T707" s="341"/>
    </row>
    <row r="708" spans="1:20" x14ac:dyDescent="0.2">
      <c r="A708" s="33" t="s">
        <v>879</v>
      </c>
      <c r="B708" s="330">
        <f t="shared" si="102"/>
        <v>62139</v>
      </c>
      <c r="C708" s="330">
        <f t="shared" si="99"/>
        <v>62140</v>
      </c>
      <c r="D708" s="333" t="s">
        <v>895</v>
      </c>
      <c r="E708" s="339" t="s">
        <v>645</v>
      </c>
      <c r="F708" s="330">
        <v>32</v>
      </c>
      <c r="G708" s="346">
        <f t="shared" si="95"/>
        <v>6.25E-2</v>
      </c>
      <c r="H708" s="330"/>
      <c r="I708" s="333">
        <f t="shared" si="100"/>
        <v>4</v>
      </c>
      <c r="J708" s="333">
        <f t="shared" si="101"/>
        <v>2</v>
      </c>
      <c r="K708" s="334" t="s">
        <v>579</v>
      </c>
      <c r="L708" s="335" t="s">
        <v>234</v>
      </c>
      <c r="M708" s="335"/>
      <c r="N708" s="335"/>
      <c r="O708" s="11"/>
      <c r="P708" s="336"/>
      <c r="Q708" s="340"/>
      <c r="R708" s="11"/>
      <c r="S708" s="11" t="s">
        <v>1181</v>
      </c>
      <c r="T708" s="341"/>
    </row>
    <row r="709" spans="1:20" x14ac:dyDescent="0.2">
      <c r="A709" s="33" t="s">
        <v>879</v>
      </c>
      <c r="B709" s="330">
        <f t="shared" si="102"/>
        <v>62141</v>
      </c>
      <c r="C709" s="330">
        <f t="shared" si="99"/>
        <v>62142</v>
      </c>
      <c r="D709" s="333" t="s">
        <v>895</v>
      </c>
      <c r="E709" s="339" t="s">
        <v>646</v>
      </c>
      <c r="F709" s="330">
        <v>32</v>
      </c>
      <c r="G709" s="346">
        <f t="shared" si="95"/>
        <v>6.25E-2</v>
      </c>
      <c r="H709" s="330"/>
      <c r="I709" s="333">
        <f t="shared" si="100"/>
        <v>4</v>
      </c>
      <c r="J709" s="333">
        <f t="shared" si="101"/>
        <v>2</v>
      </c>
      <c r="K709" s="334" t="s">
        <v>579</v>
      </c>
      <c r="L709" s="335" t="s">
        <v>234</v>
      </c>
      <c r="M709" s="335"/>
      <c r="N709" s="335"/>
      <c r="O709" s="11"/>
      <c r="P709" s="336"/>
      <c r="Q709" s="340"/>
      <c r="R709" s="11"/>
      <c r="S709" s="11" t="s">
        <v>1181</v>
      </c>
      <c r="T709" s="341"/>
    </row>
    <row r="710" spans="1:20" ht="11.25" customHeight="1" x14ac:dyDescent="0.2">
      <c r="A710" s="33" t="s">
        <v>879</v>
      </c>
      <c r="B710" s="330">
        <f t="shared" si="102"/>
        <v>62143</v>
      </c>
      <c r="C710" s="330">
        <f t="shared" si="99"/>
        <v>62144</v>
      </c>
      <c r="D710" s="333" t="s">
        <v>895</v>
      </c>
      <c r="E710" s="339" t="s">
        <v>890</v>
      </c>
      <c r="F710" s="330">
        <v>32</v>
      </c>
      <c r="G710" s="346">
        <f t="shared" si="95"/>
        <v>6.25E-2</v>
      </c>
      <c r="H710" s="330"/>
      <c r="I710" s="333">
        <f t="shared" si="100"/>
        <v>4</v>
      </c>
      <c r="J710" s="333">
        <f t="shared" si="101"/>
        <v>2</v>
      </c>
      <c r="K710" s="334" t="s">
        <v>579</v>
      </c>
      <c r="L710" s="335" t="s">
        <v>234</v>
      </c>
      <c r="M710" s="335"/>
      <c r="N710" s="335"/>
      <c r="O710" s="11"/>
      <c r="P710" s="336"/>
      <c r="Q710" s="340"/>
      <c r="R710" s="11"/>
      <c r="S710" s="11" t="s">
        <v>1181</v>
      </c>
      <c r="T710" s="341"/>
    </row>
    <row r="711" spans="1:20" x14ac:dyDescent="0.2">
      <c r="A711" s="33" t="s">
        <v>879</v>
      </c>
      <c r="B711" s="330">
        <f t="shared" si="102"/>
        <v>62145</v>
      </c>
      <c r="C711" s="330">
        <f t="shared" si="99"/>
        <v>62146</v>
      </c>
      <c r="D711" s="333" t="s">
        <v>895</v>
      </c>
      <c r="E711" s="339" t="s">
        <v>185</v>
      </c>
      <c r="F711" s="330">
        <v>32</v>
      </c>
      <c r="G711" s="346">
        <f t="shared" si="95"/>
        <v>6.25E-2</v>
      </c>
      <c r="H711" s="330"/>
      <c r="I711" s="333">
        <f t="shared" si="100"/>
        <v>4</v>
      </c>
      <c r="J711" s="333">
        <f t="shared" si="101"/>
        <v>2</v>
      </c>
      <c r="K711" s="334" t="s">
        <v>579</v>
      </c>
      <c r="L711" s="335" t="s">
        <v>234</v>
      </c>
      <c r="M711" s="335"/>
      <c r="N711" s="335"/>
      <c r="O711" s="11"/>
      <c r="P711" s="336"/>
      <c r="Q711" s="340"/>
      <c r="R711" s="11"/>
      <c r="S711" s="11" t="s">
        <v>1181</v>
      </c>
      <c r="T711" s="341"/>
    </row>
    <row r="712" spans="1:20" x14ac:dyDescent="0.2">
      <c r="A712" s="33" t="s">
        <v>879</v>
      </c>
      <c r="B712" s="330">
        <f t="shared" si="102"/>
        <v>62147</v>
      </c>
      <c r="C712" s="330">
        <f t="shared" si="99"/>
        <v>62148</v>
      </c>
      <c r="D712" s="333" t="s">
        <v>895</v>
      </c>
      <c r="E712" s="339" t="s">
        <v>2110</v>
      </c>
      <c r="F712" s="330">
        <v>32</v>
      </c>
      <c r="G712" s="346">
        <f t="shared" si="95"/>
        <v>6.25E-2</v>
      </c>
      <c r="H712" s="330"/>
      <c r="I712" s="333">
        <f t="shared" si="100"/>
        <v>4</v>
      </c>
      <c r="J712" s="333">
        <f t="shared" si="101"/>
        <v>2</v>
      </c>
      <c r="K712" s="334" t="s">
        <v>579</v>
      </c>
      <c r="L712" s="335" t="s">
        <v>234</v>
      </c>
      <c r="M712" s="335"/>
      <c r="N712" s="335"/>
      <c r="O712" s="11"/>
      <c r="P712" s="336"/>
      <c r="Q712" s="340"/>
      <c r="R712" s="11"/>
      <c r="S712" s="11" t="s">
        <v>1181</v>
      </c>
      <c r="T712" s="341"/>
    </row>
    <row r="713" spans="1:20" x14ac:dyDescent="0.2">
      <c r="A713" s="33" t="s">
        <v>879</v>
      </c>
      <c r="B713" s="330">
        <f t="shared" si="102"/>
        <v>62149</v>
      </c>
      <c r="C713" s="330">
        <f t="shared" si="99"/>
        <v>62150</v>
      </c>
      <c r="D713" s="333" t="s">
        <v>895</v>
      </c>
      <c r="E713" s="339" t="s">
        <v>2135</v>
      </c>
      <c r="F713" s="330">
        <v>32</v>
      </c>
      <c r="G713" s="346">
        <f t="shared" si="95"/>
        <v>6.25E-2</v>
      </c>
      <c r="H713" s="330"/>
      <c r="I713" s="333">
        <f t="shared" si="100"/>
        <v>4</v>
      </c>
      <c r="J713" s="333">
        <f t="shared" si="101"/>
        <v>2</v>
      </c>
      <c r="K713" s="334" t="s">
        <v>579</v>
      </c>
      <c r="L713" s="335" t="s">
        <v>234</v>
      </c>
      <c r="M713" s="335"/>
      <c r="N713" s="335"/>
      <c r="O713" s="11"/>
      <c r="P713" s="336"/>
      <c r="Q713" s="340"/>
      <c r="R713" s="11"/>
      <c r="S713" s="11" t="s">
        <v>1181</v>
      </c>
      <c r="T713" s="341"/>
    </row>
    <row r="714" spans="1:20" x14ac:dyDescent="0.2">
      <c r="A714" s="33" t="s">
        <v>879</v>
      </c>
      <c r="B714" s="330">
        <f t="shared" si="102"/>
        <v>62151</v>
      </c>
      <c r="C714" s="330">
        <f t="shared" si="99"/>
        <v>62152</v>
      </c>
      <c r="D714" s="333" t="s">
        <v>895</v>
      </c>
      <c r="E714" s="339" t="s">
        <v>2160</v>
      </c>
      <c r="F714" s="330">
        <v>32</v>
      </c>
      <c r="G714" s="346">
        <f t="shared" si="95"/>
        <v>6.25E-2</v>
      </c>
      <c r="H714" s="330"/>
      <c r="I714" s="333">
        <f t="shared" si="100"/>
        <v>4</v>
      </c>
      <c r="J714" s="333">
        <f t="shared" si="101"/>
        <v>2</v>
      </c>
      <c r="K714" s="334" t="s">
        <v>579</v>
      </c>
      <c r="L714" s="335" t="s">
        <v>234</v>
      </c>
      <c r="M714" s="335"/>
      <c r="N714" s="335"/>
      <c r="O714" s="11"/>
      <c r="P714" s="336"/>
      <c r="Q714" s="340"/>
      <c r="R714" s="11"/>
      <c r="S714" s="11" t="s">
        <v>1181</v>
      </c>
      <c r="T714" s="341"/>
    </row>
    <row r="715" spans="1:20" x14ac:dyDescent="0.2">
      <c r="A715" s="33" t="s">
        <v>879</v>
      </c>
      <c r="B715" s="330">
        <f t="shared" si="102"/>
        <v>62153</v>
      </c>
      <c r="C715" s="330">
        <f t="shared" si="99"/>
        <v>62154</v>
      </c>
      <c r="D715" s="333" t="s">
        <v>895</v>
      </c>
      <c r="E715" s="339" t="s">
        <v>2185</v>
      </c>
      <c r="F715" s="330">
        <v>32</v>
      </c>
      <c r="G715" s="346">
        <f t="shared" si="95"/>
        <v>6.25E-2</v>
      </c>
      <c r="H715" s="330"/>
      <c r="I715" s="333">
        <f t="shared" si="100"/>
        <v>4</v>
      </c>
      <c r="J715" s="333">
        <f t="shared" si="101"/>
        <v>2</v>
      </c>
      <c r="K715" s="334" t="s">
        <v>579</v>
      </c>
      <c r="L715" s="335" t="s">
        <v>234</v>
      </c>
      <c r="M715" s="335"/>
      <c r="N715" s="335"/>
      <c r="O715" s="11"/>
      <c r="P715" s="336"/>
      <c r="Q715" s="340"/>
      <c r="R715" s="11"/>
      <c r="S715" s="11" t="s">
        <v>1181</v>
      </c>
      <c r="T715" s="341"/>
    </row>
    <row r="716" spans="1:20" x14ac:dyDescent="0.2">
      <c r="A716" s="33" t="s">
        <v>879</v>
      </c>
      <c r="B716" s="330">
        <f t="shared" si="102"/>
        <v>62155</v>
      </c>
      <c r="C716" s="330">
        <f t="shared" si="99"/>
        <v>62156</v>
      </c>
      <c r="D716" s="333" t="s">
        <v>895</v>
      </c>
      <c r="E716" s="339" t="s">
        <v>2225</v>
      </c>
      <c r="F716" s="330">
        <v>32</v>
      </c>
      <c r="G716" s="346">
        <f t="shared" si="95"/>
        <v>6.25E-2</v>
      </c>
      <c r="H716" s="330"/>
      <c r="I716" s="333">
        <f t="shared" si="100"/>
        <v>4</v>
      </c>
      <c r="J716" s="333">
        <f t="shared" si="101"/>
        <v>2</v>
      </c>
      <c r="K716" s="334" t="s">
        <v>579</v>
      </c>
      <c r="L716" s="335" t="s">
        <v>234</v>
      </c>
      <c r="M716" s="335"/>
      <c r="N716" s="335"/>
      <c r="O716" s="11"/>
      <c r="P716" s="336"/>
      <c r="Q716" s="340"/>
      <c r="R716" s="11"/>
      <c r="S716" s="11" t="s">
        <v>1181</v>
      </c>
      <c r="T716" s="341"/>
    </row>
    <row r="717" spans="1:20" x14ac:dyDescent="0.2">
      <c r="A717" s="33" t="s">
        <v>879</v>
      </c>
      <c r="B717" s="330">
        <f t="shared" si="102"/>
        <v>62157</v>
      </c>
      <c r="C717" s="330">
        <f t="shared" si="99"/>
        <v>62158</v>
      </c>
      <c r="D717" s="333" t="s">
        <v>895</v>
      </c>
      <c r="E717" s="339" t="s">
        <v>2226</v>
      </c>
      <c r="F717" s="330">
        <v>32</v>
      </c>
      <c r="G717" s="346">
        <f t="shared" si="95"/>
        <v>6.25E-2</v>
      </c>
      <c r="H717" s="330"/>
      <c r="I717" s="333">
        <f t="shared" si="100"/>
        <v>4</v>
      </c>
      <c r="J717" s="333">
        <f t="shared" si="101"/>
        <v>2</v>
      </c>
      <c r="K717" s="334" t="s">
        <v>579</v>
      </c>
      <c r="L717" s="335" t="s">
        <v>234</v>
      </c>
      <c r="M717" s="335"/>
      <c r="N717" s="335"/>
      <c r="O717" s="11"/>
      <c r="P717" s="336"/>
      <c r="Q717" s="340"/>
      <c r="R717" s="11"/>
      <c r="S717" s="11" t="s">
        <v>1181</v>
      </c>
      <c r="T717" s="341"/>
    </row>
    <row r="718" spans="1:20" x14ac:dyDescent="0.2">
      <c r="A718" s="33" t="s">
        <v>879</v>
      </c>
      <c r="B718" s="330">
        <f t="shared" si="102"/>
        <v>62159</v>
      </c>
      <c r="C718" s="330">
        <f t="shared" si="99"/>
        <v>62160</v>
      </c>
      <c r="D718" s="333" t="s">
        <v>895</v>
      </c>
      <c r="E718" s="339" t="s">
        <v>2227</v>
      </c>
      <c r="F718" s="330">
        <v>32</v>
      </c>
      <c r="G718" s="346">
        <f t="shared" si="95"/>
        <v>6.25E-2</v>
      </c>
      <c r="H718" s="330"/>
      <c r="I718" s="333">
        <f t="shared" si="100"/>
        <v>4</v>
      </c>
      <c r="J718" s="333">
        <f t="shared" si="101"/>
        <v>2</v>
      </c>
      <c r="K718" s="334" t="s">
        <v>579</v>
      </c>
      <c r="L718" s="335" t="s">
        <v>234</v>
      </c>
      <c r="M718" s="335"/>
      <c r="N718" s="335"/>
      <c r="O718" s="11"/>
      <c r="P718" s="336"/>
      <c r="Q718" s="340"/>
      <c r="R718" s="11"/>
      <c r="S718" s="11" t="s">
        <v>1181</v>
      </c>
      <c r="T718" s="341"/>
    </row>
    <row r="719" spans="1:20" ht="11.45" customHeight="1" x14ac:dyDescent="0.2">
      <c r="A719" s="33" t="s">
        <v>879</v>
      </c>
      <c r="B719" s="330">
        <f t="shared" si="102"/>
        <v>62161</v>
      </c>
      <c r="C719" s="330">
        <f t="shared" si="99"/>
        <v>62162</v>
      </c>
      <c r="D719" s="333" t="s">
        <v>895</v>
      </c>
      <c r="E719" s="339" t="s">
        <v>2228</v>
      </c>
      <c r="F719" s="330">
        <v>32</v>
      </c>
      <c r="G719" s="346">
        <f t="shared" si="95"/>
        <v>6.25E-2</v>
      </c>
      <c r="H719" s="330"/>
      <c r="I719" s="333">
        <f t="shared" si="100"/>
        <v>4</v>
      </c>
      <c r="J719" s="333">
        <f t="shared" si="101"/>
        <v>2</v>
      </c>
      <c r="K719" s="334" t="s">
        <v>579</v>
      </c>
      <c r="L719" s="335" t="s">
        <v>234</v>
      </c>
      <c r="M719" s="335"/>
      <c r="N719" s="335"/>
      <c r="O719" s="11"/>
      <c r="P719" s="336"/>
      <c r="Q719" s="340"/>
      <c r="R719" s="11"/>
      <c r="S719" s="11" t="s">
        <v>1181</v>
      </c>
      <c r="T719" s="341"/>
    </row>
    <row r="720" spans="1:20" ht="11.45" customHeight="1" x14ac:dyDescent="0.2">
      <c r="A720" s="33" t="s">
        <v>879</v>
      </c>
      <c r="B720" s="330">
        <f t="shared" si="102"/>
        <v>62163</v>
      </c>
      <c r="C720" s="330">
        <f t="shared" si="99"/>
        <v>62164</v>
      </c>
      <c r="D720" s="333" t="s">
        <v>895</v>
      </c>
      <c r="E720" s="339" t="s">
        <v>2229</v>
      </c>
      <c r="F720" s="330">
        <v>32</v>
      </c>
      <c r="G720" s="346">
        <f t="shared" si="95"/>
        <v>6.25E-2</v>
      </c>
      <c r="H720" s="330"/>
      <c r="I720" s="333">
        <f t="shared" si="100"/>
        <v>4</v>
      </c>
      <c r="J720" s="333">
        <f t="shared" si="101"/>
        <v>2</v>
      </c>
      <c r="K720" s="334" t="s">
        <v>579</v>
      </c>
      <c r="L720" s="335" t="s">
        <v>234</v>
      </c>
      <c r="M720" s="335"/>
      <c r="N720" s="335"/>
      <c r="O720" s="11"/>
      <c r="P720" s="336"/>
      <c r="Q720" s="340"/>
      <c r="R720" s="11"/>
      <c r="S720" s="11" t="s">
        <v>1181</v>
      </c>
      <c r="T720" s="341"/>
    </row>
    <row r="721" spans="1:20" ht="11.45" customHeight="1" x14ac:dyDescent="0.2">
      <c r="A721" s="33" t="s">
        <v>879</v>
      </c>
      <c r="B721" s="330">
        <f t="shared" si="102"/>
        <v>62165</v>
      </c>
      <c r="C721" s="330">
        <f t="shared" si="99"/>
        <v>62166</v>
      </c>
      <c r="D721" s="333" t="s">
        <v>895</v>
      </c>
      <c r="E721" s="339" t="s">
        <v>2230</v>
      </c>
      <c r="F721" s="330">
        <v>32</v>
      </c>
      <c r="G721" s="346">
        <f t="shared" si="95"/>
        <v>6.25E-2</v>
      </c>
      <c r="H721" s="330"/>
      <c r="I721" s="333">
        <f t="shared" si="100"/>
        <v>4</v>
      </c>
      <c r="J721" s="333">
        <f t="shared" si="101"/>
        <v>2</v>
      </c>
      <c r="K721" s="334" t="s">
        <v>579</v>
      </c>
      <c r="L721" s="335" t="s">
        <v>234</v>
      </c>
      <c r="M721" s="335"/>
      <c r="N721" s="335"/>
      <c r="O721" s="11"/>
      <c r="P721" s="340"/>
      <c r="Q721" s="340"/>
      <c r="R721" s="337"/>
      <c r="S721" s="337"/>
      <c r="T721" s="341"/>
    </row>
    <row r="722" spans="1:20" x14ac:dyDescent="0.2">
      <c r="A722" s="33"/>
      <c r="B722" s="47">
        <f>B723</f>
        <v>62167</v>
      </c>
      <c r="C722" s="26"/>
      <c r="D722" s="28"/>
      <c r="E722" s="26" t="s">
        <v>194</v>
      </c>
      <c r="F722" s="171"/>
      <c r="G722" s="171"/>
      <c r="H722" s="171"/>
      <c r="I722" s="177"/>
      <c r="J722" s="177"/>
      <c r="K722" s="184"/>
      <c r="L722" s="185"/>
      <c r="M722" s="185"/>
      <c r="N722" s="185"/>
      <c r="O722" s="185"/>
      <c r="P722" s="182"/>
      <c r="Q722" s="182"/>
      <c r="R722" s="186"/>
      <c r="S722" s="186"/>
      <c r="T722" s="187"/>
    </row>
    <row r="723" spans="1:20" x14ac:dyDescent="0.2">
      <c r="A723" s="33" t="s">
        <v>879</v>
      </c>
      <c r="B723" s="330">
        <f>C721+1</f>
        <v>62167</v>
      </c>
      <c r="C723" s="330">
        <f t="shared" ref="C723:C738" si="103">B723+($F723*$G723)-1</f>
        <v>62168</v>
      </c>
      <c r="D723" s="333" t="s">
        <v>895</v>
      </c>
      <c r="E723" s="339" t="s">
        <v>726</v>
      </c>
      <c r="F723" s="330">
        <v>32</v>
      </c>
      <c r="G723" s="346">
        <f t="shared" si="95"/>
        <v>6.25E-2</v>
      </c>
      <c r="H723" s="330"/>
      <c r="I723" s="333">
        <f t="shared" ref="I723:I738" si="104">F723*2*G723</f>
        <v>4</v>
      </c>
      <c r="J723" s="333">
        <f t="shared" ref="J723:J738" si="105">C723-B723+1</f>
        <v>2</v>
      </c>
      <c r="K723" s="334" t="s">
        <v>579</v>
      </c>
      <c r="L723" s="335" t="s">
        <v>234</v>
      </c>
      <c r="M723" s="335"/>
      <c r="N723" s="335"/>
      <c r="O723" s="11"/>
      <c r="P723" s="336"/>
      <c r="Q723" s="340"/>
      <c r="R723" s="11"/>
      <c r="S723" s="11" t="s">
        <v>1181</v>
      </c>
      <c r="T723" s="341"/>
    </row>
    <row r="724" spans="1:20" x14ac:dyDescent="0.2">
      <c r="A724" s="33" t="s">
        <v>879</v>
      </c>
      <c r="B724" s="330">
        <f t="shared" ref="B724:B738" si="106">C723+1</f>
        <v>62169</v>
      </c>
      <c r="C724" s="330">
        <f t="shared" si="103"/>
        <v>62170</v>
      </c>
      <c r="D724" s="333" t="s">
        <v>895</v>
      </c>
      <c r="E724" s="339" t="s">
        <v>727</v>
      </c>
      <c r="F724" s="330">
        <v>32</v>
      </c>
      <c r="G724" s="346">
        <f t="shared" si="95"/>
        <v>6.25E-2</v>
      </c>
      <c r="H724" s="330"/>
      <c r="I724" s="333">
        <f t="shared" si="104"/>
        <v>4</v>
      </c>
      <c r="J724" s="333">
        <f t="shared" si="105"/>
        <v>2</v>
      </c>
      <c r="K724" s="334" t="s">
        <v>579</v>
      </c>
      <c r="L724" s="335" t="s">
        <v>234</v>
      </c>
      <c r="M724" s="335"/>
      <c r="N724" s="335"/>
      <c r="O724" s="11"/>
      <c r="P724" s="336"/>
      <c r="Q724" s="340"/>
      <c r="R724" s="11"/>
      <c r="S724" s="11" t="s">
        <v>1181</v>
      </c>
      <c r="T724" s="341"/>
    </row>
    <row r="725" spans="1:20" x14ac:dyDescent="0.2">
      <c r="A725" s="33" t="s">
        <v>879</v>
      </c>
      <c r="B725" s="330">
        <f t="shared" si="106"/>
        <v>62171</v>
      </c>
      <c r="C725" s="330">
        <f t="shared" si="103"/>
        <v>62172</v>
      </c>
      <c r="D725" s="333" t="s">
        <v>895</v>
      </c>
      <c r="E725" s="339" t="s">
        <v>728</v>
      </c>
      <c r="F725" s="330">
        <v>32</v>
      </c>
      <c r="G725" s="346">
        <f t="shared" si="95"/>
        <v>6.25E-2</v>
      </c>
      <c r="H725" s="330"/>
      <c r="I725" s="333">
        <f t="shared" si="104"/>
        <v>4</v>
      </c>
      <c r="J725" s="333">
        <f t="shared" si="105"/>
        <v>2</v>
      </c>
      <c r="K725" s="334" t="s">
        <v>579</v>
      </c>
      <c r="L725" s="335" t="s">
        <v>234</v>
      </c>
      <c r="M725" s="335"/>
      <c r="N725" s="335"/>
      <c r="O725" s="11"/>
      <c r="P725" s="336"/>
      <c r="Q725" s="340"/>
      <c r="R725" s="11"/>
      <c r="S725" s="11" t="s">
        <v>1181</v>
      </c>
      <c r="T725" s="341"/>
    </row>
    <row r="726" spans="1:20" x14ac:dyDescent="0.2">
      <c r="A726" s="33" t="s">
        <v>879</v>
      </c>
      <c r="B726" s="330">
        <f t="shared" si="106"/>
        <v>62173</v>
      </c>
      <c r="C726" s="330">
        <f t="shared" si="103"/>
        <v>62174</v>
      </c>
      <c r="D726" s="333" t="s">
        <v>895</v>
      </c>
      <c r="E726" s="339" t="s">
        <v>394</v>
      </c>
      <c r="F726" s="330">
        <v>32</v>
      </c>
      <c r="G726" s="346">
        <f t="shared" si="95"/>
        <v>6.25E-2</v>
      </c>
      <c r="H726" s="330"/>
      <c r="I726" s="333">
        <f t="shared" si="104"/>
        <v>4</v>
      </c>
      <c r="J726" s="333">
        <f t="shared" si="105"/>
        <v>2</v>
      </c>
      <c r="K726" s="334" t="s">
        <v>579</v>
      </c>
      <c r="L726" s="335" t="s">
        <v>234</v>
      </c>
      <c r="M726" s="335"/>
      <c r="N726" s="335"/>
      <c r="O726" s="11"/>
      <c r="P726" s="336"/>
      <c r="Q726" s="340"/>
      <c r="R726" s="11"/>
      <c r="S726" s="11" t="s">
        <v>1181</v>
      </c>
      <c r="T726" s="341"/>
    </row>
    <row r="727" spans="1:20" ht="11.25" customHeight="1" x14ac:dyDescent="0.2">
      <c r="A727" s="33" t="s">
        <v>879</v>
      </c>
      <c r="B727" s="330">
        <f t="shared" si="106"/>
        <v>62175</v>
      </c>
      <c r="C727" s="330">
        <f t="shared" si="103"/>
        <v>62176</v>
      </c>
      <c r="D727" s="333" t="s">
        <v>895</v>
      </c>
      <c r="E727" s="339" t="s">
        <v>395</v>
      </c>
      <c r="F727" s="330">
        <v>32</v>
      </c>
      <c r="G727" s="346">
        <f t="shared" si="95"/>
        <v>6.25E-2</v>
      </c>
      <c r="H727" s="330"/>
      <c r="I727" s="333">
        <f t="shared" si="104"/>
        <v>4</v>
      </c>
      <c r="J727" s="333">
        <f t="shared" si="105"/>
        <v>2</v>
      </c>
      <c r="K727" s="334" t="s">
        <v>579</v>
      </c>
      <c r="L727" s="335" t="s">
        <v>234</v>
      </c>
      <c r="M727" s="335"/>
      <c r="N727" s="335"/>
      <c r="O727" s="11"/>
      <c r="P727" s="336"/>
      <c r="Q727" s="340"/>
      <c r="R727" s="11"/>
      <c r="S727" s="11" t="s">
        <v>1181</v>
      </c>
      <c r="T727" s="341"/>
    </row>
    <row r="728" spans="1:20" x14ac:dyDescent="0.2">
      <c r="A728" s="33" t="s">
        <v>879</v>
      </c>
      <c r="B728" s="330">
        <f t="shared" si="106"/>
        <v>62177</v>
      </c>
      <c r="C728" s="330">
        <f t="shared" si="103"/>
        <v>62178</v>
      </c>
      <c r="D728" s="333" t="s">
        <v>895</v>
      </c>
      <c r="E728" s="339" t="s">
        <v>396</v>
      </c>
      <c r="F728" s="330">
        <v>32</v>
      </c>
      <c r="G728" s="346">
        <f t="shared" si="95"/>
        <v>6.25E-2</v>
      </c>
      <c r="H728" s="330"/>
      <c r="I728" s="333">
        <f t="shared" si="104"/>
        <v>4</v>
      </c>
      <c r="J728" s="333">
        <f t="shared" si="105"/>
        <v>2</v>
      </c>
      <c r="K728" s="334" t="s">
        <v>579</v>
      </c>
      <c r="L728" s="335" t="s">
        <v>234</v>
      </c>
      <c r="M728" s="335"/>
      <c r="N728" s="335"/>
      <c r="O728" s="11"/>
      <c r="P728" s="336"/>
      <c r="Q728" s="340"/>
      <c r="R728" s="11"/>
      <c r="S728" s="11" t="s">
        <v>1181</v>
      </c>
      <c r="T728" s="341"/>
    </row>
    <row r="729" spans="1:20" ht="11.25" customHeight="1" x14ac:dyDescent="0.2">
      <c r="A729" s="33" t="s">
        <v>879</v>
      </c>
      <c r="B729" s="330">
        <f t="shared" si="106"/>
        <v>62179</v>
      </c>
      <c r="C729" s="330">
        <f t="shared" si="103"/>
        <v>62180</v>
      </c>
      <c r="D729" s="333" t="s">
        <v>895</v>
      </c>
      <c r="E729" s="339" t="s">
        <v>2111</v>
      </c>
      <c r="F729" s="330">
        <v>32</v>
      </c>
      <c r="G729" s="346">
        <f t="shared" si="95"/>
        <v>6.25E-2</v>
      </c>
      <c r="H729" s="330"/>
      <c r="I729" s="333">
        <f t="shared" si="104"/>
        <v>4</v>
      </c>
      <c r="J729" s="333">
        <f t="shared" si="105"/>
        <v>2</v>
      </c>
      <c r="K729" s="334" t="s">
        <v>579</v>
      </c>
      <c r="L729" s="335" t="s">
        <v>234</v>
      </c>
      <c r="M729" s="335"/>
      <c r="N729" s="335"/>
      <c r="O729" s="11"/>
      <c r="P729" s="336"/>
      <c r="Q729" s="340"/>
      <c r="R729" s="11"/>
      <c r="S729" s="11" t="s">
        <v>1181</v>
      </c>
      <c r="T729" s="341"/>
    </row>
    <row r="730" spans="1:20" x14ac:dyDescent="0.2">
      <c r="A730" s="33" t="s">
        <v>879</v>
      </c>
      <c r="B730" s="330">
        <f t="shared" si="106"/>
        <v>62181</v>
      </c>
      <c r="C730" s="330">
        <f t="shared" si="103"/>
        <v>62182</v>
      </c>
      <c r="D730" s="333" t="s">
        <v>895</v>
      </c>
      <c r="E730" s="339" t="s">
        <v>2136</v>
      </c>
      <c r="F730" s="330">
        <v>32</v>
      </c>
      <c r="G730" s="346">
        <f t="shared" si="95"/>
        <v>6.25E-2</v>
      </c>
      <c r="H730" s="330"/>
      <c r="I730" s="333">
        <f t="shared" si="104"/>
        <v>4</v>
      </c>
      <c r="J730" s="333">
        <f t="shared" si="105"/>
        <v>2</v>
      </c>
      <c r="K730" s="334" t="s">
        <v>579</v>
      </c>
      <c r="L730" s="335" t="s">
        <v>234</v>
      </c>
      <c r="M730" s="335"/>
      <c r="N730" s="335"/>
      <c r="O730" s="11"/>
      <c r="P730" s="336"/>
      <c r="Q730" s="340"/>
      <c r="R730" s="11"/>
      <c r="S730" s="11" t="s">
        <v>1181</v>
      </c>
      <c r="T730" s="341"/>
    </row>
    <row r="731" spans="1:20" x14ac:dyDescent="0.2">
      <c r="A731" s="33" t="s">
        <v>879</v>
      </c>
      <c r="B731" s="330">
        <f t="shared" si="106"/>
        <v>62183</v>
      </c>
      <c r="C731" s="330">
        <f t="shared" si="103"/>
        <v>62184</v>
      </c>
      <c r="D731" s="333" t="s">
        <v>895</v>
      </c>
      <c r="E731" s="339" t="s">
        <v>2161</v>
      </c>
      <c r="F731" s="330">
        <v>32</v>
      </c>
      <c r="G731" s="346">
        <f t="shared" si="95"/>
        <v>6.25E-2</v>
      </c>
      <c r="H731" s="330"/>
      <c r="I731" s="333">
        <f t="shared" si="104"/>
        <v>4</v>
      </c>
      <c r="J731" s="333">
        <f t="shared" si="105"/>
        <v>2</v>
      </c>
      <c r="K731" s="334" t="s">
        <v>579</v>
      </c>
      <c r="L731" s="335" t="s">
        <v>234</v>
      </c>
      <c r="M731" s="335"/>
      <c r="N731" s="335"/>
      <c r="O731" s="11"/>
      <c r="P731" s="336"/>
      <c r="Q731" s="340"/>
      <c r="R731" s="11"/>
      <c r="S731" s="11" t="s">
        <v>1181</v>
      </c>
      <c r="T731" s="341"/>
    </row>
    <row r="732" spans="1:20" x14ac:dyDescent="0.2">
      <c r="A732" s="33" t="s">
        <v>879</v>
      </c>
      <c r="B732" s="330">
        <f t="shared" si="106"/>
        <v>62185</v>
      </c>
      <c r="C732" s="330">
        <f t="shared" si="103"/>
        <v>62186</v>
      </c>
      <c r="D732" s="333" t="s">
        <v>895</v>
      </c>
      <c r="E732" s="339" t="s">
        <v>2186</v>
      </c>
      <c r="F732" s="330">
        <v>32</v>
      </c>
      <c r="G732" s="346">
        <f t="shared" si="95"/>
        <v>6.25E-2</v>
      </c>
      <c r="H732" s="330"/>
      <c r="I732" s="333">
        <f t="shared" si="104"/>
        <v>4</v>
      </c>
      <c r="J732" s="333">
        <f t="shared" si="105"/>
        <v>2</v>
      </c>
      <c r="K732" s="334" t="s">
        <v>579</v>
      </c>
      <c r="L732" s="335" t="s">
        <v>234</v>
      </c>
      <c r="M732" s="335"/>
      <c r="N732" s="335"/>
      <c r="O732" s="11"/>
      <c r="P732" s="336"/>
      <c r="Q732" s="340"/>
      <c r="R732" s="11"/>
      <c r="S732" s="11" t="s">
        <v>1181</v>
      </c>
      <c r="T732" s="341"/>
    </row>
    <row r="733" spans="1:20" x14ac:dyDescent="0.2">
      <c r="A733" s="33" t="s">
        <v>879</v>
      </c>
      <c r="B733" s="330">
        <f t="shared" si="106"/>
        <v>62187</v>
      </c>
      <c r="C733" s="330">
        <f t="shared" si="103"/>
        <v>62188</v>
      </c>
      <c r="D733" s="333" t="s">
        <v>895</v>
      </c>
      <c r="E733" s="339" t="s">
        <v>2231</v>
      </c>
      <c r="F733" s="330">
        <v>32</v>
      </c>
      <c r="G733" s="346">
        <f t="shared" si="95"/>
        <v>6.25E-2</v>
      </c>
      <c r="H733" s="330"/>
      <c r="I733" s="333">
        <f t="shared" si="104"/>
        <v>4</v>
      </c>
      <c r="J733" s="333">
        <f t="shared" si="105"/>
        <v>2</v>
      </c>
      <c r="K733" s="334" t="s">
        <v>579</v>
      </c>
      <c r="L733" s="335" t="s">
        <v>234</v>
      </c>
      <c r="M733" s="335"/>
      <c r="N733" s="335"/>
      <c r="O733" s="11"/>
      <c r="P733" s="336"/>
      <c r="Q733" s="340"/>
      <c r="R733" s="11"/>
      <c r="S733" s="11" t="s">
        <v>1181</v>
      </c>
      <c r="T733" s="341"/>
    </row>
    <row r="734" spans="1:20" x14ac:dyDescent="0.2">
      <c r="A734" s="33" t="s">
        <v>879</v>
      </c>
      <c r="B734" s="330">
        <f t="shared" si="106"/>
        <v>62189</v>
      </c>
      <c r="C734" s="330">
        <f t="shared" si="103"/>
        <v>62190</v>
      </c>
      <c r="D734" s="333" t="s">
        <v>895</v>
      </c>
      <c r="E734" s="339" t="s">
        <v>2232</v>
      </c>
      <c r="F734" s="330">
        <v>32</v>
      </c>
      <c r="G734" s="346">
        <f t="shared" si="95"/>
        <v>6.25E-2</v>
      </c>
      <c r="H734" s="330"/>
      <c r="I734" s="333">
        <f t="shared" si="104"/>
        <v>4</v>
      </c>
      <c r="J734" s="333">
        <f t="shared" si="105"/>
        <v>2</v>
      </c>
      <c r="K734" s="334" t="s">
        <v>579</v>
      </c>
      <c r="L734" s="335" t="s">
        <v>234</v>
      </c>
      <c r="M734" s="335"/>
      <c r="N734" s="335"/>
      <c r="O734" s="11"/>
      <c r="P734" s="336"/>
      <c r="Q734" s="340"/>
      <c r="R734" s="11"/>
      <c r="S734" s="11" t="s">
        <v>1181</v>
      </c>
      <c r="T734" s="341"/>
    </row>
    <row r="735" spans="1:20" x14ac:dyDescent="0.2">
      <c r="A735" s="33" t="s">
        <v>879</v>
      </c>
      <c r="B735" s="330">
        <f t="shared" si="106"/>
        <v>62191</v>
      </c>
      <c r="C735" s="330">
        <f t="shared" si="103"/>
        <v>62192</v>
      </c>
      <c r="D735" s="333" t="s">
        <v>895</v>
      </c>
      <c r="E735" s="339" t="s">
        <v>2233</v>
      </c>
      <c r="F735" s="330">
        <v>32</v>
      </c>
      <c r="G735" s="346">
        <f t="shared" si="95"/>
        <v>6.25E-2</v>
      </c>
      <c r="H735" s="330"/>
      <c r="I735" s="333">
        <f t="shared" si="104"/>
        <v>4</v>
      </c>
      <c r="J735" s="333">
        <f t="shared" si="105"/>
        <v>2</v>
      </c>
      <c r="K735" s="334" t="s">
        <v>579</v>
      </c>
      <c r="L735" s="335" t="s">
        <v>234</v>
      </c>
      <c r="M735" s="335"/>
      <c r="N735" s="335"/>
      <c r="O735" s="11"/>
      <c r="P735" s="336"/>
      <c r="Q735" s="340"/>
      <c r="R735" s="11"/>
      <c r="S735" s="11" t="s">
        <v>1181</v>
      </c>
      <c r="T735" s="341"/>
    </row>
    <row r="736" spans="1:20" x14ac:dyDescent="0.2">
      <c r="A736" s="33" t="s">
        <v>879</v>
      </c>
      <c r="B736" s="330">
        <f t="shared" si="106"/>
        <v>62193</v>
      </c>
      <c r="C736" s="330">
        <f t="shared" si="103"/>
        <v>62194</v>
      </c>
      <c r="D736" s="333" t="s">
        <v>895</v>
      </c>
      <c r="E736" s="339" t="s">
        <v>2234</v>
      </c>
      <c r="F736" s="330">
        <v>32</v>
      </c>
      <c r="G736" s="346">
        <f t="shared" si="95"/>
        <v>6.25E-2</v>
      </c>
      <c r="H736" s="330"/>
      <c r="I736" s="333">
        <f t="shared" si="104"/>
        <v>4</v>
      </c>
      <c r="J736" s="333">
        <f t="shared" si="105"/>
        <v>2</v>
      </c>
      <c r="K736" s="334" t="s">
        <v>579</v>
      </c>
      <c r="L736" s="335" t="s">
        <v>234</v>
      </c>
      <c r="M736" s="335"/>
      <c r="N736" s="335"/>
      <c r="O736" s="11"/>
      <c r="P736" s="336"/>
      <c r="Q736" s="340"/>
      <c r="R736" s="11"/>
      <c r="S736" s="11" t="s">
        <v>1181</v>
      </c>
      <c r="T736" s="341"/>
    </row>
    <row r="737" spans="1:20" x14ac:dyDescent="0.2">
      <c r="A737" s="33" t="s">
        <v>879</v>
      </c>
      <c r="B737" s="330">
        <f t="shared" si="106"/>
        <v>62195</v>
      </c>
      <c r="C737" s="330">
        <f t="shared" si="103"/>
        <v>62196</v>
      </c>
      <c r="D737" s="333" t="s">
        <v>895</v>
      </c>
      <c r="E737" s="339" t="s">
        <v>2235</v>
      </c>
      <c r="F737" s="330">
        <v>32</v>
      </c>
      <c r="G737" s="346">
        <f t="shared" si="95"/>
        <v>6.25E-2</v>
      </c>
      <c r="H737" s="330"/>
      <c r="I737" s="333">
        <f t="shared" si="104"/>
        <v>4</v>
      </c>
      <c r="J737" s="333">
        <f t="shared" si="105"/>
        <v>2</v>
      </c>
      <c r="K737" s="334" t="s">
        <v>579</v>
      </c>
      <c r="L737" s="335" t="s">
        <v>234</v>
      </c>
      <c r="M737" s="335"/>
      <c r="N737" s="335"/>
      <c r="O737" s="11"/>
      <c r="P737" s="336"/>
      <c r="Q737" s="340"/>
      <c r="R737" s="11"/>
      <c r="S737" s="11" t="s">
        <v>1181</v>
      </c>
      <c r="T737" s="341"/>
    </row>
    <row r="738" spans="1:20" x14ac:dyDescent="0.2">
      <c r="A738" s="33" t="s">
        <v>879</v>
      </c>
      <c r="B738" s="330">
        <f t="shared" si="106"/>
        <v>62197</v>
      </c>
      <c r="C738" s="330">
        <f t="shared" si="103"/>
        <v>62198</v>
      </c>
      <c r="D738" s="333" t="s">
        <v>895</v>
      </c>
      <c r="E738" s="339" t="s">
        <v>2236</v>
      </c>
      <c r="F738" s="330">
        <v>32</v>
      </c>
      <c r="G738" s="346">
        <f t="shared" si="95"/>
        <v>6.25E-2</v>
      </c>
      <c r="H738" s="330"/>
      <c r="I738" s="333">
        <f t="shared" si="104"/>
        <v>4</v>
      </c>
      <c r="J738" s="333">
        <f t="shared" si="105"/>
        <v>2</v>
      </c>
      <c r="K738" s="334" t="s">
        <v>579</v>
      </c>
      <c r="L738" s="335" t="s">
        <v>234</v>
      </c>
      <c r="M738" s="335"/>
      <c r="N738" s="335"/>
      <c r="O738" s="11"/>
      <c r="P738" s="340"/>
      <c r="Q738" s="340"/>
      <c r="R738" s="11"/>
      <c r="S738" s="11" t="s">
        <v>1181</v>
      </c>
      <c r="T738" s="341"/>
    </row>
    <row r="739" spans="1:20" x14ac:dyDescent="0.2">
      <c r="A739" s="33"/>
      <c r="B739" s="47">
        <f>B740</f>
        <v>62199</v>
      </c>
      <c r="C739" s="26"/>
      <c r="D739" s="28"/>
      <c r="E739" s="26" t="s">
        <v>194</v>
      </c>
      <c r="F739" s="171"/>
      <c r="G739" s="171"/>
      <c r="H739" s="171"/>
      <c r="I739" s="177"/>
      <c r="J739" s="177"/>
      <c r="K739" s="184"/>
      <c r="L739" s="185"/>
      <c r="M739" s="185"/>
      <c r="N739" s="185"/>
      <c r="O739" s="185"/>
      <c r="P739" s="182"/>
      <c r="Q739" s="182"/>
      <c r="R739" s="186"/>
      <c r="S739" s="186"/>
      <c r="T739" s="187"/>
    </row>
    <row r="740" spans="1:20" x14ac:dyDescent="0.2">
      <c r="A740" s="33" t="s">
        <v>879</v>
      </c>
      <c r="B740" s="330">
        <f>C738+1</f>
        <v>62199</v>
      </c>
      <c r="C740" s="330">
        <f t="shared" ref="C740:C755" si="107">B740+($F740*$G740)-1</f>
        <v>62200</v>
      </c>
      <c r="D740" s="333" t="s">
        <v>895</v>
      </c>
      <c r="E740" s="339" t="s">
        <v>221</v>
      </c>
      <c r="F740" s="330">
        <v>32</v>
      </c>
      <c r="G740" s="346">
        <f t="shared" si="95"/>
        <v>6.25E-2</v>
      </c>
      <c r="H740" s="330"/>
      <c r="I740" s="333">
        <f t="shared" ref="I740:I755" si="108">F740*2*G740</f>
        <v>4</v>
      </c>
      <c r="J740" s="333">
        <f t="shared" ref="J740:J755" si="109">C740-B740+1</f>
        <v>2</v>
      </c>
      <c r="K740" s="334" t="s">
        <v>216</v>
      </c>
      <c r="L740" s="335" t="s">
        <v>234</v>
      </c>
      <c r="M740" s="335"/>
      <c r="N740" s="335"/>
      <c r="O740" s="11"/>
      <c r="P740" s="336"/>
      <c r="Q740" s="340"/>
      <c r="R740" s="11"/>
      <c r="S740" s="11" t="s">
        <v>1181</v>
      </c>
      <c r="T740" s="341"/>
    </row>
    <row r="741" spans="1:20" x14ac:dyDescent="0.2">
      <c r="A741" s="33" t="s">
        <v>879</v>
      </c>
      <c r="B741" s="330">
        <f t="shared" ref="B741:B755" si="110">C740+1</f>
        <v>62201</v>
      </c>
      <c r="C741" s="330">
        <f t="shared" si="107"/>
        <v>62202</v>
      </c>
      <c r="D741" s="333" t="s">
        <v>895</v>
      </c>
      <c r="E741" s="339" t="s">
        <v>222</v>
      </c>
      <c r="F741" s="330">
        <v>32</v>
      </c>
      <c r="G741" s="346">
        <f t="shared" si="95"/>
        <v>6.25E-2</v>
      </c>
      <c r="H741" s="330"/>
      <c r="I741" s="333">
        <f t="shared" si="108"/>
        <v>4</v>
      </c>
      <c r="J741" s="333">
        <f t="shared" si="109"/>
        <v>2</v>
      </c>
      <c r="K741" s="334" t="s">
        <v>216</v>
      </c>
      <c r="L741" s="335" t="s">
        <v>234</v>
      </c>
      <c r="M741" s="335"/>
      <c r="N741" s="335"/>
      <c r="O741" s="11"/>
      <c r="P741" s="336"/>
      <c r="Q741" s="340"/>
      <c r="R741" s="11"/>
      <c r="S741" s="11" t="s">
        <v>1181</v>
      </c>
      <c r="T741" s="341"/>
    </row>
    <row r="742" spans="1:20" x14ac:dyDescent="0.2">
      <c r="A742" s="33" t="s">
        <v>879</v>
      </c>
      <c r="B742" s="330">
        <f t="shared" si="110"/>
        <v>62203</v>
      </c>
      <c r="C742" s="330">
        <f t="shared" si="107"/>
        <v>62204</v>
      </c>
      <c r="D742" s="333" t="s">
        <v>895</v>
      </c>
      <c r="E742" s="339" t="s">
        <v>223</v>
      </c>
      <c r="F742" s="330">
        <v>32</v>
      </c>
      <c r="G742" s="346">
        <f t="shared" si="95"/>
        <v>6.25E-2</v>
      </c>
      <c r="H742" s="330"/>
      <c r="I742" s="333">
        <f t="shared" si="108"/>
        <v>4</v>
      </c>
      <c r="J742" s="333">
        <f t="shared" si="109"/>
        <v>2</v>
      </c>
      <c r="K742" s="334" t="s">
        <v>216</v>
      </c>
      <c r="L742" s="335" t="s">
        <v>234</v>
      </c>
      <c r="M742" s="335"/>
      <c r="N742" s="335"/>
      <c r="O742" s="11"/>
      <c r="P742" s="336"/>
      <c r="Q742" s="340"/>
      <c r="R742" s="11"/>
      <c r="S742" s="11" t="s">
        <v>1181</v>
      </c>
      <c r="T742" s="341"/>
    </row>
    <row r="743" spans="1:20" x14ac:dyDescent="0.2">
      <c r="A743" s="33" t="s">
        <v>879</v>
      </c>
      <c r="B743" s="330">
        <f t="shared" si="110"/>
        <v>62205</v>
      </c>
      <c r="C743" s="330">
        <f t="shared" si="107"/>
        <v>62206</v>
      </c>
      <c r="D743" s="333" t="s">
        <v>895</v>
      </c>
      <c r="E743" s="339" t="s">
        <v>224</v>
      </c>
      <c r="F743" s="330">
        <v>32</v>
      </c>
      <c r="G743" s="346">
        <f t="shared" si="95"/>
        <v>6.25E-2</v>
      </c>
      <c r="H743" s="330"/>
      <c r="I743" s="333">
        <f t="shared" si="108"/>
        <v>4</v>
      </c>
      <c r="J743" s="333">
        <f t="shared" si="109"/>
        <v>2</v>
      </c>
      <c r="K743" s="334" t="s">
        <v>216</v>
      </c>
      <c r="L743" s="335" t="s">
        <v>234</v>
      </c>
      <c r="M743" s="335"/>
      <c r="N743" s="335"/>
      <c r="O743" s="11"/>
      <c r="P743" s="336"/>
      <c r="Q743" s="340"/>
      <c r="R743" s="11"/>
      <c r="S743" s="11" t="s">
        <v>1181</v>
      </c>
      <c r="T743" s="341"/>
    </row>
    <row r="744" spans="1:20" ht="11.25" customHeight="1" x14ac:dyDescent="0.2">
      <c r="A744" s="33" t="s">
        <v>879</v>
      </c>
      <c r="B744" s="330">
        <f t="shared" si="110"/>
        <v>62207</v>
      </c>
      <c r="C744" s="330">
        <f t="shared" si="107"/>
        <v>62208</v>
      </c>
      <c r="D744" s="333" t="s">
        <v>895</v>
      </c>
      <c r="E744" s="339" t="s">
        <v>225</v>
      </c>
      <c r="F744" s="330">
        <v>32</v>
      </c>
      <c r="G744" s="346">
        <f t="shared" si="95"/>
        <v>6.25E-2</v>
      </c>
      <c r="H744" s="330"/>
      <c r="I744" s="333">
        <f t="shared" si="108"/>
        <v>4</v>
      </c>
      <c r="J744" s="333">
        <f t="shared" si="109"/>
        <v>2</v>
      </c>
      <c r="K744" s="334" t="s">
        <v>216</v>
      </c>
      <c r="L744" s="335" t="s">
        <v>234</v>
      </c>
      <c r="M744" s="335"/>
      <c r="N744" s="335"/>
      <c r="O744" s="11"/>
      <c r="P744" s="336"/>
      <c r="Q744" s="340"/>
      <c r="R744" s="11"/>
      <c r="S744" s="11" t="s">
        <v>1181</v>
      </c>
      <c r="T744" s="341"/>
    </row>
    <row r="745" spans="1:20" x14ac:dyDescent="0.2">
      <c r="A745" s="33" t="s">
        <v>879</v>
      </c>
      <c r="B745" s="330">
        <f t="shared" si="110"/>
        <v>62209</v>
      </c>
      <c r="C745" s="330">
        <f t="shared" si="107"/>
        <v>62210</v>
      </c>
      <c r="D745" s="333" t="s">
        <v>895</v>
      </c>
      <c r="E745" s="339" t="s">
        <v>226</v>
      </c>
      <c r="F745" s="330">
        <v>32</v>
      </c>
      <c r="G745" s="346">
        <f t="shared" si="95"/>
        <v>6.25E-2</v>
      </c>
      <c r="H745" s="330"/>
      <c r="I745" s="333">
        <f t="shared" si="108"/>
        <v>4</v>
      </c>
      <c r="J745" s="333">
        <f t="shared" si="109"/>
        <v>2</v>
      </c>
      <c r="K745" s="334" t="s">
        <v>216</v>
      </c>
      <c r="L745" s="335" t="s">
        <v>234</v>
      </c>
      <c r="M745" s="335"/>
      <c r="N745" s="335"/>
      <c r="O745" s="11"/>
      <c r="P745" s="336"/>
      <c r="Q745" s="340"/>
      <c r="R745" s="11"/>
      <c r="S745" s="11" t="s">
        <v>1181</v>
      </c>
      <c r="T745" s="341"/>
    </row>
    <row r="746" spans="1:20" ht="11.25" customHeight="1" x14ac:dyDescent="0.2">
      <c r="A746" s="33" t="s">
        <v>879</v>
      </c>
      <c r="B746" s="330">
        <f t="shared" si="110"/>
        <v>62211</v>
      </c>
      <c r="C746" s="330">
        <f t="shared" si="107"/>
        <v>62212</v>
      </c>
      <c r="D746" s="333" t="s">
        <v>895</v>
      </c>
      <c r="E746" s="339" t="s">
        <v>2112</v>
      </c>
      <c r="F746" s="330">
        <v>32</v>
      </c>
      <c r="G746" s="346">
        <f t="shared" si="95"/>
        <v>6.25E-2</v>
      </c>
      <c r="H746" s="330"/>
      <c r="I746" s="333">
        <f t="shared" si="108"/>
        <v>4</v>
      </c>
      <c r="J746" s="333">
        <f t="shared" si="109"/>
        <v>2</v>
      </c>
      <c r="K746" s="334" t="s">
        <v>216</v>
      </c>
      <c r="L746" s="335" t="s">
        <v>234</v>
      </c>
      <c r="M746" s="335"/>
      <c r="N746" s="335"/>
      <c r="O746" s="11"/>
      <c r="P746" s="336"/>
      <c r="Q746" s="340"/>
      <c r="R746" s="11"/>
      <c r="S746" s="11" t="s">
        <v>1181</v>
      </c>
      <c r="T746" s="341"/>
    </row>
    <row r="747" spans="1:20" x14ac:dyDescent="0.2">
      <c r="A747" s="33" t="s">
        <v>879</v>
      </c>
      <c r="B747" s="330">
        <f t="shared" si="110"/>
        <v>62213</v>
      </c>
      <c r="C747" s="330">
        <f t="shared" si="107"/>
        <v>62214</v>
      </c>
      <c r="D747" s="333" t="s">
        <v>895</v>
      </c>
      <c r="E747" s="339" t="s">
        <v>2137</v>
      </c>
      <c r="F747" s="330">
        <v>32</v>
      </c>
      <c r="G747" s="346">
        <f t="shared" si="95"/>
        <v>6.25E-2</v>
      </c>
      <c r="H747" s="330"/>
      <c r="I747" s="333">
        <f t="shared" si="108"/>
        <v>4</v>
      </c>
      <c r="J747" s="333">
        <f t="shared" si="109"/>
        <v>2</v>
      </c>
      <c r="K747" s="334" t="s">
        <v>216</v>
      </c>
      <c r="L747" s="335" t="s">
        <v>234</v>
      </c>
      <c r="M747" s="335"/>
      <c r="N747" s="335"/>
      <c r="O747" s="11"/>
      <c r="P747" s="336"/>
      <c r="Q747" s="340"/>
      <c r="R747" s="11"/>
      <c r="S747" s="11" t="s">
        <v>1181</v>
      </c>
      <c r="T747" s="341"/>
    </row>
    <row r="748" spans="1:20" x14ac:dyDescent="0.2">
      <c r="A748" s="33" t="s">
        <v>879</v>
      </c>
      <c r="B748" s="330">
        <f t="shared" si="110"/>
        <v>62215</v>
      </c>
      <c r="C748" s="330">
        <f t="shared" si="107"/>
        <v>62216</v>
      </c>
      <c r="D748" s="333" t="s">
        <v>895</v>
      </c>
      <c r="E748" s="339" t="s">
        <v>2162</v>
      </c>
      <c r="F748" s="330">
        <v>32</v>
      </c>
      <c r="G748" s="346">
        <f t="shared" si="95"/>
        <v>6.25E-2</v>
      </c>
      <c r="H748" s="330"/>
      <c r="I748" s="333">
        <f t="shared" si="108"/>
        <v>4</v>
      </c>
      <c r="J748" s="333">
        <f t="shared" si="109"/>
        <v>2</v>
      </c>
      <c r="K748" s="334" t="s">
        <v>216</v>
      </c>
      <c r="L748" s="335" t="s">
        <v>234</v>
      </c>
      <c r="M748" s="335"/>
      <c r="N748" s="335"/>
      <c r="O748" s="11"/>
      <c r="P748" s="336"/>
      <c r="Q748" s="340"/>
      <c r="R748" s="11"/>
      <c r="S748" s="11" t="s">
        <v>1181</v>
      </c>
      <c r="T748" s="341"/>
    </row>
    <row r="749" spans="1:20" x14ac:dyDescent="0.2">
      <c r="A749" s="33" t="s">
        <v>879</v>
      </c>
      <c r="B749" s="330">
        <f t="shared" si="110"/>
        <v>62217</v>
      </c>
      <c r="C749" s="330">
        <f t="shared" si="107"/>
        <v>62218</v>
      </c>
      <c r="D749" s="333" t="s">
        <v>895</v>
      </c>
      <c r="E749" s="339" t="s">
        <v>2187</v>
      </c>
      <c r="F749" s="330">
        <v>32</v>
      </c>
      <c r="G749" s="346">
        <f t="shared" si="95"/>
        <v>6.25E-2</v>
      </c>
      <c r="H749" s="330"/>
      <c r="I749" s="333">
        <f t="shared" si="108"/>
        <v>4</v>
      </c>
      <c r="J749" s="333">
        <f t="shared" si="109"/>
        <v>2</v>
      </c>
      <c r="K749" s="334" t="s">
        <v>216</v>
      </c>
      <c r="L749" s="335" t="s">
        <v>234</v>
      </c>
      <c r="M749" s="335"/>
      <c r="N749" s="335"/>
      <c r="O749" s="11"/>
      <c r="P749" s="336"/>
      <c r="Q749" s="340"/>
      <c r="R749" s="11"/>
      <c r="S749" s="11" t="s">
        <v>1181</v>
      </c>
      <c r="T749" s="341"/>
    </row>
    <row r="750" spans="1:20" x14ac:dyDescent="0.2">
      <c r="A750" s="33" t="s">
        <v>879</v>
      </c>
      <c r="B750" s="330">
        <f t="shared" si="110"/>
        <v>62219</v>
      </c>
      <c r="C750" s="330">
        <f t="shared" si="107"/>
        <v>62220</v>
      </c>
      <c r="D750" s="333" t="s">
        <v>895</v>
      </c>
      <c r="E750" s="339" t="s">
        <v>2237</v>
      </c>
      <c r="F750" s="330">
        <v>32</v>
      </c>
      <c r="G750" s="346">
        <f t="shared" si="95"/>
        <v>6.25E-2</v>
      </c>
      <c r="H750" s="330"/>
      <c r="I750" s="333">
        <f t="shared" si="108"/>
        <v>4</v>
      </c>
      <c r="J750" s="333">
        <f t="shared" si="109"/>
        <v>2</v>
      </c>
      <c r="K750" s="334" t="s">
        <v>216</v>
      </c>
      <c r="L750" s="335" t="s">
        <v>234</v>
      </c>
      <c r="M750" s="335"/>
      <c r="N750" s="335"/>
      <c r="O750" s="11"/>
      <c r="P750" s="336"/>
      <c r="Q750" s="340"/>
      <c r="R750" s="11"/>
      <c r="S750" s="11" t="s">
        <v>1181</v>
      </c>
      <c r="T750" s="341"/>
    </row>
    <row r="751" spans="1:20" x14ac:dyDescent="0.2">
      <c r="A751" s="33" t="s">
        <v>879</v>
      </c>
      <c r="B751" s="330">
        <f t="shared" si="110"/>
        <v>62221</v>
      </c>
      <c r="C751" s="330">
        <f t="shared" si="107"/>
        <v>62222</v>
      </c>
      <c r="D751" s="333" t="s">
        <v>895</v>
      </c>
      <c r="E751" s="339" t="s">
        <v>2238</v>
      </c>
      <c r="F751" s="330">
        <v>32</v>
      </c>
      <c r="G751" s="346">
        <f t="shared" si="95"/>
        <v>6.25E-2</v>
      </c>
      <c r="H751" s="330"/>
      <c r="I751" s="333">
        <f t="shared" si="108"/>
        <v>4</v>
      </c>
      <c r="J751" s="333">
        <f t="shared" si="109"/>
        <v>2</v>
      </c>
      <c r="K751" s="334" t="s">
        <v>216</v>
      </c>
      <c r="L751" s="335" t="s">
        <v>234</v>
      </c>
      <c r="M751" s="335"/>
      <c r="N751" s="335"/>
      <c r="O751" s="11"/>
      <c r="P751" s="336"/>
      <c r="Q751" s="340"/>
      <c r="R751" s="11"/>
      <c r="S751" s="11" t="s">
        <v>1181</v>
      </c>
      <c r="T751" s="341"/>
    </row>
    <row r="752" spans="1:20" x14ac:dyDescent="0.2">
      <c r="A752" s="33" t="s">
        <v>879</v>
      </c>
      <c r="B752" s="330">
        <f t="shared" si="110"/>
        <v>62223</v>
      </c>
      <c r="C752" s="330">
        <f t="shared" si="107"/>
        <v>62224</v>
      </c>
      <c r="D752" s="333" t="s">
        <v>895</v>
      </c>
      <c r="E752" s="339" t="s">
        <v>2239</v>
      </c>
      <c r="F752" s="330">
        <v>32</v>
      </c>
      <c r="G752" s="346">
        <f t="shared" si="95"/>
        <v>6.25E-2</v>
      </c>
      <c r="H752" s="330"/>
      <c r="I752" s="333">
        <f t="shared" si="108"/>
        <v>4</v>
      </c>
      <c r="J752" s="333">
        <f t="shared" si="109"/>
        <v>2</v>
      </c>
      <c r="K752" s="334" t="s">
        <v>216</v>
      </c>
      <c r="L752" s="335" t="s">
        <v>234</v>
      </c>
      <c r="M752" s="335"/>
      <c r="N752" s="335"/>
      <c r="O752" s="11"/>
      <c r="P752" s="336"/>
      <c r="Q752" s="340"/>
      <c r="R752" s="11"/>
      <c r="S752" s="11" t="s">
        <v>1181</v>
      </c>
      <c r="T752" s="341"/>
    </row>
    <row r="753" spans="1:20" x14ac:dyDescent="0.2">
      <c r="A753" s="33" t="s">
        <v>879</v>
      </c>
      <c r="B753" s="330">
        <f t="shared" si="110"/>
        <v>62225</v>
      </c>
      <c r="C753" s="330">
        <f t="shared" si="107"/>
        <v>62226</v>
      </c>
      <c r="D753" s="333" t="s">
        <v>895</v>
      </c>
      <c r="E753" s="339" t="s">
        <v>2240</v>
      </c>
      <c r="F753" s="330">
        <v>32</v>
      </c>
      <c r="G753" s="346">
        <f t="shared" si="95"/>
        <v>6.25E-2</v>
      </c>
      <c r="H753" s="330"/>
      <c r="I753" s="333">
        <f t="shared" si="108"/>
        <v>4</v>
      </c>
      <c r="J753" s="333">
        <f t="shared" si="109"/>
        <v>2</v>
      </c>
      <c r="K753" s="334" t="s">
        <v>216</v>
      </c>
      <c r="L753" s="335" t="s">
        <v>234</v>
      </c>
      <c r="M753" s="335"/>
      <c r="N753" s="335"/>
      <c r="O753" s="11"/>
      <c r="P753" s="336"/>
      <c r="Q753" s="340"/>
      <c r="R753" s="11"/>
      <c r="S753" s="11" t="s">
        <v>1181</v>
      </c>
      <c r="T753" s="341"/>
    </row>
    <row r="754" spans="1:20" x14ac:dyDescent="0.2">
      <c r="A754" s="33" t="s">
        <v>879</v>
      </c>
      <c r="B754" s="330">
        <f t="shared" si="110"/>
        <v>62227</v>
      </c>
      <c r="C754" s="330">
        <f t="shared" si="107"/>
        <v>62228</v>
      </c>
      <c r="D754" s="333" t="s">
        <v>895</v>
      </c>
      <c r="E754" s="339" t="s">
        <v>2241</v>
      </c>
      <c r="F754" s="330">
        <v>32</v>
      </c>
      <c r="G754" s="346">
        <f t="shared" si="95"/>
        <v>6.25E-2</v>
      </c>
      <c r="H754" s="330"/>
      <c r="I754" s="333">
        <f t="shared" si="108"/>
        <v>4</v>
      </c>
      <c r="J754" s="333">
        <f t="shared" si="109"/>
        <v>2</v>
      </c>
      <c r="K754" s="334" t="s">
        <v>216</v>
      </c>
      <c r="L754" s="335" t="s">
        <v>234</v>
      </c>
      <c r="M754" s="335"/>
      <c r="N754" s="335"/>
      <c r="O754" s="11"/>
      <c r="P754" s="336"/>
      <c r="Q754" s="340"/>
      <c r="R754" s="11"/>
      <c r="S754" s="11" t="s">
        <v>1181</v>
      </c>
      <c r="T754" s="341"/>
    </row>
    <row r="755" spans="1:20" x14ac:dyDescent="0.2">
      <c r="A755" s="33" t="s">
        <v>879</v>
      </c>
      <c r="B755" s="330">
        <f t="shared" si="110"/>
        <v>62229</v>
      </c>
      <c r="C755" s="330">
        <f t="shared" si="107"/>
        <v>62230</v>
      </c>
      <c r="D755" s="333" t="s">
        <v>895</v>
      </c>
      <c r="E755" s="339" t="s">
        <v>2242</v>
      </c>
      <c r="F755" s="330">
        <v>32</v>
      </c>
      <c r="G755" s="346">
        <f t="shared" si="95"/>
        <v>6.25E-2</v>
      </c>
      <c r="H755" s="330"/>
      <c r="I755" s="333">
        <f t="shared" si="108"/>
        <v>4</v>
      </c>
      <c r="J755" s="333">
        <f t="shared" si="109"/>
        <v>2</v>
      </c>
      <c r="K755" s="334" t="s">
        <v>216</v>
      </c>
      <c r="L755" s="335" t="s">
        <v>234</v>
      </c>
      <c r="M755" s="335"/>
      <c r="N755" s="335"/>
      <c r="O755" s="11"/>
      <c r="P755" s="340"/>
      <c r="Q755" s="340"/>
      <c r="R755" s="11"/>
      <c r="S755" s="11" t="s">
        <v>1181</v>
      </c>
      <c r="T755" s="341"/>
    </row>
    <row r="756" spans="1:20" x14ac:dyDescent="0.2">
      <c r="A756" s="33"/>
      <c r="B756" s="47">
        <f>B757</f>
        <v>62231</v>
      </c>
      <c r="C756" s="26"/>
      <c r="D756" s="28"/>
      <c r="E756" s="26" t="s">
        <v>194</v>
      </c>
      <c r="F756" s="171"/>
      <c r="G756" s="171"/>
      <c r="H756" s="171"/>
      <c r="I756" s="177"/>
      <c r="J756" s="177"/>
      <c r="K756" s="184"/>
      <c r="L756" s="185"/>
      <c r="M756" s="185"/>
      <c r="N756" s="185"/>
      <c r="O756" s="185"/>
      <c r="P756" s="182"/>
      <c r="Q756" s="182"/>
      <c r="R756" s="186"/>
      <c r="S756" s="186"/>
      <c r="T756" s="187"/>
    </row>
    <row r="757" spans="1:20" x14ac:dyDescent="0.2">
      <c r="A757" s="33" t="s">
        <v>879</v>
      </c>
      <c r="B757" s="330">
        <f>C755+1</f>
        <v>62231</v>
      </c>
      <c r="C757" s="330">
        <f t="shared" ref="C757:C772" si="111">B757+($F757*$G757)-1</f>
        <v>62232</v>
      </c>
      <c r="D757" s="333" t="s">
        <v>895</v>
      </c>
      <c r="E757" s="339" t="s">
        <v>186</v>
      </c>
      <c r="F757" s="330">
        <v>32</v>
      </c>
      <c r="G757" s="346">
        <f t="shared" si="95"/>
        <v>6.25E-2</v>
      </c>
      <c r="H757" s="330"/>
      <c r="I757" s="333">
        <f t="shared" ref="I757:I772" si="112">F757*2*G757</f>
        <v>4</v>
      </c>
      <c r="J757" s="333">
        <f t="shared" ref="J757:J772" si="113">C757-B757+1</f>
        <v>2</v>
      </c>
      <c r="K757" s="334" t="s">
        <v>579</v>
      </c>
      <c r="L757" s="335" t="s">
        <v>234</v>
      </c>
      <c r="M757" s="335"/>
      <c r="N757" s="335"/>
      <c r="O757" s="11"/>
      <c r="P757" s="340"/>
      <c r="Q757" s="336"/>
      <c r="R757" s="11"/>
      <c r="S757" s="11" t="s">
        <v>1181</v>
      </c>
      <c r="T757" s="341"/>
    </row>
    <row r="758" spans="1:20" x14ac:dyDescent="0.2">
      <c r="A758" s="33" t="s">
        <v>879</v>
      </c>
      <c r="B758" s="330">
        <f t="shared" ref="B758:B772" si="114">C757+1</f>
        <v>62233</v>
      </c>
      <c r="C758" s="330">
        <f t="shared" si="111"/>
        <v>62234</v>
      </c>
      <c r="D758" s="333" t="s">
        <v>895</v>
      </c>
      <c r="E758" s="339" t="s">
        <v>187</v>
      </c>
      <c r="F758" s="330">
        <v>32</v>
      </c>
      <c r="G758" s="346">
        <f t="shared" ref="G758:G825" si="115">1/16</f>
        <v>6.25E-2</v>
      </c>
      <c r="H758" s="330"/>
      <c r="I758" s="333">
        <f t="shared" si="112"/>
        <v>4</v>
      </c>
      <c r="J758" s="333">
        <f t="shared" si="113"/>
        <v>2</v>
      </c>
      <c r="K758" s="334" t="s">
        <v>579</v>
      </c>
      <c r="L758" s="335" t="s">
        <v>234</v>
      </c>
      <c r="M758" s="335"/>
      <c r="N758" s="335"/>
      <c r="O758" s="11"/>
      <c r="P758" s="340"/>
      <c r="Q758" s="336"/>
      <c r="R758" s="11"/>
      <c r="S758" s="11" t="s">
        <v>1181</v>
      </c>
      <c r="T758" s="341"/>
    </row>
    <row r="759" spans="1:20" x14ac:dyDescent="0.2">
      <c r="A759" s="33" t="s">
        <v>879</v>
      </c>
      <c r="B759" s="330">
        <f t="shared" si="114"/>
        <v>62235</v>
      </c>
      <c r="C759" s="330">
        <f t="shared" si="111"/>
        <v>62236</v>
      </c>
      <c r="D759" s="333" t="s">
        <v>895</v>
      </c>
      <c r="E759" s="339" t="s">
        <v>188</v>
      </c>
      <c r="F759" s="330">
        <v>32</v>
      </c>
      <c r="G759" s="346">
        <f t="shared" si="115"/>
        <v>6.25E-2</v>
      </c>
      <c r="H759" s="330"/>
      <c r="I759" s="333">
        <f t="shared" si="112"/>
        <v>4</v>
      </c>
      <c r="J759" s="333">
        <f t="shared" si="113"/>
        <v>2</v>
      </c>
      <c r="K759" s="334" t="s">
        <v>579</v>
      </c>
      <c r="L759" s="335" t="s">
        <v>234</v>
      </c>
      <c r="M759" s="335"/>
      <c r="N759" s="335"/>
      <c r="O759" s="11"/>
      <c r="P759" s="340"/>
      <c r="Q759" s="336"/>
      <c r="R759" s="11"/>
      <c r="S759" s="11" t="s">
        <v>1181</v>
      </c>
      <c r="T759" s="341"/>
    </row>
    <row r="760" spans="1:20" x14ac:dyDescent="0.2">
      <c r="A760" s="33" t="s">
        <v>879</v>
      </c>
      <c r="B760" s="330">
        <f t="shared" si="114"/>
        <v>62237</v>
      </c>
      <c r="C760" s="330">
        <f t="shared" si="111"/>
        <v>62238</v>
      </c>
      <c r="D760" s="333" t="s">
        <v>895</v>
      </c>
      <c r="E760" s="339" t="s">
        <v>189</v>
      </c>
      <c r="F760" s="330">
        <v>32</v>
      </c>
      <c r="G760" s="346">
        <f t="shared" si="115"/>
        <v>6.25E-2</v>
      </c>
      <c r="H760" s="330"/>
      <c r="I760" s="333">
        <f t="shared" si="112"/>
        <v>4</v>
      </c>
      <c r="J760" s="333">
        <f t="shared" si="113"/>
        <v>2</v>
      </c>
      <c r="K760" s="334" t="s">
        <v>579</v>
      </c>
      <c r="L760" s="335" t="s">
        <v>234</v>
      </c>
      <c r="M760" s="335"/>
      <c r="N760" s="335"/>
      <c r="O760" s="11"/>
      <c r="P760" s="340"/>
      <c r="Q760" s="336"/>
      <c r="R760" s="11"/>
      <c r="S760" s="11" t="s">
        <v>1181</v>
      </c>
      <c r="T760" s="341"/>
    </row>
    <row r="761" spans="1:20" x14ac:dyDescent="0.2">
      <c r="A761" s="33" t="s">
        <v>879</v>
      </c>
      <c r="B761" s="330">
        <f t="shared" si="114"/>
        <v>62239</v>
      </c>
      <c r="C761" s="330">
        <f t="shared" si="111"/>
        <v>62240</v>
      </c>
      <c r="D761" s="333" t="s">
        <v>895</v>
      </c>
      <c r="E761" s="339" t="s">
        <v>190</v>
      </c>
      <c r="F761" s="330">
        <v>32</v>
      </c>
      <c r="G761" s="346">
        <f t="shared" si="115"/>
        <v>6.25E-2</v>
      </c>
      <c r="H761" s="330"/>
      <c r="I761" s="333">
        <f t="shared" si="112"/>
        <v>4</v>
      </c>
      <c r="J761" s="333">
        <f t="shared" si="113"/>
        <v>2</v>
      </c>
      <c r="K761" s="334" t="s">
        <v>579</v>
      </c>
      <c r="L761" s="335" t="s">
        <v>234</v>
      </c>
      <c r="M761" s="335"/>
      <c r="N761" s="335"/>
      <c r="O761" s="11"/>
      <c r="P761" s="340"/>
      <c r="Q761" s="336"/>
      <c r="R761" s="11"/>
      <c r="S761" s="11" t="s">
        <v>1181</v>
      </c>
      <c r="T761" s="341"/>
    </row>
    <row r="762" spans="1:20" x14ac:dyDescent="0.2">
      <c r="A762" s="33" t="s">
        <v>879</v>
      </c>
      <c r="B762" s="330">
        <f t="shared" si="114"/>
        <v>62241</v>
      </c>
      <c r="C762" s="330">
        <f t="shared" si="111"/>
        <v>62242</v>
      </c>
      <c r="D762" s="333" t="s">
        <v>895</v>
      </c>
      <c r="E762" s="339" t="s">
        <v>191</v>
      </c>
      <c r="F762" s="330">
        <v>32</v>
      </c>
      <c r="G762" s="346">
        <f t="shared" si="115"/>
        <v>6.25E-2</v>
      </c>
      <c r="H762" s="330"/>
      <c r="I762" s="333">
        <f t="shared" si="112"/>
        <v>4</v>
      </c>
      <c r="J762" s="333">
        <f t="shared" si="113"/>
        <v>2</v>
      </c>
      <c r="K762" s="334" t="s">
        <v>579</v>
      </c>
      <c r="L762" s="335" t="s">
        <v>234</v>
      </c>
      <c r="M762" s="335"/>
      <c r="N762" s="335"/>
      <c r="O762" s="11"/>
      <c r="P762" s="340"/>
      <c r="Q762" s="336"/>
      <c r="R762" s="11"/>
      <c r="S762" s="11" t="s">
        <v>1181</v>
      </c>
      <c r="T762" s="341"/>
    </row>
    <row r="763" spans="1:20" ht="11.25" customHeight="1" x14ac:dyDescent="0.2">
      <c r="A763" s="33" t="s">
        <v>879</v>
      </c>
      <c r="B763" s="330">
        <f t="shared" si="114"/>
        <v>62243</v>
      </c>
      <c r="C763" s="330">
        <f t="shared" si="111"/>
        <v>62244</v>
      </c>
      <c r="D763" s="333" t="s">
        <v>895</v>
      </c>
      <c r="E763" s="339" t="s">
        <v>2113</v>
      </c>
      <c r="F763" s="330">
        <v>32</v>
      </c>
      <c r="G763" s="346">
        <f t="shared" si="115"/>
        <v>6.25E-2</v>
      </c>
      <c r="H763" s="330"/>
      <c r="I763" s="333">
        <f t="shared" si="112"/>
        <v>4</v>
      </c>
      <c r="J763" s="333">
        <f t="shared" si="113"/>
        <v>2</v>
      </c>
      <c r="K763" s="334" t="s">
        <v>579</v>
      </c>
      <c r="L763" s="335" t="s">
        <v>234</v>
      </c>
      <c r="M763" s="335"/>
      <c r="N763" s="335"/>
      <c r="O763" s="11"/>
      <c r="P763" s="340"/>
      <c r="Q763" s="336"/>
      <c r="R763" s="11"/>
      <c r="S763" s="11" t="s">
        <v>1181</v>
      </c>
      <c r="T763" s="341"/>
    </row>
    <row r="764" spans="1:20" x14ac:dyDescent="0.2">
      <c r="A764" s="33" t="s">
        <v>879</v>
      </c>
      <c r="B764" s="330">
        <f t="shared" si="114"/>
        <v>62245</v>
      </c>
      <c r="C764" s="330">
        <f t="shared" si="111"/>
        <v>62246</v>
      </c>
      <c r="D764" s="333" t="s">
        <v>895</v>
      </c>
      <c r="E764" s="339" t="s">
        <v>2138</v>
      </c>
      <c r="F764" s="330">
        <v>32</v>
      </c>
      <c r="G764" s="346">
        <f t="shared" si="115"/>
        <v>6.25E-2</v>
      </c>
      <c r="H764" s="330"/>
      <c r="I764" s="333">
        <f t="shared" si="112"/>
        <v>4</v>
      </c>
      <c r="J764" s="333">
        <f t="shared" si="113"/>
        <v>2</v>
      </c>
      <c r="K764" s="334" t="s">
        <v>579</v>
      </c>
      <c r="L764" s="335" t="s">
        <v>234</v>
      </c>
      <c r="M764" s="335"/>
      <c r="N764" s="335"/>
      <c r="O764" s="11"/>
      <c r="P764" s="340"/>
      <c r="Q764" s="336"/>
      <c r="R764" s="11"/>
      <c r="S764" s="11" t="s">
        <v>1181</v>
      </c>
      <c r="T764" s="341"/>
    </row>
    <row r="765" spans="1:20" x14ac:dyDescent="0.2">
      <c r="A765" s="33" t="s">
        <v>879</v>
      </c>
      <c r="B765" s="330">
        <f t="shared" si="114"/>
        <v>62247</v>
      </c>
      <c r="C765" s="330">
        <f t="shared" si="111"/>
        <v>62248</v>
      </c>
      <c r="D765" s="333" t="s">
        <v>895</v>
      </c>
      <c r="E765" s="339" t="s">
        <v>2163</v>
      </c>
      <c r="F765" s="330">
        <v>32</v>
      </c>
      <c r="G765" s="346">
        <f t="shared" si="115"/>
        <v>6.25E-2</v>
      </c>
      <c r="H765" s="330"/>
      <c r="I765" s="333">
        <f t="shared" si="112"/>
        <v>4</v>
      </c>
      <c r="J765" s="333">
        <f t="shared" si="113"/>
        <v>2</v>
      </c>
      <c r="K765" s="334" t="s">
        <v>579</v>
      </c>
      <c r="L765" s="335" t="s">
        <v>234</v>
      </c>
      <c r="M765" s="335"/>
      <c r="N765" s="335"/>
      <c r="O765" s="11"/>
      <c r="P765" s="340"/>
      <c r="Q765" s="336"/>
      <c r="R765" s="11"/>
      <c r="S765" s="11" t="s">
        <v>1181</v>
      </c>
      <c r="T765" s="341"/>
    </row>
    <row r="766" spans="1:20" x14ac:dyDescent="0.2">
      <c r="A766" s="33" t="s">
        <v>879</v>
      </c>
      <c r="B766" s="330">
        <f t="shared" si="114"/>
        <v>62249</v>
      </c>
      <c r="C766" s="330">
        <f t="shared" si="111"/>
        <v>62250</v>
      </c>
      <c r="D766" s="333" t="s">
        <v>895</v>
      </c>
      <c r="E766" s="339" t="s">
        <v>2188</v>
      </c>
      <c r="F766" s="330">
        <v>32</v>
      </c>
      <c r="G766" s="346">
        <f t="shared" si="115"/>
        <v>6.25E-2</v>
      </c>
      <c r="H766" s="330"/>
      <c r="I766" s="333">
        <f t="shared" si="112"/>
        <v>4</v>
      </c>
      <c r="J766" s="333">
        <f t="shared" si="113"/>
        <v>2</v>
      </c>
      <c r="K766" s="334" t="s">
        <v>579</v>
      </c>
      <c r="L766" s="335" t="s">
        <v>234</v>
      </c>
      <c r="M766" s="335"/>
      <c r="N766" s="335"/>
      <c r="O766" s="11"/>
      <c r="P766" s="340"/>
      <c r="Q766" s="336"/>
      <c r="R766" s="11"/>
      <c r="S766" s="11" t="s">
        <v>1181</v>
      </c>
      <c r="T766" s="341"/>
    </row>
    <row r="767" spans="1:20" x14ac:dyDescent="0.2">
      <c r="A767" s="33" t="s">
        <v>879</v>
      </c>
      <c r="B767" s="330">
        <f t="shared" si="114"/>
        <v>62251</v>
      </c>
      <c r="C767" s="330">
        <f t="shared" si="111"/>
        <v>62252</v>
      </c>
      <c r="D767" s="333" t="s">
        <v>895</v>
      </c>
      <c r="E767" s="339" t="s">
        <v>2243</v>
      </c>
      <c r="F767" s="330">
        <v>32</v>
      </c>
      <c r="G767" s="346">
        <f t="shared" si="115"/>
        <v>6.25E-2</v>
      </c>
      <c r="H767" s="330"/>
      <c r="I767" s="333">
        <f t="shared" si="112"/>
        <v>4</v>
      </c>
      <c r="J767" s="333">
        <f t="shared" si="113"/>
        <v>2</v>
      </c>
      <c r="K767" s="334" t="s">
        <v>579</v>
      </c>
      <c r="L767" s="335" t="s">
        <v>234</v>
      </c>
      <c r="M767" s="335"/>
      <c r="N767" s="335"/>
      <c r="O767" s="11"/>
      <c r="P767" s="340"/>
      <c r="Q767" s="336"/>
      <c r="R767" s="11"/>
      <c r="S767" s="11" t="s">
        <v>1181</v>
      </c>
      <c r="T767" s="341"/>
    </row>
    <row r="768" spans="1:20" x14ac:dyDescent="0.2">
      <c r="A768" s="33" t="s">
        <v>879</v>
      </c>
      <c r="B768" s="330">
        <f t="shared" si="114"/>
        <v>62253</v>
      </c>
      <c r="C768" s="330">
        <f t="shared" si="111"/>
        <v>62254</v>
      </c>
      <c r="D768" s="333" t="s">
        <v>895</v>
      </c>
      <c r="E768" s="339" t="s">
        <v>2244</v>
      </c>
      <c r="F768" s="330">
        <v>32</v>
      </c>
      <c r="G768" s="346">
        <f t="shared" si="115"/>
        <v>6.25E-2</v>
      </c>
      <c r="H768" s="330"/>
      <c r="I768" s="333">
        <f t="shared" si="112"/>
        <v>4</v>
      </c>
      <c r="J768" s="333">
        <f t="shared" si="113"/>
        <v>2</v>
      </c>
      <c r="K768" s="334" t="s">
        <v>579</v>
      </c>
      <c r="L768" s="335" t="s">
        <v>234</v>
      </c>
      <c r="M768" s="335"/>
      <c r="N768" s="335"/>
      <c r="O768" s="11"/>
      <c r="P768" s="340"/>
      <c r="Q768" s="336"/>
      <c r="R768" s="11"/>
      <c r="S768" s="11" t="s">
        <v>1181</v>
      </c>
      <c r="T768" s="341"/>
    </row>
    <row r="769" spans="1:20" x14ac:dyDescent="0.2">
      <c r="A769" s="33" t="s">
        <v>879</v>
      </c>
      <c r="B769" s="330">
        <f t="shared" si="114"/>
        <v>62255</v>
      </c>
      <c r="C769" s="330">
        <f t="shared" si="111"/>
        <v>62256</v>
      </c>
      <c r="D769" s="333" t="s">
        <v>895</v>
      </c>
      <c r="E769" s="339" t="s">
        <v>2245</v>
      </c>
      <c r="F769" s="330">
        <v>32</v>
      </c>
      <c r="G769" s="346">
        <f t="shared" si="115"/>
        <v>6.25E-2</v>
      </c>
      <c r="H769" s="330"/>
      <c r="I769" s="333">
        <f t="shared" si="112"/>
        <v>4</v>
      </c>
      <c r="J769" s="333">
        <f t="shared" si="113"/>
        <v>2</v>
      </c>
      <c r="K769" s="334" t="s">
        <v>579</v>
      </c>
      <c r="L769" s="335" t="s">
        <v>234</v>
      </c>
      <c r="M769" s="335"/>
      <c r="N769" s="335"/>
      <c r="O769" s="11"/>
      <c r="P769" s="340"/>
      <c r="Q769" s="336"/>
      <c r="R769" s="11"/>
      <c r="S769" s="11" t="s">
        <v>1181</v>
      </c>
      <c r="T769" s="341"/>
    </row>
    <row r="770" spans="1:20" x14ac:dyDescent="0.2">
      <c r="A770" s="33" t="s">
        <v>879</v>
      </c>
      <c r="B770" s="330">
        <f t="shared" si="114"/>
        <v>62257</v>
      </c>
      <c r="C770" s="330">
        <f t="shared" si="111"/>
        <v>62258</v>
      </c>
      <c r="D770" s="333" t="s">
        <v>895</v>
      </c>
      <c r="E770" s="339" t="s">
        <v>2246</v>
      </c>
      <c r="F770" s="330">
        <v>32</v>
      </c>
      <c r="G770" s="346">
        <f t="shared" si="115"/>
        <v>6.25E-2</v>
      </c>
      <c r="H770" s="330"/>
      <c r="I770" s="333">
        <f t="shared" si="112"/>
        <v>4</v>
      </c>
      <c r="J770" s="333">
        <f t="shared" si="113"/>
        <v>2</v>
      </c>
      <c r="K770" s="334" t="s">
        <v>579</v>
      </c>
      <c r="L770" s="335" t="s">
        <v>234</v>
      </c>
      <c r="M770" s="335"/>
      <c r="N770" s="335"/>
      <c r="O770" s="11"/>
      <c r="P770" s="340"/>
      <c r="Q770" s="336"/>
      <c r="R770" s="11"/>
      <c r="S770" s="11" t="s">
        <v>1181</v>
      </c>
      <c r="T770" s="341"/>
    </row>
    <row r="771" spans="1:20" x14ac:dyDescent="0.2">
      <c r="A771" s="33" t="s">
        <v>879</v>
      </c>
      <c r="B771" s="330">
        <f t="shared" si="114"/>
        <v>62259</v>
      </c>
      <c r="C771" s="330">
        <f t="shared" si="111"/>
        <v>62260</v>
      </c>
      <c r="D771" s="333" t="s">
        <v>895</v>
      </c>
      <c r="E771" s="339" t="s">
        <v>2247</v>
      </c>
      <c r="F771" s="330">
        <v>32</v>
      </c>
      <c r="G771" s="346">
        <f t="shared" si="115"/>
        <v>6.25E-2</v>
      </c>
      <c r="H771" s="330"/>
      <c r="I771" s="333">
        <f t="shared" si="112"/>
        <v>4</v>
      </c>
      <c r="J771" s="333">
        <f t="shared" si="113"/>
        <v>2</v>
      </c>
      <c r="K771" s="334" t="s">
        <v>579</v>
      </c>
      <c r="L771" s="335" t="s">
        <v>234</v>
      </c>
      <c r="M771" s="335"/>
      <c r="N771" s="335"/>
      <c r="O771" s="11"/>
      <c r="P771" s="340"/>
      <c r="Q771" s="336"/>
      <c r="R771" s="11"/>
      <c r="S771" s="11" t="s">
        <v>1181</v>
      </c>
      <c r="T771" s="341"/>
    </row>
    <row r="772" spans="1:20" x14ac:dyDescent="0.2">
      <c r="A772" s="33" t="s">
        <v>879</v>
      </c>
      <c r="B772" s="330">
        <f t="shared" si="114"/>
        <v>62261</v>
      </c>
      <c r="C772" s="330">
        <f t="shared" si="111"/>
        <v>62262</v>
      </c>
      <c r="D772" s="333" t="s">
        <v>895</v>
      </c>
      <c r="E772" s="339" t="s">
        <v>2248</v>
      </c>
      <c r="F772" s="330">
        <v>32</v>
      </c>
      <c r="G772" s="346">
        <f t="shared" si="115"/>
        <v>6.25E-2</v>
      </c>
      <c r="H772" s="330"/>
      <c r="I772" s="333">
        <f t="shared" si="112"/>
        <v>4</v>
      </c>
      <c r="J772" s="333">
        <f t="shared" si="113"/>
        <v>2</v>
      </c>
      <c r="K772" s="334" t="s">
        <v>579</v>
      </c>
      <c r="L772" s="335" t="s">
        <v>234</v>
      </c>
      <c r="M772" s="335"/>
      <c r="N772" s="335"/>
      <c r="O772" s="11"/>
      <c r="P772" s="340"/>
      <c r="Q772" s="340"/>
      <c r="R772" s="11"/>
      <c r="S772" s="11" t="s">
        <v>1181</v>
      </c>
      <c r="T772" s="341"/>
    </row>
    <row r="773" spans="1:20" x14ac:dyDescent="0.2">
      <c r="A773" s="33"/>
      <c r="B773" s="47">
        <f>B774</f>
        <v>62263</v>
      </c>
      <c r="C773" s="26"/>
      <c r="D773" s="28"/>
      <c r="E773" s="26" t="s">
        <v>194</v>
      </c>
      <c r="F773" s="171"/>
      <c r="G773" s="171"/>
      <c r="H773" s="171"/>
      <c r="I773" s="177"/>
      <c r="J773" s="177"/>
      <c r="K773" s="184"/>
      <c r="L773" s="185"/>
      <c r="M773" s="185"/>
      <c r="N773" s="185"/>
      <c r="O773" s="185"/>
      <c r="P773" s="182"/>
      <c r="Q773" s="182"/>
      <c r="R773" s="186"/>
      <c r="S773" s="186"/>
      <c r="T773" s="187"/>
    </row>
    <row r="774" spans="1:20" x14ac:dyDescent="0.2">
      <c r="A774" s="33" t="s">
        <v>879</v>
      </c>
      <c r="B774" s="7">
        <f>C772+1</f>
        <v>62263</v>
      </c>
      <c r="C774" s="7">
        <f t="shared" ref="C774:C789" si="116">B774+($F774*$G774)-1</f>
        <v>62264</v>
      </c>
      <c r="D774" s="9" t="s">
        <v>895</v>
      </c>
      <c r="E774" s="8" t="s">
        <v>2006</v>
      </c>
      <c r="F774" s="7">
        <v>32</v>
      </c>
      <c r="G774" s="230">
        <f t="shared" si="115"/>
        <v>6.25E-2</v>
      </c>
      <c r="H774" s="7"/>
      <c r="I774" s="9">
        <f t="shared" ref="I774:I789" si="117">F774*2*G774</f>
        <v>4</v>
      </c>
      <c r="J774" s="9">
        <f t="shared" ref="J774:J789" si="118">C774-B774+1</f>
        <v>2</v>
      </c>
      <c r="K774" s="1" t="s">
        <v>241</v>
      </c>
      <c r="L774" s="11" t="s">
        <v>234</v>
      </c>
      <c r="M774" s="11"/>
      <c r="N774" s="11"/>
      <c r="O774" s="11"/>
      <c r="P774" s="125"/>
      <c r="Q774" s="125"/>
      <c r="R774" s="11"/>
      <c r="S774" s="11" t="s">
        <v>1181</v>
      </c>
      <c r="T774" s="157"/>
    </row>
    <row r="775" spans="1:20" x14ac:dyDescent="0.2">
      <c r="A775" s="33" t="s">
        <v>879</v>
      </c>
      <c r="B775" s="7">
        <f t="shared" ref="B775:B789" si="119">C774+1</f>
        <v>62265</v>
      </c>
      <c r="C775" s="7">
        <f t="shared" si="116"/>
        <v>62266</v>
      </c>
      <c r="D775" s="9" t="s">
        <v>895</v>
      </c>
      <c r="E775" s="8" t="s">
        <v>2023</v>
      </c>
      <c r="F775" s="7">
        <v>32</v>
      </c>
      <c r="G775" s="230">
        <f t="shared" si="115"/>
        <v>6.25E-2</v>
      </c>
      <c r="H775" s="7"/>
      <c r="I775" s="9">
        <f t="shared" si="117"/>
        <v>4</v>
      </c>
      <c r="J775" s="9">
        <f t="shared" si="118"/>
        <v>2</v>
      </c>
      <c r="K775" s="1" t="s">
        <v>241</v>
      </c>
      <c r="L775" s="11" t="s">
        <v>234</v>
      </c>
      <c r="M775" s="11"/>
      <c r="N775" s="11"/>
      <c r="O775" s="11"/>
      <c r="P775" s="125"/>
      <c r="Q775" s="125"/>
      <c r="R775" s="11"/>
      <c r="S775" s="11" t="s">
        <v>1181</v>
      </c>
      <c r="T775" s="157"/>
    </row>
    <row r="776" spans="1:20" ht="12.6" customHeight="1" x14ac:dyDescent="0.2">
      <c r="A776" s="33" t="s">
        <v>879</v>
      </c>
      <c r="B776" s="7">
        <f t="shared" si="119"/>
        <v>62267</v>
      </c>
      <c r="C776" s="7">
        <f t="shared" si="116"/>
        <v>62268</v>
      </c>
      <c r="D776" s="9" t="s">
        <v>895</v>
      </c>
      <c r="E776" s="8" t="s">
        <v>2041</v>
      </c>
      <c r="F776" s="7">
        <v>32</v>
      </c>
      <c r="G776" s="230">
        <f t="shared" si="115"/>
        <v>6.25E-2</v>
      </c>
      <c r="H776" s="7"/>
      <c r="I776" s="9">
        <f t="shared" si="117"/>
        <v>4</v>
      </c>
      <c r="J776" s="9">
        <f t="shared" si="118"/>
        <v>2</v>
      </c>
      <c r="K776" s="1" t="s">
        <v>241</v>
      </c>
      <c r="L776" s="11" t="s">
        <v>234</v>
      </c>
      <c r="M776" s="11"/>
      <c r="N776" s="11"/>
      <c r="O776" s="11"/>
      <c r="P776" s="125"/>
      <c r="Q776" s="125"/>
      <c r="R776" s="11"/>
      <c r="S776" s="11" t="s">
        <v>1181</v>
      </c>
      <c r="T776" s="157"/>
    </row>
    <row r="777" spans="1:20" ht="12.6" customHeight="1" x14ac:dyDescent="0.2">
      <c r="A777" s="33" t="s">
        <v>879</v>
      </c>
      <c r="B777" s="7">
        <f t="shared" si="119"/>
        <v>62269</v>
      </c>
      <c r="C777" s="7">
        <f t="shared" si="116"/>
        <v>62270</v>
      </c>
      <c r="D777" s="9" t="s">
        <v>895</v>
      </c>
      <c r="E777" s="8" t="s">
        <v>2058</v>
      </c>
      <c r="F777" s="7">
        <v>32</v>
      </c>
      <c r="G777" s="230">
        <f t="shared" si="115"/>
        <v>6.25E-2</v>
      </c>
      <c r="H777" s="7"/>
      <c r="I777" s="9">
        <f t="shared" si="117"/>
        <v>4</v>
      </c>
      <c r="J777" s="9">
        <f t="shared" si="118"/>
        <v>2</v>
      </c>
      <c r="K777" s="1" t="s">
        <v>241</v>
      </c>
      <c r="L777" s="11" t="s">
        <v>234</v>
      </c>
      <c r="M777" s="11"/>
      <c r="N777" s="11"/>
      <c r="O777" s="11"/>
      <c r="P777" s="125"/>
      <c r="Q777" s="125"/>
      <c r="R777" s="11"/>
      <c r="S777" s="11" t="s">
        <v>1181</v>
      </c>
      <c r="T777" s="157"/>
    </row>
    <row r="778" spans="1:20" ht="12.6" customHeight="1" x14ac:dyDescent="0.2">
      <c r="A778" s="33" t="s">
        <v>879</v>
      </c>
      <c r="B778" s="7">
        <f t="shared" si="119"/>
        <v>62271</v>
      </c>
      <c r="C778" s="7">
        <f t="shared" si="116"/>
        <v>62272</v>
      </c>
      <c r="D778" s="9" t="s">
        <v>895</v>
      </c>
      <c r="E778" s="8" t="s">
        <v>2075</v>
      </c>
      <c r="F778" s="7">
        <v>32</v>
      </c>
      <c r="G778" s="230">
        <f t="shared" si="115"/>
        <v>6.25E-2</v>
      </c>
      <c r="H778" s="7"/>
      <c r="I778" s="9">
        <f t="shared" si="117"/>
        <v>4</v>
      </c>
      <c r="J778" s="9">
        <f t="shared" si="118"/>
        <v>2</v>
      </c>
      <c r="K778" s="1" t="s">
        <v>241</v>
      </c>
      <c r="L778" s="11" t="s">
        <v>234</v>
      </c>
      <c r="M778" s="11"/>
      <c r="N778" s="11"/>
      <c r="O778" s="11"/>
      <c r="P778" s="125"/>
      <c r="Q778" s="125"/>
      <c r="R778" s="11"/>
      <c r="S778" s="11" t="s">
        <v>1181</v>
      </c>
      <c r="T778" s="157"/>
    </row>
    <row r="779" spans="1:20" ht="12.6" customHeight="1" x14ac:dyDescent="0.2">
      <c r="A779" s="33" t="s">
        <v>879</v>
      </c>
      <c r="B779" s="7">
        <f t="shared" si="119"/>
        <v>62273</v>
      </c>
      <c r="C779" s="7">
        <f t="shared" si="116"/>
        <v>62274</v>
      </c>
      <c r="D779" s="9" t="s">
        <v>895</v>
      </c>
      <c r="E779" s="8" t="s">
        <v>2092</v>
      </c>
      <c r="F779" s="7">
        <v>32</v>
      </c>
      <c r="G779" s="230">
        <f t="shared" si="115"/>
        <v>6.25E-2</v>
      </c>
      <c r="H779" s="7"/>
      <c r="I779" s="9">
        <f t="shared" si="117"/>
        <v>4</v>
      </c>
      <c r="J779" s="9">
        <f t="shared" si="118"/>
        <v>2</v>
      </c>
      <c r="K779" s="1" t="s">
        <v>241</v>
      </c>
      <c r="L779" s="11" t="s">
        <v>234</v>
      </c>
      <c r="M779" s="11"/>
      <c r="N779" s="11"/>
      <c r="O779" s="11"/>
      <c r="P779" s="125"/>
      <c r="Q779" s="125"/>
      <c r="R779" s="11"/>
      <c r="S779" s="11" t="s">
        <v>1181</v>
      </c>
      <c r="T779" s="157"/>
    </row>
    <row r="780" spans="1:20" ht="12.6" customHeight="1" x14ac:dyDescent="0.2">
      <c r="A780" s="33" t="s">
        <v>879</v>
      </c>
      <c r="B780" s="7">
        <f t="shared" si="119"/>
        <v>62275</v>
      </c>
      <c r="C780" s="7">
        <f t="shared" si="116"/>
        <v>62276</v>
      </c>
      <c r="D780" s="9" t="s">
        <v>895</v>
      </c>
      <c r="E780" s="8" t="s">
        <v>2117</v>
      </c>
      <c r="F780" s="7">
        <v>32</v>
      </c>
      <c r="G780" s="230">
        <f t="shared" si="115"/>
        <v>6.25E-2</v>
      </c>
      <c r="H780" s="7"/>
      <c r="I780" s="9">
        <f t="shared" si="117"/>
        <v>4</v>
      </c>
      <c r="J780" s="9">
        <f t="shared" si="118"/>
        <v>2</v>
      </c>
      <c r="K780" s="1" t="s">
        <v>241</v>
      </c>
      <c r="L780" s="11" t="s">
        <v>234</v>
      </c>
      <c r="M780" s="11"/>
      <c r="N780" s="11"/>
      <c r="O780" s="11"/>
      <c r="P780" s="125"/>
      <c r="Q780" s="125"/>
      <c r="R780" s="11"/>
      <c r="S780" s="11" t="s">
        <v>1181</v>
      </c>
      <c r="T780" s="157"/>
    </row>
    <row r="781" spans="1:20" ht="12.6" customHeight="1" x14ac:dyDescent="0.2">
      <c r="A781" s="33" t="s">
        <v>879</v>
      </c>
      <c r="B781" s="7">
        <f t="shared" si="119"/>
        <v>62277</v>
      </c>
      <c r="C781" s="7">
        <f t="shared" si="116"/>
        <v>62278</v>
      </c>
      <c r="D781" s="9" t="s">
        <v>895</v>
      </c>
      <c r="E781" s="8" t="s">
        <v>2142</v>
      </c>
      <c r="F781" s="7">
        <v>32</v>
      </c>
      <c r="G781" s="230">
        <f t="shared" si="115"/>
        <v>6.25E-2</v>
      </c>
      <c r="H781" s="7"/>
      <c r="I781" s="9">
        <f t="shared" si="117"/>
        <v>4</v>
      </c>
      <c r="J781" s="9">
        <f t="shared" si="118"/>
        <v>2</v>
      </c>
      <c r="K781" s="1" t="s">
        <v>241</v>
      </c>
      <c r="L781" s="11" t="s">
        <v>234</v>
      </c>
      <c r="M781" s="11"/>
      <c r="N781" s="11"/>
      <c r="O781" s="11"/>
      <c r="P781" s="125"/>
      <c r="Q781" s="125"/>
      <c r="R781" s="11"/>
      <c r="S781" s="11" t="s">
        <v>1181</v>
      </c>
      <c r="T781" s="157"/>
    </row>
    <row r="782" spans="1:20" ht="12.6" customHeight="1" x14ac:dyDescent="0.2">
      <c r="A782" s="33" t="s">
        <v>879</v>
      </c>
      <c r="B782" s="7">
        <f t="shared" si="119"/>
        <v>62279</v>
      </c>
      <c r="C782" s="7">
        <f t="shared" si="116"/>
        <v>62280</v>
      </c>
      <c r="D782" s="9" t="s">
        <v>895</v>
      </c>
      <c r="E782" s="8" t="s">
        <v>2167</v>
      </c>
      <c r="F782" s="7">
        <v>32</v>
      </c>
      <c r="G782" s="230">
        <f t="shared" si="115"/>
        <v>6.25E-2</v>
      </c>
      <c r="H782" s="7"/>
      <c r="I782" s="9">
        <f t="shared" si="117"/>
        <v>4</v>
      </c>
      <c r="J782" s="9">
        <f t="shared" si="118"/>
        <v>2</v>
      </c>
      <c r="K782" s="1" t="s">
        <v>241</v>
      </c>
      <c r="L782" s="11" t="s">
        <v>234</v>
      </c>
      <c r="M782" s="11"/>
      <c r="N782" s="11"/>
      <c r="O782" s="11"/>
      <c r="P782" s="125"/>
      <c r="Q782" s="125"/>
      <c r="R782" s="11"/>
      <c r="S782" s="11" t="s">
        <v>1181</v>
      </c>
      <c r="T782" s="157"/>
    </row>
    <row r="783" spans="1:20" ht="12.6" customHeight="1" x14ac:dyDescent="0.2">
      <c r="A783" s="33" t="s">
        <v>879</v>
      </c>
      <c r="B783" s="7">
        <f t="shared" si="119"/>
        <v>62281</v>
      </c>
      <c r="C783" s="7">
        <f t="shared" si="116"/>
        <v>62282</v>
      </c>
      <c r="D783" s="9" t="s">
        <v>895</v>
      </c>
      <c r="E783" s="8" t="s">
        <v>2192</v>
      </c>
      <c r="F783" s="7">
        <v>32</v>
      </c>
      <c r="G783" s="230">
        <f t="shared" si="115"/>
        <v>6.25E-2</v>
      </c>
      <c r="H783" s="7"/>
      <c r="I783" s="9">
        <f t="shared" si="117"/>
        <v>4</v>
      </c>
      <c r="J783" s="9">
        <f t="shared" si="118"/>
        <v>2</v>
      </c>
      <c r="K783" s="1" t="s">
        <v>241</v>
      </c>
      <c r="L783" s="11" t="s">
        <v>234</v>
      </c>
      <c r="M783" s="11"/>
      <c r="N783" s="11"/>
      <c r="O783" s="11"/>
      <c r="P783" s="125"/>
      <c r="Q783" s="125"/>
      <c r="R783" s="11"/>
      <c r="S783" s="11" t="s">
        <v>1181</v>
      </c>
      <c r="T783" s="157"/>
    </row>
    <row r="784" spans="1:20" ht="12.6" customHeight="1" x14ac:dyDescent="0.2">
      <c r="A784" s="33" t="s">
        <v>879</v>
      </c>
      <c r="B784" s="7">
        <f t="shared" si="119"/>
        <v>62283</v>
      </c>
      <c r="C784" s="7">
        <f t="shared" si="116"/>
        <v>62284</v>
      </c>
      <c r="D784" s="9" t="s">
        <v>895</v>
      </c>
      <c r="E784" s="8" t="s">
        <v>2267</v>
      </c>
      <c r="F784" s="7">
        <v>32</v>
      </c>
      <c r="G784" s="230">
        <f t="shared" si="115"/>
        <v>6.25E-2</v>
      </c>
      <c r="H784" s="7"/>
      <c r="I784" s="9">
        <f t="shared" si="117"/>
        <v>4</v>
      </c>
      <c r="J784" s="9">
        <f t="shared" si="118"/>
        <v>2</v>
      </c>
      <c r="K784" s="1" t="s">
        <v>241</v>
      </c>
      <c r="L784" s="11" t="s">
        <v>234</v>
      </c>
      <c r="M784" s="11"/>
      <c r="N784" s="11"/>
      <c r="O784" s="11"/>
      <c r="P784" s="125"/>
      <c r="Q784" s="125"/>
      <c r="R784" s="11"/>
      <c r="S784" s="11" t="s">
        <v>1181</v>
      </c>
      <c r="T784" s="157"/>
    </row>
    <row r="785" spans="1:20" ht="12.6" customHeight="1" x14ac:dyDescent="0.2">
      <c r="A785" s="33" t="s">
        <v>879</v>
      </c>
      <c r="B785" s="7">
        <f t="shared" si="119"/>
        <v>62285</v>
      </c>
      <c r="C785" s="7">
        <f t="shared" si="116"/>
        <v>62286</v>
      </c>
      <c r="D785" s="9" t="s">
        <v>895</v>
      </c>
      <c r="E785" s="8" t="s">
        <v>2282</v>
      </c>
      <c r="F785" s="7">
        <v>32</v>
      </c>
      <c r="G785" s="230">
        <f t="shared" si="115"/>
        <v>6.25E-2</v>
      </c>
      <c r="H785" s="7"/>
      <c r="I785" s="9">
        <f t="shared" si="117"/>
        <v>4</v>
      </c>
      <c r="J785" s="9">
        <f t="shared" si="118"/>
        <v>2</v>
      </c>
      <c r="K785" s="1" t="s">
        <v>241</v>
      </c>
      <c r="L785" s="11" t="s">
        <v>234</v>
      </c>
      <c r="M785" s="11"/>
      <c r="N785" s="11"/>
      <c r="O785" s="11"/>
      <c r="P785" s="125"/>
      <c r="Q785" s="125"/>
      <c r="R785" s="11"/>
      <c r="S785" s="11" t="s">
        <v>1181</v>
      </c>
      <c r="T785" s="157"/>
    </row>
    <row r="786" spans="1:20" ht="12.6" customHeight="1" x14ac:dyDescent="0.2">
      <c r="A786" s="33" t="s">
        <v>879</v>
      </c>
      <c r="B786" s="7">
        <f t="shared" si="119"/>
        <v>62287</v>
      </c>
      <c r="C786" s="7">
        <f t="shared" si="116"/>
        <v>62288</v>
      </c>
      <c r="D786" s="9" t="s">
        <v>895</v>
      </c>
      <c r="E786" s="8" t="s">
        <v>2297</v>
      </c>
      <c r="F786" s="7">
        <v>32</v>
      </c>
      <c r="G786" s="230">
        <f t="shared" si="115"/>
        <v>6.25E-2</v>
      </c>
      <c r="H786" s="7"/>
      <c r="I786" s="9">
        <f t="shared" si="117"/>
        <v>4</v>
      </c>
      <c r="J786" s="9">
        <f t="shared" si="118"/>
        <v>2</v>
      </c>
      <c r="K786" s="1" t="s">
        <v>241</v>
      </c>
      <c r="L786" s="11" t="s">
        <v>234</v>
      </c>
      <c r="M786" s="11"/>
      <c r="N786" s="11"/>
      <c r="O786" s="11"/>
      <c r="P786" s="125"/>
      <c r="Q786" s="125"/>
      <c r="R786" s="11"/>
      <c r="S786" s="11" t="s">
        <v>1181</v>
      </c>
      <c r="T786" s="157"/>
    </row>
    <row r="787" spans="1:20" ht="12.6" customHeight="1" x14ac:dyDescent="0.2">
      <c r="A787" s="33" t="s">
        <v>879</v>
      </c>
      <c r="B787" s="7">
        <f t="shared" si="119"/>
        <v>62289</v>
      </c>
      <c r="C787" s="7">
        <f t="shared" si="116"/>
        <v>62290</v>
      </c>
      <c r="D787" s="9" t="s">
        <v>895</v>
      </c>
      <c r="E787" s="8" t="s">
        <v>2312</v>
      </c>
      <c r="F787" s="7">
        <v>32</v>
      </c>
      <c r="G787" s="230">
        <f t="shared" si="115"/>
        <v>6.25E-2</v>
      </c>
      <c r="H787" s="7"/>
      <c r="I787" s="9">
        <f t="shared" si="117"/>
        <v>4</v>
      </c>
      <c r="J787" s="9">
        <f t="shared" si="118"/>
        <v>2</v>
      </c>
      <c r="K787" s="1" t="s">
        <v>241</v>
      </c>
      <c r="L787" s="11" t="s">
        <v>234</v>
      </c>
      <c r="M787" s="11"/>
      <c r="N787" s="11"/>
      <c r="O787" s="11"/>
      <c r="P787" s="125"/>
      <c r="Q787" s="125"/>
      <c r="R787" s="11"/>
      <c r="S787" s="11" t="s">
        <v>1181</v>
      </c>
      <c r="T787" s="157"/>
    </row>
    <row r="788" spans="1:20" ht="12.6" customHeight="1" x14ac:dyDescent="0.2">
      <c r="A788" s="33" t="s">
        <v>879</v>
      </c>
      <c r="B788" s="7">
        <f t="shared" si="119"/>
        <v>62291</v>
      </c>
      <c r="C788" s="7">
        <f t="shared" si="116"/>
        <v>62292</v>
      </c>
      <c r="D788" s="9" t="s">
        <v>895</v>
      </c>
      <c r="E788" s="8" t="s">
        <v>2327</v>
      </c>
      <c r="F788" s="7">
        <v>32</v>
      </c>
      <c r="G788" s="230">
        <f t="shared" si="115"/>
        <v>6.25E-2</v>
      </c>
      <c r="H788" s="7"/>
      <c r="I788" s="9">
        <f t="shared" si="117"/>
        <v>4</v>
      </c>
      <c r="J788" s="9">
        <f t="shared" si="118"/>
        <v>2</v>
      </c>
      <c r="K788" s="1" t="s">
        <v>241</v>
      </c>
      <c r="L788" s="11" t="s">
        <v>234</v>
      </c>
      <c r="M788" s="11"/>
      <c r="N788" s="11"/>
      <c r="O788" s="11"/>
      <c r="P788" s="125"/>
      <c r="Q788" s="125"/>
      <c r="R788" s="11"/>
      <c r="S788" s="11" t="s">
        <v>1181</v>
      </c>
      <c r="T788" s="157"/>
    </row>
    <row r="789" spans="1:20" x14ac:dyDescent="0.2">
      <c r="A789" s="33" t="s">
        <v>879</v>
      </c>
      <c r="B789" s="7">
        <f t="shared" si="119"/>
        <v>62293</v>
      </c>
      <c r="C789" s="7">
        <f t="shared" si="116"/>
        <v>62294</v>
      </c>
      <c r="D789" s="9" t="s">
        <v>895</v>
      </c>
      <c r="E789" s="8" t="s">
        <v>2342</v>
      </c>
      <c r="F789" s="7">
        <v>32</v>
      </c>
      <c r="G789" s="230">
        <f t="shared" si="115"/>
        <v>6.25E-2</v>
      </c>
      <c r="H789" s="7"/>
      <c r="I789" s="9">
        <f t="shared" si="117"/>
        <v>4</v>
      </c>
      <c r="J789" s="9">
        <f t="shared" si="118"/>
        <v>2</v>
      </c>
      <c r="K789" s="1" t="s">
        <v>241</v>
      </c>
      <c r="L789" s="11" t="s">
        <v>234</v>
      </c>
      <c r="M789" s="11"/>
      <c r="N789" s="11"/>
      <c r="O789" s="11"/>
      <c r="R789" s="11"/>
      <c r="S789" s="11" t="s">
        <v>1181</v>
      </c>
      <c r="T789" s="157"/>
    </row>
    <row r="790" spans="1:20" x14ac:dyDescent="0.2">
      <c r="A790" s="33"/>
      <c r="B790" s="47">
        <f>B791</f>
        <v>62295</v>
      </c>
      <c r="C790" s="26"/>
      <c r="D790" s="28"/>
      <c r="E790" s="26" t="s">
        <v>194</v>
      </c>
      <c r="F790" s="171"/>
      <c r="G790" s="171"/>
      <c r="H790" s="171"/>
      <c r="I790" s="177"/>
      <c r="J790" s="177"/>
      <c r="K790" s="184"/>
      <c r="L790" s="185"/>
      <c r="M790" s="185"/>
      <c r="N790" s="185"/>
      <c r="O790" s="185"/>
      <c r="P790" s="182"/>
      <c r="Q790" s="182"/>
      <c r="R790" s="186"/>
      <c r="S790" s="186"/>
      <c r="T790" s="187"/>
    </row>
    <row r="791" spans="1:20" x14ac:dyDescent="0.2">
      <c r="A791" s="33" t="s">
        <v>879</v>
      </c>
      <c r="B791" s="7">
        <f>C789+1</f>
        <v>62295</v>
      </c>
      <c r="C791" s="7">
        <f t="shared" ref="C791:C806" si="120">B791+($F791*$G791)-1</f>
        <v>62296</v>
      </c>
      <c r="D791" s="9" t="s">
        <v>895</v>
      </c>
      <c r="E791" s="8" t="s">
        <v>2007</v>
      </c>
      <c r="F791" s="7">
        <v>32</v>
      </c>
      <c r="G791" s="230">
        <f t="shared" si="115"/>
        <v>6.25E-2</v>
      </c>
      <c r="H791" s="7"/>
      <c r="I791" s="9">
        <f t="shared" ref="I791:I806" si="121">F791*2*G791</f>
        <v>4</v>
      </c>
      <c r="J791" s="9">
        <f t="shared" ref="J791:J806" si="122">C791-B791+1</f>
        <v>2</v>
      </c>
      <c r="K791" s="1" t="s">
        <v>884</v>
      </c>
      <c r="L791" s="11" t="s">
        <v>234</v>
      </c>
      <c r="M791" s="11"/>
      <c r="N791" s="11"/>
      <c r="O791" s="11"/>
      <c r="P791" s="125"/>
      <c r="Q791" s="125"/>
      <c r="R791" s="11"/>
      <c r="S791" s="11" t="s">
        <v>1181</v>
      </c>
      <c r="T791" s="157"/>
    </row>
    <row r="792" spans="1:20" x14ac:dyDescent="0.2">
      <c r="A792" s="33" t="s">
        <v>879</v>
      </c>
      <c r="B792" s="7">
        <f t="shared" ref="B792:B806" si="123">C791+1</f>
        <v>62297</v>
      </c>
      <c r="C792" s="7">
        <f t="shared" si="120"/>
        <v>62298</v>
      </c>
      <c r="D792" s="9" t="s">
        <v>895</v>
      </c>
      <c r="E792" s="8" t="s">
        <v>2024</v>
      </c>
      <c r="F792" s="7">
        <v>32</v>
      </c>
      <c r="G792" s="230">
        <f t="shared" si="115"/>
        <v>6.25E-2</v>
      </c>
      <c r="H792" s="7"/>
      <c r="I792" s="9">
        <f t="shared" si="121"/>
        <v>4</v>
      </c>
      <c r="J792" s="9">
        <f t="shared" si="122"/>
        <v>2</v>
      </c>
      <c r="K792" s="1" t="s">
        <v>884</v>
      </c>
      <c r="L792" s="11" t="s">
        <v>234</v>
      </c>
      <c r="M792" s="11"/>
      <c r="N792" s="11"/>
      <c r="O792" s="11"/>
      <c r="P792" s="125"/>
      <c r="Q792" s="125"/>
      <c r="R792" s="11"/>
      <c r="S792" s="11" t="s">
        <v>1181</v>
      </c>
      <c r="T792" s="157"/>
    </row>
    <row r="793" spans="1:20" x14ac:dyDescent="0.2">
      <c r="A793" s="33" t="s">
        <v>879</v>
      </c>
      <c r="B793" s="7">
        <f t="shared" si="123"/>
        <v>62299</v>
      </c>
      <c r="C793" s="7">
        <f t="shared" si="120"/>
        <v>62300</v>
      </c>
      <c r="D793" s="9" t="s">
        <v>895</v>
      </c>
      <c r="E793" s="8" t="s">
        <v>2042</v>
      </c>
      <c r="F793" s="7">
        <v>32</v>
      </c>
      <c r="G793" s="230">
        <f t="shared" si="115"/>
        <v>6.25E-2</v>
      </c>
      <c r="H793" s="7"/>
      <c r="I793" s="9">
        <f t="shared" si="121"/>
        <v>4</v>
      </c>
      <c r="J793" s="9">
        <f t="shared" si="122"/>
        <v>2</v>
      </c>
      <c r="K793" s="1" t="s">
        <v>884</v>
      </c>
      <c r="L793" s="11" t="s">
        <v>234</v>
      </c>
      <c r="M793" s="11"/>
      <c r="N793" s="11"/>
      <c r="O793" s="11"/>
      <c r="P793" s="125"/>
      <c r="Q793" s="125"/>
      <c r="R793" s="11"/>
      <c r="S793" s="11" t="s">
        <v>1181</v>
      </c>
      <c r="T793" s="157"/>
    </row>
    <row r="794" spans="1:20" x14ac:dyDescent="0.2">
      <c r="A794" s="33" t="s">
        <v>879</v>
      </c>
      <c r="B794" s="7">
        <f t="shared" si="123"/>
        <v>62301</v>
      </c>
      <c r="C794" s="7">
        <f t="shared" si="120"/>
        <v>62302</v>
      </c>
      <c r="D794" s="9" t="s">
        <v>895</v>
      </c>
      <c r="E794" s="8" t="s">
        <v>2059</v>
      </c>
      <c r="F794" s="7">
        <v>32</v>
      </c>
      <c r="G794" s="230">
        <f t="shared" si="115"/>
        <v>6.25E-2</v>
      </c>
      <c r="H794" s="7"/>
      <c r="I794" s="9">
        <f t="shared" si="121"/>
        <v>4</v>
      </c>
      <c r="J794" s="9">
        <f t="shared" si="122"/>
        <v>2</v>
      </c>
      <c r="K794" s="1" t="s">
        <v>884</v>
      </c>
      <c r="L794" s="11" t="s">
        <v>234</v>
      </c>
      <c r="M794" s="11"/>
      <c r="N794" s="11"/>
      <c r="O794" s="11"/>
      <c r="P794" s="125"/>
      <c r="Q794" s="125"/>
      <c r="R794" s="11"/>
      <c r="S794" s="11" t="s">
        <v>1181</v>
      </c>
      <c r="T794" s="157"/>
    </row>
    <row r="795" spans="1:20" x14ac:dyDescent="0.2">
      <c r="A795" s="33" t="s">
        <v>879</v>
      </c>
      <c r="B795" s="7">
        <f t="shared" si="123"/>
        <v>62303</v>
      </c>
      <c r="C795" s="7">
        <f t="shared" si="120"/>
        <v>62304</v>
      </c>
      <c r="D795" s="9" t="s">
        <v>895</v>
      </c>
      <c r="E795" s="8" t="s">
        <v>2076</v>
      </c>
      <c r="F795" s="7">
        <v>32</v>
      </c>
      <c r="G795" s="230">
        <f t="shared" si="115"/>
        <v>6.25E-2</v>
      </c>
      <c r="H795" s="7"/>
      <c r="I795" s="9">
        <f t="shared" si="121"/>
        <v>4</v>
      </c>
      <c r="J795" s="9">
        <f t="shared" si="122"/>
        <v>2</v>
      </c>
      <c r="K795" s="1" t="s">
        <v>884</v>
      </c>
      <c r="L795" s="11" t="s">
        <v>234</v>
      </c>
      <c r="M795" s="11"/>
      <c r="N795" s="11"/>
      <c r="O795" s="11"/>
      <c r="P795" s="125"/>
      <c r="Q795" s="125"/>
      <c r="R795" s="11"/>
      <c r="S795" s="11" t="s">
        <v>1181</v>
      </c>
      <c r="T795" s="157"/>
    </row>
    <row r="796" spans="1:20" x14ac:dyDescent="0.2">
      <c r="A796" s="33" t="s">
        <v>879</v>
      </c>
      <c r="B796" s="7">
        <f t="shared" si="123"/>
        <v>62305</v>
      </c>
      <c r="C796" s="7">
        <f t="shared" si="120"/>
        <v>62306</v>
      </c>
      <c r="D796" s="9" t="s">
        <v>895</v>
      </c>
      <c r="E796" s="8" t="s">
        <v>2093</v>
      </c>
      <c r="F796" s="7">
        <v>32</v>
      </c>
      <c r="G796" s="230">
        <f t="shared" si="115"/>
        <v>6.25E-2</v>
      </c>
      <c r="H796" s="7"/>
      <c r="I796" s="9">
        <f t="shared" si="121"/>
        <v>4</v>
      </c>
      <c r="J796" s="9">
        <f t="shared" si="122"/>
        <v>2</v>
      </c>
      <c r="K796" s="1" t="s">
        <v>884</v>
      </c>
      <c r="L796" s="11" t="s">
        <v>234</v>
      </c>
      <c r="M796" s="11"/>
      <c r="N796" s="11"/>
      <c r="O796" s="11"/>
      <c r="P796" s="125"/>
      <c r="Q796" s="125"/>
      <c r="R796" s="11"/>
      <c r="S796" s="11" t="s">
        <v>1181</v>
      </c>
      <c r="T796" s="157"/>
    </row>
    <row r="797" spans="1:20" ht="11.25" customHeight="1" x14ac:dyDescent="0.2">
      <c r="A797" s="33" t="s">
        <v>879</v>
      </c>
      <c r="B797" s="7">
        <f t="shared" si="123"/>
        <v>62307</v>
      </c>
      <c r="C797" s="7">
        <f t="shared" si="120"/>
        <v>62308</v>
      </c>
      <c r="D797" s="9" t="s">
        <v>895</v>
      </c>
      <c r="E797" s="8" t="s">
        <v>2118</v>
      </c>
      <c r="F797" s="7">
        <v>32</v>
      </c>
      <c r="G797" s="230">
        <f t="shared" si="115"/>
        <v>6.25E-2</v>
      </c>
      <c r="H797" s="7"/>
      <c r="I797" s="9">
        <f t="shared" si="121"/>
        <v>4</v>
      </c>
      <c r="J797" s="9">
        <f t="shared" si="122"/>
        <v>2</v>
      </c>
      <c r="K797" s="1" t="s">
        <v>884</v>
      </c>
      <c r="L797" s="11" t="s">
        <v>234</v>
      </c>
      <c r="M797" s="11"/>
      <c r="N797" s="11"/>
      <c r="O797" s="11"/>
      <c r="P797" s="125"/>
      <c r="Q797" s="125"/>
      <c r="R797" s="11"/>
      <c r="S797" s="11" t="s">
        <v>1181</v>
      </c>
      <c r="T797" s="157"/>
    </row>
    <row r="798" spans="1:20" x14ac:dyDescent="0.2">
      <c r="A798" s="33" t="s">
        <v>879</v>
      </c>
      <c r="B798" s="7">
        <f t="shared" si="123"/>
        <v>62309</v>
      </c>
      <c r="C798" s="7">
        <f t="shared" si="120"/>
        <v>62310</v>
      </c>
      <c r="D798" s="9" t="s">
        <v>895</v>
      </c>
      <c r="E798" s="8" t="s">
        <v>2143</v>
      </c>
      <c r="F798" s="7">
        <v>32</v>
      </c>
      <c r="G798" s="230">
        <f t="shared" si="115"/>
        <v>6.25E-2</v>
      </c>
      <c r="H798" s="7"/>
      <c r="I798" s="9">
        <f t="shared" si="121"/>
        <v>4</v>
      </c>
      <c r="J798" s="9">
        <f t="shared" si="122"/>
        <v>2</v>
      </c>
      <c r="K798" s="1" t="s">
        <v>884</v>
      </c>
      <c r="L798" s="11" t="s">
        <v>234</v>
      </c>
      <c r="M798" s="11"/>
      <c r="N798" s="11"/>
      <c r="O798" s="11"/>
      <c r="P798" s="125"/>
      <c r="Q798" s="125"/>
      <c r="R798" s="11"/>
      <c r="S798" s="11" t="s">
        <v>1181</v>
      </c>
      <c r="T798" s="157"/>
    </row>
    <row r="799" spans="1:20" x14ac:dyDescent="0.2">
      <c r="A799" s="33" t="s">
        <v>879</v>
      </c>
      <c r="B799" s="7">
        <f t="shared" si="123"/>
        <v>62311</v>
      </c>
      <c r="C799" s="7">
        <f t="shared" si="120"/>
        <v>62312</v>
      </c>
      <c r="D799" s="9" t="s">
        <v>895</v>
      </c>
      <c r="E799" s="8" t="s">
        <v>2168</v>
      </c>
      <c r="F799" s="7">
        <v>32</v>
      </c>
      <c r="G799" s="230">
        <f t="shared" si="115"/>
        <v>6.25E-2</v>
      </c>
      <c r="H799" s="7"/>
      <c r="I799" s="9">
        <f t="shared" si="121"/>
        <v>4</v>
      </c>
      <c r="J799" s="9">
        <f t="shared" si="122"/>
        <v>2</v>
      </c>
      <c r="K799" s="1" t="s">
        <v>884</v>
      </c>
      <c r="L799" s="11" t="s">
        <v>234</v>
      </c>
      <c r="M799" s="11"/>
      <c r="N799" s="11"/>
      <c r="O799" s="11"/>
      <c r="P799" s="125"/>
      <c r="Q799" s="125"/>
      <c r="R799" s="11"/>
      <c r="S799" s="11" t="s">
        <v>1181</v>
      </c>
      <c r="T799" s="157"/>
    </row>
    <row r="800" spans="1:20" x14ac:dyDescent="0.2">
      <c r="A800" s="33" t="s">
        <v>879</v>
      </c>
      <c r="B800" s="7">
        <f t="shared" si="123"/>
        <v>62313</v>
      </c>
      <c r="C800" s="7">
        <f t="shared" si="120"/>
        <v>62314</v>
      </c>
      <c r="D800" s="9" t="s">
        <v>895</v>
      </c>
      <c r="E800" s="8" t="s">
        <v>2193</v>
      </c>
      <c r="F800" s="7">
        <v>32</v>
      </c>
      <c r="G800" s="230">
        <f t="shared" si="115"/>
        <v>6.25E-2</v>
      </c>
      <c r="H800" s="7"/>
      <c r="I800" s="9">
        <f t="shared" si="121"/>
        <v>4</v>
      </c>
      <c r="J800" s="9">
        <f t="shared" si="122"/>
        <v>2</v>
      </c>
      <c r="K800" s="1" t="s">
        <v>884</v>
      </c>
      <c r="L800" s="11" t="s">
        <v>234</v>
      </c>
      <c r="M800" s="11"/>
      <c r="N800" s="11"/>
      <c r="O800" s="11"/>
      <c r="P800" s="125"/>
      <c r="Q800" s="125"/>
      <c r="R800" s="11"/>
      <c r="S800" s="11" t="s">
        <v>1181</v>
      </c>
      <c r="T800" s="157"/>
    </row>
    <row r="801" spans="1:20" x14ac:dyDescent="0.2">
      <c r="A801" s="33" t="s">
        <v>879</v>
      </c>
      <c r="B801" s="7">
        <f t="shared" si="123"/>
        <v>62315</v>
      </c>
      <c r="C801" s="7">
        <f t="shared" si="120"/>
        <v>62316</v>
      </c>
      <c r="D801" s="9" t="s">
        <v>895</v>
      </c>
      <c r="E801" s="8" t="s">
        <v>2268</v>
      </c>
      <c r="F801" s="7">
        <v>32</v>
      </c>
      <c r="G801" s="230">
        <f t="shared" si="115"/>
        <v>6.25E-2</v>
      </c>
      <c r="H801" s="7"/>
      <c r="I801" s="9">
        <f t="shared" si="121"/>
        <v>4</v>
      </c>
      <c r="J801" s="9">
        <f t="shared" si="122"/>
        <v>2</v>
      </c>
      <c r="K801" s="1" t="s">
        <v>884</v>
      </c>
      <c r="L801" s="11" t="s">
        <v>234</v>
      </c>
      <c r="M801" s="11"/>
      <c r="N801" s="11"/>
      <c r="O801" s="11"/>
      <c r="P801" s="125"/>
      <c r="Q801" s="125"/>
      <c r="R801" s="11"/>
      <c r="S801" s="11" t="s">
        <v>1181</v>
      </c>
      <c r="T801" s="157"/>
    </row>
    <row r="802" spans="1:20" x14ac:dyDescent="0.2">
      <c r="A802" s="33" t="s">
        <v>879</v>
      </c>
      <c r="B802" s="7">
        <f t="shared" si="123"/>
        <v>62317</v>
      </c>
      <c r="C802" s="7">
        <f t="shared" si="120"/>
        <v>62318</v>
      </c>
      <c r="D802" s="9" t="s">
        <v>895</v>
      </c>
      <c r="E802" s="8" t="s">
        <v>2283</v>
      </c>
      <c r="F802" s="7">
        <v>32</v>
      </c>
      <c r="G802" s="230">
        <f t="shared" si="115"/>
        <v>6.25E-2</v>
      </c>
      <c r="H802" s="7"/>
      <c r="I802" s="9">
        <f t="shared" si="121"/>
        <v>4</v>
      </c>
      <c r="J802" s="9">
        <f t="shared" si="122"/>
        <v>2</v>
      </c>
      <c r="K802" s="1" t="s">
        <v>884</v>
      </c>
      <c r="L802" s="11" t="s">
        <v>234</v>
      </c>
      <c r="M802" s="11"/>
      <c r="N802" s="11"/>
      <c r="O802" s="11"/>
      <c r="P802" s="125"/>
      <c r="Q802" s="125"/>
      <c r="R802" s="11"/>
      <c r="S802" s="11" t="s">
        <v>1181</v>
      </c>
      <c r="T802" s="157"/>
    </row>
    <row r="803" spans="1:20" x14ac:dyDescent="0.2">
      <c r="A803" s="33" t="s">
        <v>879</v>
      </c>
      <c r="B803" s="7">
        <f t="shared" si="123"/>
        <v>62319</v>
      </c>
      <c r="C803" s="7">
        <f t="shared" si="120"/>
        <v>62320</v>
      </c>
      <c r="D803" s="9" t="s">
        <v>895</v>
      </c>
      <c r="E803" s="8" t="s">
        <v>2298</v>
      </c>
      <c r="F803" s="7">
        <v>32</v>
      </c>
      <c r="G803" s="230">
        <f t="shared" si="115"/>
        <v>6.25E-2</v>
      </c>
      <c r="H803" s="7"/>
      <c r="I803" s="9">
        <f t="shared" si="121"/>
        <v>4</v>
      </c>
      <c r="J803" s="9">
        <f t="shared" si="122"/>
        <v>2</v>
      </c>
      <c r="K803" s="1" t="s">
        <v>884</v>
      </c>
      <c r="L803" s="11" t="s">
        <v>234</v>
      </c>
      <c r="M803" s="11"/>
      <c r="N803" s="11"/>
      <c r="O803" s="11"/>
      <c r="P803" s="125"/>
      <c r="Q803" s="125"/>
      <c r="R803" s="11"/>
      <c r="S803" s="11" t="s">
        <v>1181</v>
      </c>
      <c r="T803" s="157"/>
    </row>
    <row r="804" spans="1:20" x14ac:dyDescent="0.2">
      <c r="A804" s="33" t="s">
        <v>879</v>
      </c>
      <c r="B804" s="7">
        <f t="shared" si="123"/>
        <v>62321</v>
      </c>
      <c r="C804" s="7">
        <f t="shared" si="120"/>
        <v>62322</v>
      </c>
      <c r="D804" s="9" t="s">
        <v>895</v>
      </c>
      <c r="E804" s="8" t="s">
        <v>2313</v>
      </c>
      <c r="F804" s="7">
        <v>32</v>
      </c>
      <c r="G804" s="230">
        <f t="shared" si="115"/>
        <v>6.25E-2</v>
      </c>
      <c r="H804" s="7"/>
      <c r="I804" s="9">
        <f t="shared" si="121"/>
        <v>4</v>
      </c>
      <c r="J804" s="9">
        <f t="shared" si="122"/>
        <v>2</v>
      </c>
      <c r="K804" s="1" t="s">
        <v>884</v>
      </c>
      <c r="L804" s="11" t="s">
        <v>234</v>
      </c>
      <c r="M804" s="11"/>
      <c r="N804" s="11"/>
      <c r="O804" s="11"/>
      <c r="P804" s="125"/>
      <c r="Q804" s="125"/>
      <c r="R804" s="11"/>
      <c r="S804" s="11" t="s">
        <v>1181</v>
      </c>
      <c r="T804" s="157"/>
    </row>
    <row r="805" spans="1:20" x14ac:dyDescent="0.2">
      <c r="A805" s="33" t="s">
        <v>879</v>
      </c>
      <c r="B805" s="7">
        <f t="shared" si="123"/>
        <v>62323</v>
      </c>
      <c r="C805" s="7">
        <f t="shared" si="120"/>
        <v>62324</v>
      </c>
      <c r="D805" s="9" t="s">
        <v>895</v>
      </c>
      <c r="E805" s="8" t="s">
        <v>2328</v>
      </c>
      <c r="F805" s="7">
        <v>32</v>
      </c>
      <c r="G805" s="230">
        <f t="shared" si="115"/>
        <v>6.25E-2</v>
      </c>
      <c r="H805" s="7"/>
      <c r="I805" s="9">
        <f t="shared" si="121"/>
        <v>4</v>
      </c>
      <c r="J805" s="9">
        <f t="shared" si="122"/>
        <v>2</v>
      </c>
      <c r="K805" s="1" t="s">
        <v>884</v>
      </c>
      <c r="L805" s="11" t="s">
        <v>234</v>
      </c>
      <c r="M805" s="11"/>
      <c r="N805" s="11"/>
      <c r="O805" s="11"/>
      <c r="P805" s="125"/>
      <c r="Q805" s="125"/>
      <c r="R805" s="11"/>
      <c r="S805" s="11" t="s">
        <v>1181</v>
      </c>
      <c r="T805" s="157"/>
    </row>
    <row r="806" spans="1:20" x14ac:dyDescent="0.2">
      <c r="A806" s="33" t="s">
        <v>879</v>
      </c>
      <c r="B806" s="7">
        <f t="shared" si="123"/>
        <v>62325</v>
      </c>
      <c r="C806" s="7">
        <f t="shared" si="120"/>
        <v>62326</v>
      </c>
      <c r="D806" s="9" t="s">
        <v>895</v>
      </c>
      <c r="E806" s="8" t="s">
        <v>2343</v>
      </c>
      <c r="F806" s="7">
        <v>32</v>
      </c>
      <c r="G806" s="230">
        <f t="shared" si="115"/>
        <v>6.25E-2</v>
      </c>
      <c r="H806" s="7"/>
      <c r="I806" s="9">
        <f t="shared" si="121"/>
        <v>4</v>
      </c>
      <c r="J806" s="9">
        <f t="shared" si="122"/>
        <v>2</v>
      </c>
      <c r="K806" s="1" t="s">
        <v>884</v>
      </c>
      <c r="L806" s="11" t="s">
        <v>234</v>
      </c>
      <c r="M806" s="11"/>
      <c r="N806" s="11"/>
      <c r="O806" s="11"/>
      <c r="P806" s="121"/>
      <c r="Q806" s="121"/>
      <c r="R806" s="11"/>
      <c r="S806" s="11" t="s">
        <v>1181</v>
      </c>
      <c r="T806" s="157"/>
    </row>
    <row r="807" spans="1:20" x14ac:dyDescent="0.2">
      <c r="A807" s="33"/>
      <c r="B807" s="47">
        <f>B808</f>
        <v>62327</v>
      </c>
      <c r="C807" s="26"/>
      <c r="D807" s="28"/>
      <c r="E807" s="26" t="s">
        <v>194</v>
      </c>
      <c r="F807" s="171"/>
      <c r="G807" s="171"/>
      <c r="H807" s="171"/>
      <c r="I807" s="177"/>
      <c r="J807" s="177"/>
      <c r="K807" s="184"/>
      <c r="L807" s="185"/>
      <c r="M807" s="185"/>
      <c r="N807" s="185"/>
      <c r="O807" s="185"/>
      <c r="P807" s="182"/>
      <c r="Q807" s="182"/>
      <c r="R807" s="186"/>
      <c r="S807" s="186"/>
      <c r="T807" s="187"/>
    </row>
    <row r="808" spans="1:20" x14ac:dyDescent="0.2">
      <c r="A808" s="33" t="s">
        <v>879</v>
      </c>
      <c r="B808" s="330">
        <f>C806+1</f>
        <v>62327</v>
      </c>
      <c r="C808" s="330">
        <f t="shared" ref="C808:C823" si="124">B808+($F808*$G808)-1</f>
        <v>62328</v>
      </c>
      <c r="D808" s="333" t="s">
        <v>895</v>
      </c>
      <c r="E808" s="339" t="s">
        <v>2008</v>
      </c>
      <c r="F808" s="330">
        <v>32</v>
      </c>
      <c r="G808" s="346">
        <f t="shared" si="115"/>
        <v>6.25E-2</v>
      </c>
      <c r="H808" s="330"/>
      <c r="I808" s="333">
        <f t="shared" ref="I808:I823" si="125">F808*2*G808</f>
        <v>4</v>
      </c>
      <c r="J808" s="333">
        <f t="shared" ref="J808:J823" si="126">C808-B808+1</f>
        <v>2</v>
      </c>
      <c r="K808" s="334" t="s">
        <v>796</v>
      </c>
      <c r="L808" s="335" t="s">
        <v>234</v>
      </c>
      <c r="M808" s="335"/>
      <c r="N808" s="335"/>
      <c r="O808" s="11"/>
      <c r="P808" s="336"/>
      <c r="Q808" s="336"/>
      <c r="R808" s="11"/>
      <c r="S808" s="11" t="s">
        <v>1181</v>
      </c>
      <c r="T808" s="341"/>
    </row>
    <row r="809" spans="1:20" x14ac:dyDescent="0.2">
      <c r="A809" s="33" t="s">
        <v>879</v>
      </c>
      <c r="B809" s="330">
        <f t="shared" ref="B809:B823" si="127">C808+1</f>
        <v>62329</v>
      </c>
      <c r="C809" s="330">
        <f t="shared" si="124"/>
        <v>62330</v>
      </c>
      <c r="D809" s="333" t="s">
        <v>895</v>
      </c>
      <c r="E809" s="339" t="s">
        <v>2025</v>
      </c>
      <c r="F809" s="330">
        <v>32</v>
      </c>
      <c r="G809" s="346">
        <f t="shared" si="115"/>
        <v>6.25E-2</v>
      </c>
      <c r="H809" s="330"/>
      <c r="I809" s="333">
        <f t="shared" si="125"/>
        <v>4</v>
      </c>
      <c r="J809" s="333">
        <f t="shared" si="126"/>
        <v>2</v>
      </c>
      <c r="K809" s="334" t="s">
        <v>796</v>
      </c>
      <c r="L809" s="335" t="s">
        <v>234</v>
      </c>
      <c r="M809" s="335"/>
      <c r="N809" s="335"/>
      <c r="O809" s="11"/>
      <c r="P809" s="336"/>
      <c r="Q809" s="336"/>
      <c r="R809" s="11"/>
      <c r="S809" s="11" t="s">
        <v>1181</v>
      </c>
      <c r="T809" s="341"/>
    </row>
    <row r="810" spans="1:20" x14ac:dyDescent="0.2">
      <c r="A810" s="33" t="s">
        <v>879</v>
      </c>
      <c r="B810" s="330">
        <f t="shared" si="127"/>
        <v>62331</v>
      </c>
      <c r="C810" s="330">
        <f t="shared" si="124"/>
        <v>62332</v>
      </c>
      <c r="D810" s="333" t="s">
        <v>895</v>
      </c>
      <c r="E810" s="339" t="s">
        <v>2043</v>
      </c>
      <c r="F810" s="330">
        <v>32</v>
      </c>
      <c r="G810" s="346">
        <f t="shared" si="115"/>
        <v>6.25E-2</v>
      </c>
      <c r="H810" s="330"/>
      <c r="I810" s="333">
        <f t="shared" si="125"/>
        <v>4</v>
      </c>
      <c r="J810" s="333">
        <f t="shared" si="126"/>
        <v>2</v>
      </c>
      <c r="K810" s="334" t="s">
        <v>796</v>
      </c>
      <c r="L810" s="335" t="s">
        <v>234</v>
      </c>
      <c r="M810" s="335"/>
      <c r="N810" s="335"/>
      <c r="O810" s="11"/>
      <c r="P810" s="336"/>
      <c r="Q810" s="336"/>
      <c r="R810" s="11"/>
      <c r="S810" s="11" t="s">
        <v>1181</v>
      </c>
      <c r="T810" s="341"/>
    </row>
    <row r="811" spans="1:20" x14ac:dyDescent="0.2">
      <c r="A811" s="33" t="s">
        <v>879</v>
      </c>
      <c r="B811" s="330">
        <f t="shared" si="127"/>
        <v>62333</v>
      </c>
      <c r="C811" s="330">
        <f t="shared" si="124"/>
        <v>62334</v>
      </c>
      <c r="D811" s="333" t="s">
        <v>895</v>
      </c>
      <c r="E811" s="339" t="s">
        <v>2060</v>
      </c>
      <c r="F811" s="330">
        <v>32</v>
      </c>
      <c r="G811" s="346">
        <f t="shared" si="115"/>
        <v>6.25E-2</v>
      </c>
      <c r="H811" s="330"/>
      <c r="I811" s="333">
        <f t="shared" si="125"/>
        <v>4</v>
      </c>
      <c r="J811" s="333">
        <f t="shared" si="126"/>
        <v>2</v>
      </c>
      <c r="K811" s="334" t="s">
        <v>796</v>
      </c>
      <c r="L811" s="335" t="s">
        <v>234</v>
      </c>
      <c r="M811" s="335"/>
      <c r="N811" s="335"/>
      <c r="O811" s="11"/>
      <c r="P811" s="336"/>
      <c r="Q811" s="336"/>
      <c r="R811" s="11"/>
      <c r="S811" s="11" t="s">
        <v>1181</v>
      </c>
      <c r="T811" s="341"/>
    </row>
    <row r="812" spans="1:20" x14ac:dyDescent="0.2">
      <c r="A812" s="33" t="s">
        <v>879</v>
      </c>
      <c r="B812" s="330">
        <f t="shared" si="127"/>
        <v>62335</v>
      </c>
      <c r="C812" s="330">
        <f t="shared" si="124"/>
        <v>62336</v>
      </c>
      <c r="D812" s="333" t="s">
        <v>895</v>
      </c>
      <c r="E812" s="339" t="s">
        <v>2077</v>
      </c>
      <c r="F812" s="330">
        <v>32</v>
      </c>
      <c r="G812" s="346">
        <f t="shared" si="115"/>
        <v>6.25E-2</v>
      </c>
      <c r="H812" s="330"/>
      <c r="I812" s="333">
        <f t="shared" si="125"/>
        <v>4</v>
      </c>
      <c r="J812" s="333">
        <f t="shared" si="126"/>
        <v>2</v>
      </c>
      <c r="K812" s="334" t="s">
        <v>796</v>
      </c>
      <c r="L812" s="335" t="s">
        <v>234</v>
      </c>
      <c r="M812" s="335"/>
      <c r="N812" s="335"/>
      <c r="O812" s="11"/>
      <c r="P812" s="336"/>
      <c r="Q812" s="336"/>
      <c r="R812" s="11"/>
      <c r="S812" s="11" t="s">
        <v>1181</v>
      </c>
      <c r="T812" s="341"/>
    </row>
    <row r="813" spans="1:20" x14ac:dyDescent="0.2">
      <c r="A813" s="33" t="s">
        <v>879</v>
      </c>
      <c r="B813" s="330">
        <f t="shared" si="127"/>
        <v>62337</v>
      </c>
      <c r="C813" s="330">
        <f t="shared" si="124"/>
        <v>62338</v>
      </c>
      <c r="D813" s="333" t="s">
        <v>895</v>
      </c>
      <c r="E813" s="339" t="s">
        <v>2094</v>
      </c>
      <c r="F813" s="330">
        <v>32</v>
      </c>
      <c r="G813" s="346">
        <f t="shared" si="115"/>
        <v>6.25E-2</v>
      </c>
      <c r="H813" s="330"/>
      <c r="I813" s="333">
        <f t="shared" si="125"/>
        <v>4</v>
      </c>
      <c r="J813" s="333">
        <f t="shared" si="126"/>
        <v>2</v>
      </c>
      <c r="K813" s="334" t="s">
        <v>796</v>
      </c>
      <c r="L813" s="335" t="s">
        <v>234</v>
      </c>
      <c r="M813" s="335"/>
      <c r="N813" s="335"/>
      <c r="O813" s="11"/>
      <c r="P813" s="336"/>
      <c r="Q813" s="336"/>
      <c r="R813" s="11"/>
      <c r="S813" s="11" t="s">
        <v>1181</v>
      </c>
      <c r="T813" s="341"/>
    </row>
    <row r="814" spans="1:20" ht="11.25" customHeight="1" x14ac:dyDescent="0.2">
      <c r="A814" s="33" t="s">
        <v>879</v>
      </c>
      <c r="B814" s="330">
        <f t="shared" si="127"/>
        <v>62339</v>
      </c>
      <c r="C814" s="330">
        <f t="shared" si="124"/>
        <v>62340</v>
      </c>
      <c r="D814" s="333" t="s">
        <v>895</v>
      </c>
      <c r="E814" s="339" t="s">
        <v>2119</v>
      </c>
      <c r="F814" s="330">
        <v>32</v>
      </c>
      <c r="G814" s="346">
        <f t="shared" si="115"/>
        <v>6.25E-2</v>
      </c>
      <c r="H814" s="330"/>
      <c r="I814" s="333">
        <f t="shared" si="125"/>
        <v>4</v>
      </c>
      <c r="J814" s="333">
        <f t="shared" si="126"/>
        <v>2</v>
      </c>
      <c r="K814" s="334" t="s">
        <v>796</v>
      </c>
      <c r="L814" s="335" t="s">
        <v>234</v>
      </c>
      <c r="M814" s="335"/>
      <c r="N814" s="335"/>
      <c r="O814" s="11"/>
      <c r="P814" s="336"/>
      <c r="Q814" s="336"/>
      <c r="R814" s="11"/>
      <c r="S814" s="11" t="s">
        <v>1181</v>
      </c>
      <c r="T814" s="341"/>
    </row>
    <row r="815" spans="1:20" x14ac:dyDescent="0.2">
      <c r="A815" s="33" t="s">
        <v>879</v>
      </c>
      <c r="B815" s="330">
        <f t="shared" si="127"/>
        <v>62341</v>
      </c>
      <c r="C815" s="330">
        <f t="shared" si="124"/>
        <v>62342</v>
      </c>
      <c r="D815" s="333" t="s">
        <v>895</v>
      </c>
      <c r="E815" s="339" t="s">
        <v>2144</v>
      </c>
      <c r="F815" s="330">
        <v>32</v>
      </c>
      <c r="G815" s="346">
        <f t="shared" si="115"/>
        <v>6.25E-2</v>
      </c>
      <c r="H815" s="330"/>
      <c r="I815" s="333">
        <f t="shared" si="125"/>
        <v>4</v>
      </c>
      <c r="J815" s="333">
        <f t="shared" si="126"/>
        <v>2</v>
      </c>
      <c r="K815" s="334" t="s">
        <v>796</v>
      </c>
      <c r="L815" s="335" t="s">
        <v>234</v>
      </c>
      <c r="M815" s="335"/>
      <c r="N815" s="335"/>
      <c r="O815" s="11"/>
      <c r="P815" s="336"/>
      <c r="Q815" s="336"/>
      <c r="R815" s="11"/>
      <c r="S815" s="11" t="s">
        <v>1181</v>
      </c>
      <c r="T815" s="341"/>
    </row>
    <row r="816" spans="1:20" s="5" customFormat="1" x14ac:dyDescent="0.2">
      <c r="A816" s="33" t="s">
        <v>879</v>
      </c>
      <c r="B816" s="330">
        <f t="shared" si="127"/>
        <v>62343</v>
      </c>
      <c r="C816" s="330">
        <f t="shared" si="124"/>
        <v>62344</v>
      </c>
      <c r="D816" s="333" t="s">
        <v>895</v>
      </c>
      <c r="E816" s="339" t="s">
        <v>2169</v>
      </c>
      <c r="F816" s="330">
        <v>32</v>
      </c>
      <c r="G816" s="346">
        <f t="shared" si="115"/>
        <v>6.25E-2</v>
      </c>
      <c r="H816" s="330"/>
      <c r="I816" s="333">
        <f t="shared" si="125"/>
        <v>4</v>
      </c>
      <c r="J816" s="333">
        <f t="shared" si="126"/>
        <v>2</v>
      </c>
      <c r="K816" s="334" t="s">
        <v>796</v>
      </c>
      <c r="L816" s="335" t="s">
        <v>234</v>
      </c>
      <c r="M816" s="335"/>
      <c r="N816" s="335"/>
      <c r="O816" s="11"/>
      <c r="P816" s="336"/>
      <c r="Q816" s="336"/>
      <c r="R816" s="11"/>
      <c r="S816" s="11" t="s">
        <v>1181</v>
      </c>
      <c r="T816" s="341"/>
    </row>
    <row r="817" spans="1:53" x14ac:dyDescent="0.2">
      <c r="A817" s="33" t="s">
        <v>879</v>
      </c>
      <c r="B817" s="330">
        <f t="shared" si="127"/>
        <v>62345</v>
      </c>
      <c r="C817" s="330">
        <f t="shared" si="124"/>
        <v>62346</v>
      </c>
      <c r="D817" s="333" t="s">
        <v>895</v>
      </c>
      <c r="E817" s="339" t="s">
        <v>2194</v>
      </c>
      <c r="F817" s="330">
        <v>32</v>
      </c>
      <c r="G817" s="346">
        <f t="shared" si="115"/>
        <v>6.25E-2</v>
      </c>
      <c r="H817" s="330"/>
      <c r="I817" s="333">
        <f t="shared" si="125"/>
        <v>4</v>
      </c>
      <c r="J817" s="333">
        <f t="shared" si="126"/>
        <v>2</v>
      </c>
      <c r="K817" s="334" t="s">
        <v>796</v>
      </c>
      <c r="L817" s="335" t="s">
        <v>234</v>
      </c>
      <c r="M817" s="335"/>
      <c r="N817" s="335"/>
      <c r="O817" s="11"/>
      <c r="P817" s="336"/>
      <c r="Q817" s="336"/>
      <c r="R817" s="11"/>
      <c r="S817" s="11" t="s">
        <v>1181</v>
      </c>
      <c r="T817" s="341"/>
    </row>
    <row r="818" spans="1:53" x14ac:dyDescent="0.2">
      <c r="A818" s="33" t="s">
        <v>879</v>
      </c>
      <c r="B818" s="330">
        <f t="shared" si="127"/>
        <v>62347</v>
      </c>
      <c r="C818" s="330">
        <f t="shared" si="124"/>
        <v>62348</v>
      </c>
      <c r="D818" s="333" t="s">
        <v>895</v>
      </c>
      <c r="E818" s="339" t="s">
        <v>2269</v>
      </c>
      <c r="F818" s="330">
        <v>32</v>
      </c>
      <c r="G818" s="346">
        <f t="shared" si="115"/>
        <v>6.25E-2</v>
      </c>
      <c r="H818" s="330"/>
      <c r="I818" s="333">
        <f t="shared" si="125"/>
        <v>4</v>
      </c>
      <c r="J818" s="333">
        <f t="shared" si="126"/>
        <v>2</v>
      </c>
      <c r="K818" s="334" t="s">
        <v>796</v>
      </c>
      <c r="L818" s="335" t="s">
        <v>234</v>
      </c>
      <c r="M818" s="335"/>
      <c r="N818" s="335"/>
      <c r="O818" s="11"/>
      <c r="P818" s="336"/>
      <c r="Q818" s="336"/>
      <c r="R818" s="11"/>
      <c r="S818" s="11" t="s">
        <v>1181</v>
      </c>
      <c r="T818" s="341"/>
    </row>
    <row r="819" spans="1:53" x14ac:dyDescent="0.2">
      <c r="A819" s="33" t="s">
        <v>879</v>
      </c>
      <c r="B819" s="330">
        <f t="shared" si="127"/>
        <v>62349</v>
      </c>
      <c r="C819" s="330">
        <f t="shared" si="124"/>
        <v>62350</v>
      </c>
      <c r="D819" s="333" t="s">
        <v>895</v>
      </c>
      <c r="E819" s="339" t="s">
        <v>2284</v>
      </c>
      <c r="F819" s="330">
        <v>32</v>
      </c>
      <c r="G819" s="346">
        <f t="shared" si="115"/>
        <v>6.25E-2</v>
      </c>
      <c r="H819" s="330"/>
      <c r="I819" s="333">
        <f t="shared" si="125"/>
        <v>4</v>
      </c>
      <c r="J819" s="333">
        <f t="shared" si="126"/>
        <v>2</v>
      </c>
      <c r="K819" s="334" t="s">
        <v>796</v>
      </c>
      <c r="L819" s="335" t="s">
        <v>234</v>
      </c>
      <c r="M819" s="335"/>
      <c r="N819" s="335"/>
      <c r="O819" s="11"/>
      <c r="P819" s="336"/>
      <c r="Q819" s="336"/>
      <c r="R819" s="11"/>
      <c r="S819" s="11" t="s">
        <v>1181</v>
      </c>
      <c r="T819" s="341"/>
    </row>
    <row r="820" spans="1:53" x14ac:dyDescent="0.2">
      <c r="A820" s="33" t="s">
        <v>879</v>
      </c>
      <c r="B820" s="330">
        <f t="shared" si="127"/>
        <v>62351</v>
      </c>
      <c r="C820" s="330">
        <f t="shared" si="124"/>
        <v>62352</v>
      </c>
      <c r="D820" s="333" t="s">
        <v>895</v>
      </c>
      <c r="E820" s="339" t="s">
        <v>2299</v>
      </c>
      <c r="F820" s="330">
        <v>32</v>
      </c>
      <c r="G820" s="346">
        <f t="shared" si="115"/>
        <v>6.25E-2</v>
      </c>
      <c r="H820" s="330"/>
      <c r="I820" s="333">
        <f t="shared" si="125"/>
        <v>4</v>
      </c>
      <c r="J820" s="333">
        <f t="shared" si="126"/>
        <v>2</v>
      </c>
      <c r="K820" s="334" t="s">
        <v>796</v>
      </c>
      <c r="L820" s="335" t="s">
        <v>234</v>
      </c>
      <c r="M820" s="335"/>
      <c r="N820" s="335"/>
      <c r="O820" s="11"/>
      <c r="P820" s="336"/>
      <c r="Q820" s="336"/>
      <c r="R820" s="11"/>
      <c r="S820" s="11" t="s">
        <v>1181</v>
      </c>
      <c r="T820" s="341"/>
    </row>
    <row r="821" spans="1:53" x14ac:dyDescent="0.2">
      <c r="A821" s="33" t="s">
        <v>879</v>
      </c>
      <c r="B821" s="330">
        <f t="shared" si="127"/>
        <v>62353</v>
      </c>
      <c r="C821" s="330">
        <f t="shared" si="124"/>
        <v>62354</v>
      </c>
      <c r="D821" s="333" t="s">
        <v>895</v>
      </c>
      <c r="E821" s="339" t="s">
        <v>2314</v>
      </c>
      <c r="F821" s="330">
        <v>32</v>
      </c>
      <c r="G821" s="346">
        <f t="shared" si="115"/>
        <v>6.25E-2</v>
      </c>
      <c r="H821" s="330"/>
      <c r="I821" s="333">
        <f t="shared" si="125"/>
        <v>4</v>
      </c>
      <c r="J821" s="333">
        <f t="shared" si="126"/>
        <v>2</v>
      </c>
      <c r="K821" s="334" t="s">
        <v>796</v>
      </c>
      <c r="L821" s="335" t="s">
        <v>234</v>
      </c>
      <c r="M821" s="335"/>
      <c r="N821" s="335"/>
      <c r="O821" s="11"/>
      <c r="P821" s="336"/>
      <c r="Q821" s="336"/>
      <c r="R821" s="11"/>
      <c r="S821" s="11" t="s">
        <v>1181</v>
      </c>
      <c r="T821" s="341"/>
    </row>
    <row r="822" spans="1:53" x14ac:dyDescent="0.2">
      <c r="A822" s="33" t="s">
        <v>879</v>
      </c>
      <c r="B822" s="330">
        <f t="shared" si="127"/>
        <v>62355</v>
      </c>
      <c r="C822" s="330">
        <f t="shared" si="124"/>
        <v>62356</v>
      </c>
      <c r="D822" s="333" t="s">
        <v>895</v>
      </c>
      <c r="E822" s="339" t="s">
        <v>2329</v>
      </c>
      <c r="F822" s="330">
        <v>32</v>
      </c>
      <c r="G822" s="346">
        <f t="shared" si="115"/>
        <v>6.25E-2</v>
      </c>
      <c r="H822" s="330"/>
      <c r="I822" s="333">
        <f t="shared" si="125"/>
        <v>4</v>
      </c>
      <c r="J822" s="333">
        <f t="shared" si="126"/>
        <v>2</v>
      </c>
      <c r="K822" s="334" t="s">
        <v>796</v>
      </c>
      <c r="L822" s="335" t="s">
        <v>234</v>
      </c>
      <c r="M822" s="335"/>
      <c r="N822" s="335"/>
      <c r="O822" s="11"/>
      <c r="P822" s="336"/>
      <c r="Q822" s="336"/>
      <c r="R822" s="11"/>
      <c r="S822" s="11" t="s">
        <v>1181</v>
      </c>
      <c r="T822" s="341"/>
    </row>
    <row r="823" spans="1:53" x14ac:dyDescent="0.2">
      <c r="A823" s="33" t="s">
        <v>879</v>
      </c>
      <c r="B823" s="330">
        <f t="shared" si="127"/>
        <v>62357</v>
      </c>
      <c r="C823" s="330">
        <f t="shared" si="124"/>
        <v>62358</v>
      </c>
      <c r="D823" s="333" t="s">
        <v>895</v>
      </c>
      <c r="E823" s="339" t="s">
        <v>2344</v>
      </c>
      <c r="F823" s="330">
        <v>32</v>
      </c>
      <c r="G823" s="346">
        <f t="shared" si="115"/>
        <v>6.25E-2</v>
      </c>
      <c r="H823" s="330"/>
      <c r="I823" s="333">
        <f t="shared" si="125"/>
        <v>4</v>
      </c>
      <c r="J823" s="333">
        <f t="shared" si="126"/>
        <v>2</v>
      </c>
      <c r="K823" s="334" t="s">
        <v>796</v>
      </c>
      <c r="L823" s="335" t="s">
        <v>234</v>
      </c>
      <c r="M823" s="335"/>
      <c r="N823" s="335"/>
      <c r="O823" s="11"/>
      <c r="P823" s="340"/>
      <c r="Q823" s="340"/>
      <c r="R823" s="11"/>
      <c r="S823" s="11" t="s">
        <v>1181</v>
      </c>
      <c r="T823" s="341"/>
    </row>
    <row r="824" spans="1:53" x14ac:dyDescent="0.2">
      <c r="A824" s="33"/>
      <c r="B824" s="47">
        <f>B825</f>
        <v>62359</v>
      </c>
      <c r="C824" s="26"/>
      <c r="D824" s="28"/>
      <c r="E824" s="26" t="s">
        <v>194</v>
      </c>
      <c r="F824" s="171"/>
      <c r="G824" s="171"/>
      <c r="H824" s="171"/>
      <c r="I824" s="177"/>
      <c r="J824" s="177"/>
      <c r="K824" s="184"/>
      <c r="L824" s="185"/>
      <c r="M824" s="185"/>
      <c r="N824" s="185"/>
      <c r="O824" s="185"/>
      <c r="P824" s="182"/>
      <c r="Q824" s="182"/>
      <c r="R824" s="186"/>
      <c r="S824" s="186"/>
      <c r="T824" s="187"/>
    </row>
    <row r="825" spans="1:53" x14ac:dyDescent="0.2">
      <c r="A825" s="33" t="s">
        <v>879</v>
      </c>
      <c r="B825" s="330">
        <f>C823+1</f>
        <v>62359</v>
      </c>
      <c r="C825" s="330">
        <f t="shared" ref="C825:C840" si="128">B825+($F825*$G825)-1</f>
        <v>62360</v>
      </c>
      <c r="D825" s="333" t="s">
        <v>895</v>
      </c>
      <c r="E825" s="339" t="s">
        <v>2009</v>
      </c>
      <c r="F825" s="330">
        <v>32</v>
      </c>
      <c r="G825" s="346">
        <f t="shared" si="115"/>
        <v>6.25E-2</v>
      </c>
      <c r="H825" s="330"/>
      <c r="I825" s="333">
        <f t="shared" ref="I825:I840" si="129">F825*2*G825</f>
        <v>4</v>
      </c>
      <c r="J825" s="333">
        <f t="shared" ref="J825:J840" si="130">C825-B825+1</f>
        <v>2</v>
      </c>
      <c r="K825" s="334" t="s">
        <v>796</v>
      </c>
      <c r="L825" s="335" t="s">
        <v>234</v>
      </c>
      <c r="M825" s="335"/>
      <c r="N825" s="335"/>
      <c r="O825" s="11"/>
      <c r="P825" s="336"/>
      <c r="Q825" s="336"/>
      <c r="R825" s="11"/>
      <c r="S825" s="11" t="s">
        <v>1181</v>
      </c>
      <c r="T825" s="341"/>
    </row>
    <row r="826" spans="1:53" x14ac:dyDescent="0.2">
      <c r="A826" s="33" t="s">
        <v>879</v>
      </c>
      <c r="B826" s="330">
        <f t="shared" ref="B826:B840" si="131">C825+1</f>
        <v>62361</v>
      </c>
      <c r="C826" s="330">
        <f t="shared" si="128"/>
        <v>62362</v>
      </c>
      <c r="D826" s="333" t="s">
        <v>895</v>
      </c>
      <c r="E826" s="339" t="s">
        <v>2026</v>
      </c>
      <c r="F826" s="330">
        <v>32</v>
      </c>
      <c r="G826" s="346">
        <f t="shared" ref="G826:G840" si="132">1/16</f>
        <v>6.25E-2</v>
      </c>
      <c r="H826" s="330"/>
      <c r="I826" s="333">
        <f t="shared" si="129"/>
        <v>4</v>
      </c>
      <c r="J826" s="333">
        <f t="shared" si="130"/>
        <v>2</v>
      </c>
      <c r="K826" s="334" t="s">
        <v>796</v>
      </c>
      <c r="L826" s="335" t="s">
        <v>234</v>
      </c>
      <c r="M826" s="335"/>
      <c r="N826" s="335"/>
      <c r="O826" s="11"/>
      <c r="P826" s="336"/>
      <c r="Q826" s="336"/>
      <c r="R826" s="11"/>
      <c r="S826" s="11" t="s">
        <v>1181</v>
      </c>
      <c r="T826" s="341"/>
    </row>
    <row r="827" spans="1:53" x14ac:dyDescent="0.2">
      <c r="A827" s="33" t="s">
        <v>879</v>
      </c>
      <c r="B827" s="330">
        <f t="shared" si="131"/>
        <v>62363</v>
      </c>
      <c r="C827" s="330">
        <f t="shared" si="128"/>
        <v>62364</v>
      </c>
      <c r="D827" s="333" t="s">
        <v>895</v>
      </c>
      <c r="E827" s="339" t="s">
        <v>2044</v>
      </c>
      <c r="F827" s="330">
        <v>32</v>
      </c>
      <c r="G827" s="346">
        <f t="shared" si="132"/>
        <v>6.25E-2</v>
      </c>
      <c r="H827" s="330"/>
      <c r="I827" s="333">
        <f t="shared" si="129"/>
        <v>4</v>
      </c>
      <c r="J827" s="333">
        <f t="shared" si="130"/>
        <v>2</v>
      </c>
      <c r="K827" s="334" t="s">
        <v>796</v>
      </c>
      <c r="L827" s="335" t="s">
        <v>234</v>
      </c>
      <c r="M827" s="335"/>
      <c r="N827" s="335"/>
      <c r="O827" s="11"/>
      <c r="P827" s="336"/>
      <c r="Q827" s="336"/>
      <c r="R827" s="11"/>
      <c r="S827" s="11" t="s">
        <v>1181</v>
      </c>
      <c r="T827" s="341"/>
    </row>
    <row r="828" spans="1:53" x14ac:dyDescent="0.2">
      <c r="A828" s="33" t="s">
        <v>879</v>
      </c>
      <c r="B828" s="330">
        <f t="shared" si="131"/>
        <v>62365</v>
      </c>
      <c r="C828" s="330">
        <f t="shared" si="128"/>
        <v>62366</v>
      </c>
      <c r="D828" s="333" t="s">
        <v>895</v>
      </c>
      <c r="E828" s="339" t="s">
        <v>2061</v>
      </c>
      <c r="F828" s="330">
        <v>32</v>
      </c>
      <c r="G828" s="346">
        <f t="shared" si="132"/>
        <v>6.25E-2</v>
      </c>
      <c r="H828" s="330"/>
      <c r="I828" s="333">
        <f t="shared" si="129"/>
        <v>4</v>
      </c>
      <c r="J828" s="333">
        <f t="shared" si="130"/>
        <v>2</v>
      </c>
      <c r="K828" s="334" t="s">
        <v>796</v>
      </c>
      <c r="L828" s="335" t="s">
        <v>234</v>
      </c>
      <c r="M828" s="335"/>
      <c r="N828" s="335"/>
      <c r="O828" s="11"/>
      <c r="P828" s="336"/>
      <c r="Q828" s="336"/>
      <c r="R828" s="11"/>
      <c r="S828" s="11" t="s">
        <v>1181</v>
      </c>
      <c r="T828" s="341"/>
      <c r="U828" s="203"/>
      <c r="V828" s="15"/>
      <c r="W828" s="172"/>
      <c r="X828" s="57"/>
      <c r="Y828" s="57"/>
      <c r="Z828" s="57"/>
      <c r="AA828" s="57"/>
      <c r="AB828" s="57"/>
      <c r="AC828" s="57"/>
      <c r="AD828" s="57"/>
      <c r="AE828" s="57"/>
      <c r="AF828" s="57"/>
      <c r="AG828" s="57"/>
      <c r="AH828" s="57"/>
      <c r="AI828" s="15"/>
      <c r="AJ828" s="57"/>
      <c r="AL828" s="57"/>
      <c r="AM828" s="57"/>
      <c r="AN828" s="57"/>
      <c r="AO828" s="57"/>
      <c r="AP828" s="57"/>
      <c r="AQ828" s="57"/>
      <c r="AR828" s="57"/>
      <c r="AS828" s="57"/>
      <c r="AT828" s="57"/>
      <c r="AU828" s="57"/>
      <c r="AV828" s="57"/>
      <c r="AW828" s="57"/>
      <c r="AX828" s="57"/>
      <c r="AY828" s="57"/>
      <c r="AZ828" s="57"/>
      <c r="BA828" s="57"/>
    </row>
    <row r="829" spans="1:53" x14ac:dyDescent="0.2">
      <c r="A829" s="33" t="s">
        <v>879</v>
      </c>
      <c r="B829" s="330">
        <f t="shared" si="131"/>
        <v>62367</v>
      </c>
      <c r="C829" s="330">
        <f t="shared" si="128"/>
        <v>62368</v>
      </c>
      <c r="D829" s="333" t="s">
        <v>895</v>
      </c>
      <c r="E829" s="339" t="s">
        <v>2078</v>
      </c>
      <c r="F829" s="330">
        <v>32</v>
      </c>
      <c r="G829" s="346">
        <f t="shared" si="132"/>
        <v>6.25E-2</v>
      </c>
      <c r="H829" s="330"/>
      <c r="I829" s="333">
        <f t="shared" si="129"/>
        <v>4</v>
      </c>
      <c r="J829" s="333">
        <f t="shared" si="130"/>
        <v>2</v>
      </c>
      <c r="K829" s="334" t="s">
        <v>796</v>
      </c>
      <c r="L829" s="335" t="s">
        <v>234</v>
      </c>
      <c r="M829" s="335"/>
      <c r="N829" s="335"/>
      <c r="O829" s="11"/>
      <c r="P829" s="336"/>
      <c r="Q829" s="336"/>
      <c r="R829" s="11"/>
      <c r="S829" s="11" t="s">
        <v>1181</v>
      </c>
      <c r="T829" s="341"/>
      <c r="U829" s="204"/>
      <c r="V829" s="205"/>
      <c r="W829" s="205"/>
      <c r="X829" s="205"/>
      <c r="Y829" s="205"/>
      <c r="Z829" s="205"/>
      <c r="AA829" s="205"/>
      <c r="AB829" s="205"/>
      <c r="AC829" s="205"/>
      <c r="AD829" s="205"/>
      <c r="AE829" s="205"/>
      <c r="AF829" s="205"/>
      <c r="AG829" s="205"/>
      <c r="AH829" s="205"/>
      <c r="AI829" s="205"/>
      <c r="AJ829" s="205"/>
      <c r="AK829" s="205"/>
      <c r="AL829" s="205"/>
      <c r="AM829" s="205"/>
      <c r="AN829" s="205"/>
      <c r="AO829" s="205"/>
      <c r="AP829" s="205"/>
      <c r="AQ829" s="205"/>
      <c r="AR829" s="205"/>
      <c r="AS829" s="205"/>
      <c r="AT829" s="205"/>
      <c r="AU829" s="205"/>
      <c r="AV829" s="205"/>
      <c r="AW829" s="205"/>
      <c r="AX829" s="205"/>
      <c r="AY829" s="205"/>
      <c r="AZ829" s="205"/>
      <c r="BA829" s="205"/>
    </row>
    <row r="830" spans="1:53" x14ac:dyDescent="0.2">
      <c r="A830" s="33" t="s">
        <v>879</v>
      </c>
      <c r="B830" s="330">
        <f t="shared" si="131"/>
        <v>62369</v>
      </c>
      <c r="C830" s="330">
        <f t="shared" si="128"/>
        <v>62370</v>
      </c>
      <c r="D830" s="333" t="s">
        <v>895</v>
      </c>
      <c r="E830" s="339" t="s">
        <v>2095</v>
      </c>
      <c r="F830" s="330">
        <v>32</v>
      </c>
      <c r="G830" s="346">
        <f t="shared" si="132"/>
        <v>6.25E-2</v>
      </c>
      <c r="H830" s="330"/>
      <c r="I830" s="333">
        <f t="shared" si="129"/>
        <v>4</v>
      </c>
      <c r="J830" s="333">
        <f t="shared" si="130"/>
        <v>2</v>
      </c>
      <c r="K830" s="334" t="s">
        <v>796</v>
      </c>
      <c r="L830" s="335" t="s">
        <v>234</v>
      </c>
      <c r="M830" s="335"/>
      <c r="N830" s="335"/>
      <c r="O830" s="11"/>
      <c r="P830" s="336"/>
      <c r="Q830" s="336"/>
      <c r="R830" s="11"/>
      <c r="S830" s="11" t="s">
        <v>1181</v>
      </c>
      <c r="T830" s="341"/>
      <c r="U830" s="154"/>
      <c r="V830" s="261"/>
      <c r="W830" s="261"/>
      <c r="X830" s="261"/>
      <c r="Y830" s="261"/>
      <c r="Z830" s="261"/>
      <c r="AA830" s="261"/>
      <c r="AB830" s="261"/>
      <c r="AC830" s="261"/>
      <c r="AD830" s="205"/>
      <c r="AE830" s="205"/>
      <c r="AF830" s="205"/>
      <c r="AG830" s="205"/>
      <c r="AH830" s="205"/>
      <c r="AI830" s="205"/>
      <c r="AJ830" s="205"/>
      <c r="AK830" s="205"/>
      <c r="AL830" s="205"/>
      <c r="AM830" s="205"/>
      <c r="AN830" s="205"/>
      <c r="AO830" s="205"/>
      <c r="AP830" s="205"/>
      <c r="AQ830" s="205"/>
      <c r="AR830" s="205"/>
      <c r="AS830" s="205"/>
      <c r="AT830" s="205"/>
      <c r="AU830" s="205"/>
      <c r="AV830" s="205"/>
      <c r="AW830" s="205"/>
      <c r="AX830" s="205"/>
      <c r="AY830" s="205"/>
      <c r="AZ830" s="205"/>
      <c r="BA830" s="205"/>
    </row>
    <row r="831" spans="1:53" ht="11.25" customHeight="1" x14ac:dyDescent="0.2">
      <c r="A831" s="33" t="s">
        <v>879</v>
      </c>
      <c r="B831" s="330">
        <f t="shared" si="131"/>
        <v>62371</v>
      </c>
      <c r="C831" s="330">
        <f t="shared" si="128"/>
        <v>62372</v>
      </c>
      <c r="D831" s="333" t="s">
        <v>895</v>
      </c>
      <c r="E831" s="339" t="s">
        <v>2120</v>
      </c>
      <c r="F831" s="330">
        <v>32</v>
      </c>
      <c r="G831" s="346">
        <f t="shared" si="132"/>
        <v>6.25E-2</v>
      </c>
      <c r="H831" s="330"/>
      <c r="I831" s="333">
        <f t="shared" si="129"/>
        <v>4</v>
      </c>
      <c r="J831" s="333">
        <f t="shared" si="130"/>
        <v>2</v>
      </c>
      <c r="K831" s="334" t="s">
        <v>796</v>
      </c>
      <c r="L831" s="335" t="s">
        <v>234</v>
      </c>
      <c r="M831" s="335"/>
      <c r="N831" s="335"/>
      <c r="O831" s="11"/>
      <c r="P831" s="336"/>
      <c r="Q831" s="336"/>
      <c r="R831" s="11"/>
      <c r="S831" s="11" t="s">
        <v>1181</v>
      </c>
      <c r="T831" s="341"/>
      <c r="U831" s="154"/>
      <c r="V831" s="261"/>
      <c r="W831" s="261"/>
      <c r="X831" s="261"/>
      <c r="Y831" s="261"/>
      <c r="Z831" s="261"/>
      <c r="AA831" s="261"/>
      <c r="AB831" s="261"/>
      <c r="AC831" s="261"/>
      <c r="AD831" s="205"/>
      <c r="AE831" s="205"/>
      <c r="AF831" s="205"/>
      <c r="AG831" s="205"/>
      <c r="AH831" s="205"/>
      <c r="AI831" s="205"/>
      <c r="AJ831" s="205"/>
      <c r="AK831" s="205"/>
      <c r="AL831" s="205"/>
      <c r="AM831" s="205"/>
      <c r="AN831" s="205"/>
      <c r="AO831" s="205"/>
      <c r="AP831" s="205"/>
      <c r="AQ831" s="205"/>
      <c r="AR831" s="205"/>
      <c r="AS831" s="205"/>
      <c r="AT831" s="205"/>
      <c r="AU831" s="205"/>
      <c r="AV831" s="205"/>
      <c r="AW831" s="205"/>
      <c r="AX831" s="205"/>
      <c r="AY831" s="205"/>
      <c r="AZ831" s="205"/>
      <c r="BA831" s="205"/>
    </row>
    <row r="832" spans="1:53" x14ac:dyDescent="0.2">
      <c r="A832" s="33" t="s">
        <v>879</v>
      </c>
      <c r="B832" s="330">
        <f t="shared" si="131"/>
        <v>62373</v>
      </c>
      <c r="C832" s="330">
        <f t="shared" si="128"/>
        <v>62374</v>
      </c>
      <c r="D832" s="333" t="s">
        <v>895</v>
      </c>
      <c r="E832" s="339" t="s">
        <v>2145</v>
      </c>
      <c r="F832" s="330">
        <v>32</v>
      </c>
      <c r="G832" s="346">
        <f t="shared" si="132"/>
        <v>6.25E-2</v>
      </c>
      <c r="H832" s="330"/>
      <c r="I832" s="333">
        <f t="shared" si="129"/>
        <v>4</v>
      </c>
      <c r="J832" s="333">
        <f t="shared" si="130"/>
        <v>2</v>
      </c>
      <c r="K832" s="334" t="s">
        <v>796</v>
      </c>
      <c r="L832" s="335" t="s">
        <v>234</v>
      </c>
      <c r="M832" s="335"/>
      <c r="N832" s="335"/>
      <c r="O832" s="11"/>
      <c r="P832" s="336"/>
      <c r="Q832" s="336"/>
      <c r="R832" s="11"/>
      <c r="S832" s="11" t="s">
        <v>1181</v>
      </c>
      <c r="T832" s="341"/>
      <c r="U832" s="154"/>
      <c r="V832" s="261"/>
      <c r="W832" s="261"/>
      <c r="X832" s="261"/>
      <c r="Y832" s="261"/>
      <c r="Z832" s="261"/>
      <c r="AA832" s="261"/>
      <c r="AB832" s="261"/>
      <c r="AC832" s="261"/>
      <c r="AD832" s="205"/>
      <c r="AE832" s="205"/>
      <c r="AF832" s="205"/>
      <c r="AG832" s="205"/>
      <c r="AH832" s="205"/>
      <c r="AI832" s="205"/>
      <c r="AJ832" s="205"/>
      <c r="AK832" s="205"/>
      <c r="AL832" s="205"/>
      <c r="AM832" s="205"/>
      <c r="AN832" s="205"/>
      <c r="AO832" s="205"/>
      <c r="AP832" s="205"/>
      <c r="AQ832" s="205"/>
      <c r="AR832" s="205"/>
      <c r="AS832" s="205"/>
      <c r="AT832" s="205"/>
      <c r="AU832" s="205"/>
      <c r="AV832" s="205"/>
      <c r="AW832" s="205"/>
      <c r="AX832" s="205"/>
      <c r="AY832" s="205"/>
      <c r="AZ832" s="205"/>
      <c r="BA832" s="205"/>
    </row>
    <row r="833" spans="1:53" ht="11.45" customHeight="1" x14ac:dyDescent="0.2">
      <c r="A833" s="33" t="s">
        <v>879</v>
      </c>
      <c r="B833" s="330">
        <f t="shared" si="131"/>
        <v>62375</v>
      </c>
      <c r="C833" s="330">
        <f t="shared" si="128"/>
        <v>62376</v>
      </c>
      <c r="D833" s="333" t="s">
        <v>895</v>
      </c>
      <c r="E833" s="339" t="s">
        <v>2170</v>
      </c>
      <c r="F833" s="330">
        <v>32</v>
      </c>
      <c r="G833" s="346">
        <f t="shared" si="132"/>
        <v>6.25E-2</v>
      </c>
      <c r="H833" s="330"/>
      <c r="I833" s="333">
        <f t="shared" si="129"/>
        <v>4</v>
      </c>
      <c r="J833" s="333">
        <f t="shared" si="130"/>
        <v>2</v>
      </c>
      <c r="K833" s="334" t="s">
        <v>796</v>
      </c>
      <c r="L833" s="335" t="s">
        <v>234</v>
      </c>
      <c r="M833" s="335"/>
      <c r="N833" s="335"/>
      <c r="O833" s="11"/>
      <c r="P833" s="336"/>
      <c r="Q833" s="336"/>
      <c r="R833" s="11"/>
      <c r="S833" s="11" t="s">
        <v>1181</v>
      </c>
      <c r="T833" s="341"/>
      <c r="U833" s="154"/>
      <c r="V833" s="261"/>
      <c r="W833" s="261"/>
      <c r="X833" s="261"/>
      <c r="Y833" s="261"/>
      <c r="Z833" s="261"/>
      <c r="AA833" s="261"/>
      <c r="AB833" s="261"/>
      <c r="AC833" s="261"/>
      <c r="AD833" s="205"/>
      <c r="AE833" s="205"/>
      <c r="AF833" s="205"/>
      <c r="AG833" s="205"/>
      <c r="AH833" s="205"/>
      <c r="AI833" s="205"/>
      <c r="AJ833" s="205"/>
      <c r="AK833" s="205"/>
      <c r="AL833" s="205"/>
      <c r="AM833" s="205"/>
      <c r="AN833" s="205"/>
      <c r="AO833" s="205"/>
      <c r="AP833" s="205"/>
      <c r="AQ833" s="205"/>
      <c r="AR833" s="205"/>
      <c r="AS833" s="205"/>
      <c r="AT833" s="205"/>
      <c r="AU833" s="205"/>
      <c r="AV833" s="205"/>
      <c r="AW833" s="205"/>
      <c r="AX833" s="205"/>
      <c r="AY833" s="205"/>
      <c r="AZ833" s="205"/>
      <c r="BA833" s="205"/>
    </row>
    <row r="834" spans="1:53" x14ac:dyDescent="0.2">
      <c r="A834" s="33" t="s">
        <v>879</v>
      </c>
      <c r="B834" s="330">
        <f t="shared" si="131"/>
        <v>62377</v>
      </c>
      <c r="C834" s="330">
        <f t="shared" si="128"/>
        <v>62378</v>
      </c>
      <c r="D834" s="333" t="s">
        <v>895</v>
      </c>
      <c r="E834" s="339" t="s">
        <v>2195</v>
      </c>
      <c r="F834" s="330">
        <v>32</v>
      </c>
      <c r="G834" s="346">
        <f t="shared" si="132"/>
        <v>6.25E-2</v>
      </c>
      <c r="H834" s="330"/>
      <c r="I834" s="333">
        <f t="shared" si="129"/>
        <v>4</v>
      </c>
      <c r="J834" s="333">
        <f t="shared" si="130"/>
        <v>2</v>
      </c>
      <c r="K834" s="334" t="s">
        <v>796</v>
      </c>
      <c r="L834" s="335" t="s">
        <v>234</v>
      </c>
      <c r="M834" s="335"/>
      <c r="N834" s="335"/>
      <c r="O834" s="11"/>
      <c r="P834" s="336"/>
      <c r="Q834" s="336"/>
      <c r="R834" s="11"/>
      <c r="S834" s="11" t="s">
        <v>1181</v>
      </c>
      <c r="T834" s="341"/>
      <c r="U834" s="154"/>
      <c r="V834" s="261"/>
      <c r="W834" s="261"/>
      <c r="X834" s="261"/>
      <c r="Y834" s="261"/>
      <c r="Z834" s="261"/>
      <c r="AA834" s="261"/>
      <c r="AB834" s="261"/>
      <c r="AC834" s="261"/>
      <c r="AD834" s="205"/>
      <c r="AE834" s="205"/>
      <c r="AF834" s="205"/>
      <c r="AG834" s="205"/>
      <c r="AH834" s="205"/>
      <c r="AI834" s="205"/>
      <c r="AJ834" s="205"/>
      <c r="AK834" s="205"/>
      <c r="AL834" s="205"/>
      <c r="AM834" s="205"/>
      <c r="AN834" s="205"/>
      <c r="AO834" s="205"/>
      <c r="AP834" s="205"/>
      <c r="AQ834" s="205"/>
      <c r="AR834" s="205"/>
      <c r="AS834" s="205"/>
      <c r="AT834" s="205"/>
      <c r="AU834" s="205"/>
      <c r="AV834" s="205"/>
      <c r="AW834" s="205"/>
      <c r="AX834" s="205"/>
      <c r="AY834" s="205"/>
      <c r="AZ834" s="205"/>
      <c r="BA834" s="205"/>
    </row>
    <row r="835" spans="1:53" s="5" customFormat="1" x14ac:dyDescent="0.2">
      <c r="A835" s="33" t="s">
        <v>879</v>
      </c>
      <c r="B835" s="330">
        <f t="shared" si="131"/>
        <v>62379</v>
      </c>
      <c r="C835" s="330">
        <f t="shared" si="128"/>
        <v>62380</v>
      </c>
      <c r="D835" s="333" t="s">
        <v>895</v>
      </c>
      <c r="E835" s="339" t="s">
        <v>2270</v>
      </c>
      <c r="F835" s="330">
        <v>32</v>
      </c>
      <c r="G835" s="346">
        <f t="shared" si="132"/>
        <v>6.25E-2</v>
      </c>
      <c r="H835" s="330"/>
      <c r="I835" s="333">
        <f t="shared" si="129"/>
        <v>4</v>
      </c>
      <c r="J835" s="333">
        <f t="shared" si="130"/>
        <v>2</v>
      </c>
      <c r="K835" s="334" t="s">
        <v>796</v>
      </c>
      <c r="L835" s="335" t="s">
        <v>234</v>
      </c>
      <c r="M835" s="335"/>
      <c r="N835" s="335"/>
      <c r="O835" s="11"/>
      <c r="P835" s="336"/>
      <c r="Q835" s="336"/>
      <c r="R835" s="11"/>
      <c r="S835" s="11" t="s">
        <v>1181</v>
      </c>
      <c r="T835" s="341"/>
      <c r="U835" s="154"/>
      <c r="V835" s="261"/>
      <c r="W835" s="261"/>
      <c r="X835" s="261"/>
      <c r="Y835" s="261"/>
      <c r="Z835" s="261"/>
      <c r="AA835" s="261"/>
      <c r="AB835" s="261"/>
      <c r="AC835" s="261"/>
      <c r="AD835" s="205"/>
      <c r="AE835" s="205"/>
      <c r="AF835" s="205"/>
      <c r="AG835" s="205"/>
      <c r="AH835" s="205"/>
      <c r="AI835" s="205"/>
      <c r="AJ835" s="205"/>
      <c r="AK835" s="205"/>
      <c r="AL835" s="205"/>
      <c r="AM835" s="205"/>
      <c r="AN835" s="205"/>
      <c r="AO835" s="205"/>
      <c r="AP835" s="205"/>
      <c r="AQ835" s="205"/>
      <c r="AR835" s="205"/>
      <c r="AS835" s="205"/>
      <c r="AT835" s="205"/>
      <c r="AU835" s="205"/>
      <c r="AV835" s="205"/>
      <c r="AW835" s="205"/>
      <c r="AX835" s="205"/>
      <c r="AY835" s="205"/>
      <c r="AZ835" s="205"/>
      <c r="BA835" s="205"/>
    </row>
    <row r="836" spans="1:53" s="5" customFormat="1" x14ac:dyDescent="0.2">
      <c r="A836" s="33" t="s">
        <v>879</v>
      </c>
      <c r="B836" s="330">
        <f t="shared" si="131"/>
        <v>62381</v>
      </c>
      <c r="C836" s="330">
        <f t="shared" si="128"/>
        <v>62382</v>
      </c>
      <c r="D836" s="333" t="s">
        <v>895</v>
      </c>
      <c r="E836" s="339" t="s">
        <v>2285</v>
      </c>
      <c r="F836" s="330">
        <v>32</v>
      </c>
      <c r="G836" s="346">
        <f t="shared" si="132"/>
        <v>6.25E-2</v>
      </c>
      <c r="H836" s="330"/>
      <c r="I836" s="333">
        <f t="shared" si="129"/>
        <v>4</v>
      </c>
      <c r="J836" s="333">
        <f t="shared" si="130"/>
        <v>2</v>
      </c>
      <c r="K836" s="334" t="s">
        <v>796</v>
      </c>
      <c r="L836" s="335" t="s">
        <v>234</v>
      </c>
      <c r="M836" s="335"/>
      <c r="N836" s="335"/>
      <c r="O836" s="11"/>
      <c r="P836" s="336"/>
      <c r="Q836" s="336"/>
      <c r="R836" s="11"/>
      <c r="S836" s="11" t="s">
        <v>1181</v>
      </c>
      <c r="T836" s="341"/>
      <c r="U836" s="154"/>
      <c r="V836" s="261"/>
      <c r="W836" s="261"/>
      <c r="X836" s="261"/>
      <c r="Y836" s="261"/>
      <c r="Z836" s="261"/>
      <c r="AA836" s="261"/>
      <c r="AB836" s="261"/>
      <c r="AC836" s="261"/>
      <c r="AD836" s="205"/>
      <c r="AE836" s="205"/>
      <c r="AF836" s="205"/>
      <c r="AG836" s="205"/>
      <c r="AH836" s="205"/>
      <c r="AI836" s="205"/>
      <c r="AJ836" s="205"/>
      <c r="AK836" s="205"/>
      <c r="AL836" s="205"/>
      <c r="AM836" s="205"/>
      <c r="AN836" s="205"/>
      <c r="AO836" s="205"/>
      <c r="AP836" s="205"/>
      <c r="AQ836" s="205"/>
      <c r="AR836" s="205"/>
      <c r="AS836" s="205"/>
      <c r="AT836" s="205"/>
      <c r="AU836" s="205"/>
      <c r="AV836" s="205"/>
      <c r="AW836" s="205"/>
      <c r="AX836" s="205"/>
      <c r="AY836" s="205"/>
      <c r="AZ836" s="205"/>
      <c r="BA836" s="205"/>
    </row>
    <row r="837" spans="1:53" s="5" customFormat="1" x14ac:dyDescent="0.2">
      <c r="A837" s="33" t="s">
        <v>879</v>
      </c>
      <c r="B837" s="330">
        <f t="shared" si="131"/>
        <v>62383</v>
      </c>
      <c r="C837" s="330">
        <f t="shared" si="128"/>
        <v>62384</v>
      </c>
      <c r="D837" s="333" t="s">
        <v>895</v>
      </c>
      <c r="E837" s="339" t="s">
        <v>2300</v>
      </c>
      <c r="F837" s="330">
        <v>32</v>
      </c>
      <c r="G837" s="346">
        <f t="shared" si="132"/>
        <v>6.25E-2</v>
      </c>
      <c r="H837" s="330"/>
      <c r="I837" s="333">
        <f t="shared" si="129"/>
        <v>4</v>
      </c>
      <c r="J837" s="333">
        <f t="shared" si="130"/>
        <v>2</v>
      </c>
      <c r="K837" s="334" t="s">
        <v>796</v>
      </c>
      <c r="L837" s="335" t="s">
        <v>234</v>
      </c>
      <c r="M837" s="335"/>
      <c r="N837" s="335"/>
      <c r="O837" s="11"/>
      <c r="P837" s="336"/>
      <c r="Q837" s="336"/>
      <c r="R837" s="11"/>
      <c r="S837" s="11" t="s">
        <v>1181</v>
      </c>
      <c r="T837" s="341"/>
      <c r="U837" s="154"/>
      <c r="V837" s="261"/>
      <c r="W837" s="261"/>
      <c r="X837" s="261"/>
      <c r="Y837" s="261"/>
      <c r="Z837" s="261"/>
      <c r="AA837" s="261"/>
      <c r="AB837" s="261"/>
      <c r="AC837" s="261"/>
      <c r="AD837" s="205"/>
      <c r="AE837" s="205"/>
      <c r="AF837" s="205"/>
      <c r="AG837" s="205"/>
      <c r="AH837" s="205"/>
      <c r="AI837" s="205"/>
      <c r="AJ837" s="205"/>
      <c r="AK837" s="205"/>
      <c r="AL837" s="205"/>
      <c r="AM837" s="205"/>
      <c r="AN837" s="205"/>
      <c r="AO837" s="205"/>
      <c r="AP837" s="205"/>
      <c r="AQ837" s="205"/>
      <c r="AR837" s="205"/>
      <c r="AS837" s="205"/>
      <c r="AT837" s="205"/>
      <c r="AU837" s="205"/>
      <c r="AV837" s="205"/>
      <c r="AW837" s="205"/>
      <c r="AX837" s="205"/>
      <c r="AY837" s="205"/>
      <c r="AZ837" s="205"/>
      <c r="BA837" s="205"/>
    </row>
    <row r="838" spans="1:53" s="5" customFormat="1" x14ac:dyDescent="0.2">
      <c r="A838" s="33" t="s">
        <v>879</v>
      </c>
      <c r="B838" s="330">
        <f t="shared" si="131"/>
        <v>62385</v>
      </c>
      <c r="C838" s="330">
        <f t="shared" si="128"/>
        <v>62386</v>
      </c>
      <c r="D838" s="333" t="s">
        <v>895</v>
      </c>
      <c r="E838" s="339" t="s">
        <v>2315</v>
      </c>
      <c r="F838" s="330">
        <v>32</v>
      </c>
      <c r="G838" s="346">
        <f t="shared" si="132"/>
        <v>6.25E-2</v>
      </c>
      <c r="H838" s="330"/>
      <c r="I838" s="333">
        <f t="shared" si="129"/>
        <v>4</v>
      </c>
      <c r="J838" s="333">
        <f t="shared" si="130"/>
        <v>2</v>
      </c>
      <c r="K838" s="334" t="s">
        <v>796</v>
      </c>
      <c r="L838" s="335" t="s">
        <v>234</v>
      </c>
      <c r="M838" s="335"/>
      <c r="N838" s="335"/>
      <c r="O838" s="11"/>
      <c r="P838" s="336"/>
      <c r="Q838" s="336"/>
      <c r="R838" s="11"/>
      <c r="S838" s="11" t="s">
        <v>1181</v>
      </c>
      <c r="T838" s="341"/>
      <c r="U838" s="154"/>
      <c r="V838" s="261"/>
      <c r="W838" s="261"/>
      <c r="X838" s="261"/>
      <c r="Y838" s="261"/>
      <c r="Z838" s="261"/>
      <c r="AA838" s="261"/>
      <c r="AB838" s="261"/>
      <c r="AC838" s="261"/>
      <c r="AD838" s="205"/>
      <c r="AE838" s="205"/>
      <c r="AF838" s="205"/>
      <c r="AG838" s="205"/>
      <c r="AH838" s="205"/>
      <c r="AI838" s="205"/>
      <c r="AJ838" s="205"/>
      <c r="AK838" s="205"/>
      <c r="AL838" s="205"/>
      <c r="AM838" s="205"/>
      <c r="AN838" s="205"/>
      <c r="AO838" s="205"/>
      <c r="AP838" s="205"/>
      <c r="AQ838" s="205"/>
      <c r="AR838" s="205"/>
      <c r="AS838" s="205"/>
      <c r="AT838" s="205"/>
      <c r="AU838" s="205"/>
      <c r="AV838" s="205"/>
      <c r="AW838" s="205"/>
      <c r="AX838" s="205"/>
      <c r="AY838" s="205"/>
      <c r="AZ838" s="205"/>
      <c r="BA838" s="205"/>
    </row>
    <row r="839" spans="1:53" s="5" customFormat="1" x14ac:dyDescent="0.2">
      <c r="A839" s="33" t="s">
        <v>879</v>
      </c>
      <c r="B839" s="330">
        <f t="shared" si="131"/>
        <v>62387</v>
      </c>
      <c r="C839" s="330">
        <f t="shared" si="128"/>
        <v>62388</v>
      </c>
      <c r="D839" s="333" t="s">
        <v>895</v>
      </c>
      <c r="E839" s="339" t="s">
        <v>2330</v>
      </c>
      <c r="F839" s="330">
        <v>32</v>
      </c>
      <c r="G839" s="346">
        <f t="shared" si="132"/>
        <v>6.25E-2</v>
      </c>
      <c r="H839" s="330"/>
      <c r="I839" s="333">
        <f t="shared" si="129"/>
        <v>4</v>
      </c>
      <c r="J839" s="333">
        <f t="shared" si="130"/>
        <v>2</v>
      </c>
      <c r="K839" s="334" t="s">
        <v>796</v>
      </c>
      <c r="L839" s="335" t="s">
        <v>234</v>
      </c>
      <c r="M839" s="335"/>
      <c r="N839" s="335"/>
      <c r="O839" s="11"/>
      <c r="P839" s="336"/>
      <c r="Q839" s="336"/>
      <c r="R839" s="11"/>
      <c r="S839" s="11" t="s">
        <v>1181</v>
      </c>
      <c r="T839" s="341"/>
      <c r="U839" s="154"/>
      <c r="V839" s="261"/>
      <c r="W839" s="261"/>
      <c r="X839" s="261"/>
      <c r="Y839" s="261"/>
      <c r="Z839" s="261"/>
      <c r="AA839" s="261"/>
      <c r="AB839" s="261"/>
      <c r="AC839" s="261"/>
      <c r="AD839" s="205"/>
      <c r="AE839" s="205"/>
      <c r="AF839" s="205"/>
      <c r="AG839" s="205"/>
      <c r="AH839" s="205"/>
      <c r="AI839" s="205"/>
      <c r="AJ839" s="205"/>
      <c r="AK839" s="205"/>
      <c r="AL839" s="205"/>
      <c r="AM839" s="205"/>
      <c r="AN839" s="205"/>
      <c r="AO839" s="205"/>
      <c r="AP839" s="205"/>
      <c r="AQ839" s="205"/>
      <c r="AR839" s="205"/>
      <c r="AS839" s="205"/>
      <c r="AT839" s="205"/>
      <c r="AU839" s="205"/>
      <c r="AV839" s="205"/>
      <c r="AW839" s="205"/>
      <c r="AX839" s="205"/>
      <c r="AY839" s="205"/>
      <c r="AZ839" s="205"/>
      <c r="BA839" s="205"/>
    </row>
    <row r="840" spans="1:53" s="5" customFormat="1" x14ac:dyDescent="0.2">
      <c r="A840" s="33" t="s">
        <v>879</v>
      </c>
      <c r="B840" s="330">
        <f t="shared" si="131"/>
        <v>62389</v>
      </c>
      <c r="C840" s="330">
        <f t="shared" si="128"/>
        <v>62390</v>
      </c>
      <c r="D840" s="333" t="s">
        <v>895</v>
      </c>
      <c r="E840" s="339" t="s">
        <v>2345</v>
      </c>
      <c r="F840" s="330">
        <v>32</v>
      </c>
      <c r="G840" s="346">
        <f t="shared" si="132"/>
        <v>6.25E-2</v>
      </c>
      <c r="H840" s="330"/>
      <c r="I840" s="333">
        <f t="shared" si="129"/>
        <v>4</v>
      </c>
      <c r="J840" s="333">
        <f t="shared" si="130"/>
        <v>2</v>
      </c>
      <c r="K840" s="334" t="s">
        <v>796</v>
      </c>
      <c r="L840" s="335" t="s">
        <v>234</v>
      </c>
      <c r="M840" s="335"/>
      <c r="N840" s="335"/>
      <c r="O840" s="11"/>
      <c r="P840" s="340"/>
      <c r="Q840" s="340"/>
      <c r="R840" s="11"/>
      <c r="S840" s="11" t="s">
        <v>1181</v>
      </c>
      <c r="T840" s="341"/>
      <c r="U840" s="154"/>
      <c r="V840" s="261"/>
      <c r="W840" s="261"/>
      <c r="X840" s="261"/>
      <c r="Y840" s="261"/>
      <c r="Z840" s="261"/>
      <c r="AA840" s="261"/>
      <c r="AB840" s="261"/>
      <c r="AC840" s="261"/>
      <c r="AD840" s="205"/>
      <c r="AE840" s="205"/>
      <c r="AF840" s="205"/>
      <c r="AG840" s="205"/>
      <c r="AH840" s="205"/>
      <c r="AI840" s="205"/>
      <c r="AJ840" s="205"/>
      <c r="AK840" s="205"/>
      <c r="AL840" s="205"/>
      <c r="AM840" s="205"/>
      <c r="AN840" s="205"/>
      <c r="AO840" s="205"/>
      <c r="AP840" s="205"/>
      <c r="AQ840" s="205"/>
      <c r="AR840" s="205"/>
      <c r="AS840" s="205"/>
      <c r="AT840" s="205"/>
      <c r="AU840" s="205"/>
      <c r="AV840" s="205"/>
      <c r="AW840" s="205"/>
      <c r="AX840" s="205"/>
      <c r="AY840" s="205"/>
      <c r="AZ840" s="205"/>
      <c r="BA840" s="205"/>
    </row>
    <row r="841" spans="1:53" s="5" customFormat="1" x14ac:dyDescent="0.2">
      <c r="A841" s="33"/>
      <c r="B841" s="47">
        <f>B842</f>
        <v>62391</v>
      </c>
      <c r="C841" s="26"/>
      <c r="D841" s="28"/>
      <c r="E841" s="26" t="s">
        <v>194</v>
      </c>
      <c r="F841" s="171"/>
      <c r="G841" s="171"/>
      <c r="H841" s="171"/>
      <c r="I841" s="177"/>
      <c r="J841" s="177"/>
      <c r="K841" s="184"/>
      <c r="L841" s="185"/>
      <c r="M841" s="185"/>
      <c r="N841" s="185"/>
      <c r="O841" s="185"/>
      <c r="P841" s="182"/>
      <c r="Q841" s="182"/>
      <c r="R841" s="186"/>
      <c r="S841" s="186"/>
      <c r="T841" s="187"/>
      <c r="U841" s="154"/>
      <c r="V841" s="261"/>
      <c r="W841" s="261"/>
      <c r="X841" s="261"/>
      <c r="Y841" s="261"/>
      <c r="Z841" s="261"/>
      <c r="AA841" s="261"/>
      <c r="AB841" s="261"/>
      <c r="AC841" s="261"/>
      <c r="AD841" s="205"/>
      <c r="AE841" s="205"/>
      <c r="AF841" s="205"/>
      <c r="AG841" s="205"/>
      <c r="AH841" s="205"/>
      <c r="AI841" s="205"/>
      <c r="AJ841" s="205"/>
      <c r="AK841" s="205"/>
      <c r="AL841" s="205"/>
      <c r="AM841" s="205"/>
      <c r="AN841" s="205"/>
      <c r="AO841" s="205"/>
      <c r="AP841" s="205"/>
      <c r="AQ841" s="205"/>
      <c r="AR841" s="205"/>
      <c r="AS841" s="205"/>
      <c r="AT841" s="205"/>
      <c r="AU841" s="205"/>
      <c r="AV841" s="205"/>
      <c r="AW841" s="205"/>
      <c r="AX841" s="205"/>
      <c r="AY841" s="205"/>
      <c r="AZ841" s="205"/>
      <c r="BA841" s="205"/>
    </row>
    <row r="842" spans="1:53" s="5" customFormat="1" x14ac:dyDescent="0.2">
      <c r="A842" s="33" t="s">
        <v>879</v>
      </c>
      <c r="B842" s="7">
        <f>C840+1</f>
        <v>62391</v>
      </c>
      <c r="C842" s="7">
        <f t="shared" ref="C842:C857" si="133">B842+($F842*$G842)-1</f>
        <v>62392</v>
      </c>
      <c r="D842" s="9" t="s">
        <v>895</v>
      </c>
      <c r="E842" s="8" t="s">
        <v>2010</v>
      </c>
      <c r="F842" s="7">
        <v>32</v>
      </c>
      <c r="G842" s="230">
        <f t="shared" ref="G842:G922" si="134">1/16</f>
        <v>6.25E-2</v>
      </c>
      <c r="H842" s="7"/>
      <c r="I842" s="9">
        <f t="shared" ref="I842:I857" si="135">F842*2*G842</f>
        <v>4</v>
      </c>
      <c r="J842" s="9">
        <f t="shared" ref="J842:J857" si="136">C842-B842+1</f>
        <v>2</v>
      </c>
      <c r="K842" s="1" t="s">
        <v>796</v>
      </c>
      <c r="L842" s="11" t="s">
        <v>234</v>
      </c>
      <c r="M842" s="11"/>
      <c r="N842" s="11"/>
      <c r="O842" s="11"/>
      <c r="P842" s="136"/>
      <c r="Q842" s="136"/>
      <c r="R842" s="11"/>
      <c r="S842" s="11" t="s">
        <v>1181</v>
      </c>
      <c r="T842" s="157"/>
      <c r="U842" s="154"/>
      <c r="V842" s="261"/>
      <c r="W842" s="261"/>
      <c r="X842" s="261"/>
      <c r="Y842" s="261"/>
      <c r="Z842" s="261"/>
      <c r="AA842" s="261"/>
      <c r="AB842" s="261"/>
      <c r="AC842" s="261"/>
      <c r="AD842" s="205"/>
      <c r="AE842" s="205"/>
      <c r="AF842" s="205"/>
      <c r="AG842" s="205"/>
      <c r="AH842" s="205"/>
      <c r="AI842" s="205"/>
      <c r="AJ842" s="205"/>
      <c r="AK842" s="205"/>
      <c r="AL842" s="205"/>
      <c r="AM842" s="205"/>
      <c r="AN842" s="205"/>
      <c r="AO842" s="205"/>
      <c r="AP842" s="205"/>
      <c r="AQ842" s="205"/>
      <c r="AR842" s="205"/>
      <c r="AS842" s="205"/>
      <c r="AT842" s="205"/>
      <c r="AU842" s="205"/>
      <c r="AV842" s="205"/>
      <c r="AW842" s="205"/>
      <c r="AX842" s="205"/>
      <c r="AY842" s="205"/>
      <c r="AZ842" s="205"/>
      <c r="BA842" s="205"/>
    </row>
    <row r="843" spans="1:53" s="5" customFormat="1" x14ac:dyDescent="0.2">
      <c r="A843" s="33" t="s">
        <v>879</v>
      </c>
      <c r="B843" s="7">
        <f t="shared" ref="B843:B857" si="137">C842+1</f>
        <v>62393</v>
      </c>
      <c r="C843" s="7">
        <f t="shared" si="133"/>
        <v>62394</v>
      </c>
      <c r="D843" s="9" t="s">
        <v>895</v>
      </c>
      <c r="E843" s="8" t="s">
        <v>2027</v>
      </c>
      <c r="F843" s="7">
        <v>32</v>
      </c>
      <c r="G843" s="230">
        <f t="shared" si="134"/>
        <v>6.25E-2</v>
      </c>
      <c r="H843" s="7"/>
      <c r="I843" s="9">
        <f t="shared" si="135"/>
        <v>4</v>
      </c>
      <c r="J843" s="9">
        <f t="shared" si="136"/>
        <v>2</v>
      </c>
      <c r="K843" s="1" t="s">
        <v>796</v>
      </c>
      <c r="L843" s="11" t="s">
        <v>234</v>
      </c>
      <c r="M843" s="11"/>
      <c r="N843" s="11"/>
      <c r="O843" s="11"/>
      <c r="P843" s="136"/>
      <c r="Q843" s="136"/>
      <c r="R843" s="11"/>
      <c r="S843" s="11" t="s">
        <v>1181</v>
      </c>
      <c r="T843" s="157"/>
      <c r="U843" s="154"/>
      <c r="V843" s="261"/>
      <c r="W843" s="261"/>
      <c r="X843" s="261"/>
      <c r="Y843" s="261"/>
      <c r="Z843" s="261"/>
      <c r="AA843" s="261"/>
      <c r="AB843" s="261"/>
      <c r="AC843" s="261"/>
      <c r="AD843" s="205"/>
      <c r="AE843" s="205"/>
      <c r="AF843" s="205"/>
      <c r="AG843" s="205"/>
      <c r="AH843" s="205"/>
      <c r="AI843" s="205"/>
      <c r="AJ843" s="205"/>
      <c r="AK843" s="205"/>
      <c r="AL843" s="205"/>
      <c r="AM843" s="205"/>
      <c r="AN843" s="205"/>
      <c r="AO843" s="205"/>
      <c r="AP843" s="205"/>
      <c r="AQ843" s="205"/>
      <c r="AR843" s="205"/>
      <c r="AS843" s="205"/>
      <c r="AT843" s="205"/>
      <c r="AU843" s="205"/>
      <c r="AV843" s="205"/>
      <c r="AW843" s="205"/>
      <c r="AX843" s="205"/>
      <c r="AY843" s="205"/>
      <c r="AZ843" s="205"/>
      <c r="BA843" s="205"/>
    </row>
    <row r="844" spans="1:53" s="5" customFormat="1" x14ac:dyDescent="0.2">
      <c r="A844" s="33" t="s">
        <v>879</v>
      </c>
      <c r="B844" s="7">
        <f t="shared" si="137"/>
        <v>62395</v>
      </c>
      <c r="C844" s="7">
        <f t="shared" si="133"/>
        <v>62396</v>
      </c>
      <c r="D844" s="9" t="s">
        <v>895</v>
      </c>
      <c r="E844" s="8" t="s">
        <v>2045</v>
      </c>
      <c r="F844" s="7">
        <v>32</v>
      </c>
      <c r="G844" s="230">
        <f t="shared" si="134"/>
        <v>6.25E-2</v>
      </c>
      <c r="H844" s="7"/>
      <c r="I844" s="9">
        <f t="shared" si="135"/>
        <v>4</v>
      </c>
      <c r="J844" s="9">
        <f t="shared" si="136"/>
        <v>2</v>
      </c>
      <c r="K844" s="1" t="s">
        <v>796</v>
      </c>
      <c r="L844" s="11" t="s">
        <v>234</v>
      </c>
      <c r="M844" s="11"/>
      <c r="N844" s="11"/>
      <c r="O844" s="11"/>
      <c r="P844" s="136"/>
      <c r="Q844" s="136"/>
      <c r="R844" s="11"/>
      <c r="S844" s="11" t="s">
        <v>1181</v>
      </c>
      <c r="T844" s="157"/>
      <c r="U844" s="154"/>
      <c r="V844" s="261"/>
      <c r="W844" s="261"/>
      <c r="X844" s="261"/>
      <c r="Y844" s="261"/>
      <c r="Z844" s="261"/>
      <c r="AA844" s="261"/>
      <c r="AB844" s="261"/>
      <c r="AC844" s="261"/>
      <c r="AD844" s="205"/>
      <c r="AE844" s="205"/>
      <c r="AF844" s="205"/>
      <c r="AG844" s="205"/>
      <c r="AH844" s="205"/>
      <c r="AI844" s="205"/>
      <c r="AJ844" s="205"/>
      <c r="AK844" s="205"/>
      <c r="AL844" s="205"/>
      <c r="AM844" s="205"/>
      <c r="AN844" s="205"/>
      <c r="AO844" s="205"/>
      <c r="AP844" s="205"/>
      <c r="AQ844" s="205"/>
      <c r="AR844" s="205"/>
      <c r="AS844" s="205"/>
      <c r="AT844" s="205"/>
      <c r="AU844" s="205"/>
      <c r="AV844" s="205"/>
      <c r="AW844" s="205"/>
      <c r="AX844" s="205"/>
      <c r="AY844" s="205"/>
      <c r="AZ844" s="205"/>
      <c r="BA844" s="205"/>
    </row>
    <row r="845" spans="1:53" s="5" customFormat="1" x14ac:dyDescent="0.2">
      <c r="A845" s="33" t="s">
        <v>879</v>
      </c>
      <c r="B845" s="7">
        <f t="shared" si="137"/>
        <v>62397</v>
      </c>
      <c r="C845" s="7">
        <f t="shared" si="133"/>
        <v>62398</v>
      </c>
      <c r="D845" s="9" t="s">
        <v>895</v>
      </c>
      <c r="E845" s="8" t="s">
        <v>2062</v>
      </c>
      <c r="F845" s="7">
        <v>32</v>
      </c>
      <c r="G845" s="230">
        <f t="shared" si="134"/>
        <v>6.25E-2</v>
      </c>
      <c r="H845" s="7"/>
      <c r="I845" s="9">
        <f t="shared" si="135"/>
        <v>4</v>
      </c>
      <c r="J845" s="9">
        <f t="shared" si="136"/>
        <v>2</v>
      </c>
      <c r="K845" s="1" t="s">
        <v>796</v>
      </c>
      <c r="L845" s="11" t="s">
        <v>234</v>
      </c>
      <c r="M845" s="11"/>
      <c r="N845" s="11"/>
      <c r="O845" s="11"/>
      <c r="P845" s="136"/>
      <c r="Q845" s="136"/>
      <c r="R845" s="11"/>
      <c r="S845" s="11" t="s">
        <v>1181</v>
      </c>
      <c r="T845" s="157"/>
      <c r="U845" s="154"/>
      <c r="V845" s="261"/>
      <c r="W845" s="261"/>
      <c r="X845" s="261"/>
      <c r="Y845" s="261"/>
      <c r="Z845" s="261"/>
      <c r="AA845" s="261"/>
      <c r="AB845" s="261"/>
      <c r="AC845" s="261"/>
      <c r="AD845" s="205"/>
      <c r="AE845" s="205"/>
      <c r="AF845" s="205"/>
      <c r="AG845" s="205"/>
      <c r="AH845" s="205"/>
      <c r="AI845" s="205"/>
      <c r="AJ845" s="205"/>
      <c r="AK845" s="205"/>
      <c r="AL845" s="205"/>
      <c r="AM845" s="205"/>
      <c r="AN845" s="205"/>
      <c r="AO845" s="205"/>
      <c r="AP845" s="205"/>
      <c r="AQ845" s="205"/>
      <c r="AR845" s="205"/>
      <c r="AS845" s="205"/>
      <c r="AT845" s="205"/>
      <c r="AU845" s="205"/>
      <c r="AV845" s="205"/>
      <c r="AW845" s="205"/>
      <c r="AX845" s="205"/>
      <c r="AY845" s="205"/>
      <c r="AZ845" s="205"/>
      <c r="BA845" s="205"/>
    </row>
    <row r="846" spans="1:53" s="5" customFormat="1" x14ac:dyDescent="0.2">
      <c r="A846" s="33" t="s">
        <v>879</v>
      </c>
      <c r="B846" s="7">
        <f t="shared" si="137"/>
        <v>62399</v>
      </c>
      <c r="C846" s="7">
        <f t="shared" si="133"/>
        <v>62400</v>
      </c>
      <c r="D846" s="9" t="s">
        <v>895</v>
      </c>
      <c r="E846" s="8" t="s">
        <v>2079</v>
      </c>
      <c r="F846" s="7">
        <v>32</v>
      </c>
      <c r="G846" s="230">
        <f t="shared" si="134"/>
        <v>6.25E-2</v>
      </c>
      <c r="H846" s="7"/>
      <c r="I846" s="9">
        <f t="shared" si="135"/>
        <v>4</v>
      </c>
      <c r="J846" s="9">
        <f t="shared" si="136"/>
        <v>2</v>
      </c>
      <c r="K846" s="1" t="s">
        <v>796</v>
      </c>
      <c r="L846" s="11" t="s">
        <v>234</v>
      </c>
      <c r="M846" s="11"/>
      <c r="N846" s="11"/>
      <c r="O846" s="11"/>
      <c r="P846" s="136"/>
      <c r="Q846" s="136"/>
      <c r="R846" s="11"/>
      <c r="S846" s="11" t="s">
        <v>1181</v>
      </c>
      <c r="T846" s="157"/>
      <c r="U846" s="11"/>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row>
    <row r="847" spans="1:53" s="5" customFormat="1" x14ac:dyDescent="0.2">
      <c r="A847" s="33" t="s">
        <v>879</v>
      </c>
      <c r="B847" s="7">
        <f t="shared" si="137"/>
        <v>62401</v>
      </c>
      <c r="C847" s="7">
        <f t="shared" si="133"/>
        <v>62402</v>
      </c>
      <c r="D847" s="9" t="s">
        <v>895</v>
      </c>
      <c r="E847" s="8" t="s">
        <v>2096</v>
      </c>
      <c r="F847" s="7">
        <v>32</v>
      </c>
      <c r="G847" s="230">
        <f t="shared" si="134"/>
        <v>6.25E-2</v>
      </c>
      <c r="H847" s="7"/>
      <c r="I847" s="9">
        <f t="shared" si="135"/>
        <v>4</v>
      </c>
      <c r="J847" s="9">
        <f t="shared" si="136"/>
        <v>2</v>
      </c>
      <c r="K847" s="1" t="s">
        <v>796</v>
      </c>
      <c r="L847" s="11" t="s">
        <v>234</v>
      </c>
      <c r="M847" s="11"/>
      <c r="N847" s="11"/>
      <c r="O847" s="11"/>
      <c r="P847" s="136"/>
      <c r="Q847" s="136"/>
      <c r="R847" s="11"/>
      <c r="S847" s="11" t="s">
        <v>1181</v>
      </c>
      <c r="T847" s="157"/>
    </row>
    <row r="848" spans="1:53" ht="11.25" customHeight="1" x14ac:dyDescent="0.2">
      <c r="A848" s="33" t="s">
        <v>879</v>
      </c>
      <c r="B848" s="7">
        <f t="shared" si="137"/>
        <v>62403</v>
      </c>
      <c r="C848" s="7">
        <f t="shared" si="133"/>
        <v>62404</v>
      </c>
      <c r="D848" s="9" t="s">
        <v>895</v>
      </c>
      <c r="E848" s="8" t="s">
        <v>2121</v>
      </c>
      <c r="F848" s="7">
        <v>32</v>
      </c>
      <c r="G848" s="230">
        <f t="shared" si="134"/>
        <v>6.25E-2</v>
      </c>
      <c r="H848" s="7"/>
      <c r="I848" s="9">
        <f t="shared" si="135"/>
        <v>4</v>
      </c>
      <c r="J848" s="9">
        <f t="shared" si="136"/>
        <v>2</v>
      </c>
      <c r="K848" s="1" t="s">
        <v>796</v>
      </c>
      <c r="L848" s="11" t="s">
        <v>234</v>
      </c>
      <c r="M848" s="11"/>
      <c r="N848" s="11"/>
      <c r="O848" s="11"/>
      <c r="P848" s="136"/>
      <c r="Q848" s="136"/>
      <c r="R848" s="11"/>
      <c r="S848" s="11" t="s">
        <v>1181</v>
      </c>
      <c r="T848" s="157"/>
    </row>
    <row r="849" spans="1:20" s="5" customFormat="1" ht="12" customHeight="1" x14ac:dyDescent="0.2">
      <c r="A849" s="33" t="s">
        <v>879</v>
      </c>
      <c r="B849" s="7">
        <f t="shared" si="137"/>
        <v>62405</v>
      </c>
      <c r="C849" s="7">
        <f t="shared" si="133"/>
        <v>62406</v>
      </c>
      <c r="D849" s="9" t="s">
        <v>895</v>
      </c>
      <c r="E849" s="8" t="s">
        <v>2146</v>
      </c>
      <c r="F849" s="7">
        <v>32</v>
      </c>
      <c r="G849" s="230">
        <f t="shared" si="134"/>
        <v>6.25E-2</v>
      </c>
      <c r="H849" s="7"/>
      <c r="I849" s="9">
        <f t="shared" si="135"/>
        <v>4</v>
      </c>
      <c r="J849" s="9">
        <f t="shared" si="136"/>
        <v>2</v>
      </c>
      <c r="K849" s="1" t="s">
        <v>796</v>
      </c>
      <c r="L849" s="11" t="s">
        <v>234</v>
      </c>
      <c r="M849" s="11"/>
      <c r="N849" s="11"/>
      <c r="O849" s="11"/>
      <c r="P849" s="136"/>
      <c r="Q849" s="136"/>
      <c r="R849" s="11"/>
      <c r="S849" s="11" t="s">
        <v>1181</v>
      </c>
      <c r="T849" s="157"/>
    </row>
    <row r="850" spans="1:20" s="5" customFormat="1" x14ac:dyDescent="0.2">
      <c r="A850" s="33" t="s">
        <v>879</v>
      </c>
      <c r="B850" s="7">
        <f t="shared" si="137"/>
        <v>62407</v>
      </c>
      <c r="C850" s="7">
        <f t="shared" si="133"/>
        <v>62408</v>
      </c>
      <c r="D850" s="9" t="s">
        <v>895</v>
      </c>
      <c r="E850" s="8" t="s">
        <v>2171</v>
      </c>
      <c r="F850" s="7">
        <v>32</v>
      </c>
      <c r="G850" s="230">
        <f t="shared" si="134"/>
        <v>6.25E-2</v>
      </c>
      <c r="H850" s="7"/>
      <c r="I850" s="9">
        <f t="shared" si="135"/>
        <v>4</v>
      </c>
      <c r="J850" s="9">
        <f t="shared" si="136"/>
        <v>2</v>
      </c>
      <c r="K850" s="1" t="s">
        <v>796</v>
      </c>
      <c r="L850" s="11" t="s">
        <v>234</v>
      </c>
      <c r="M850" s="11"/>
      <c r="N850" s="11"/>
      <c r="O850" s="11"/>
      <c r="P850" s="136"/>
      <c r="Q850" s="136"/>
      <c r="R850" s="11"/>
      <c r="S850" s="11" t="s">
        <v>1181</v>
      </c>
      <c r="T850" s="157"/>
    </row>
    <row r="851" spans="1:20" s="5" customFormat="1" x14ac:dyDescent="0.2">
      <c r="A851" s="33" t="s">
        <v>879</v>
      </c>
      <c r="B851" s="7">
        <f t="shared" si="137"/>
        <v>62409</v>
      </c>
      <c r="C851" s="7">
        <f t="shared" si="133"/>
        <v>62410</v>
      </c>
      <c r="D851" s="9" t="s">
        <v>895</v>
      </c>
      <c r="E851" s="8" t="s">
        <v>2196</v>
      </c>
      <c r="F851" s="7">
        <v>32</v>
      </c>
      <c r="G851" s="230">
        <f t="shared" si="134"/>
        <v>6.25E-2</v>
      </c>
      <c r="H851" s="7"/>
      <c r="I851" s="9">
        <f t="shared" si="135"/>
        <v>4</v>
      </c>
      <c r="J851" s="9">
        <f t="shared" si="136"/>
        <v>2</v>
      </c>
      <c r="K851" s="1" t="s">
        <v>796</v>
      </c>
      <c r="L851" s="11" t="s">
        <v>234</v>
      </c>
      <c r="M851" s="11"/>
      <c r="N851" s="11"/>
      <c r="O851" s="11"/>
      <c r="P851" s="136"/>
      <c r="Q851" s="136"/>
      <c r="R851" s="11"/>
      <c r="S851" s="11" t="s">
        <v>1181</v>
      </c>
      <c r="T851" s="157"/>
    </row>
    <row r="852" spans="1:20" s="5" customFormat="1" x14ac:dyDescent="0.2">
      <c r="A852" s="33" t="s">
        <v>879</v>
      </c>
      <c r="B852" s="7">
        <f t="shared" si="137"/>
        <v>62411</v>
      </c>
      <c r="C852" s="7">
        <f t="shared" si="133"/>
        <v>62412</v>
      </c>
      <c r="D852" s="9" t="s">
        <v>895</v>
      </c>
      <c r="E852" s="8" t="s">
        <v>2271</v>
      </c>
      <c r="F852" s="7">
        <v>32</v>
      </c>
      <c r="G852" s="230">
        <f t="shared" si="134"/>
        <v>6.25E-2</v>
      </c>
      <c r="H852" s="7"/>
      <c r="I852" s="9">
        <f t="shared" si="135"/>
        <v>4</v>
      </c>
      <c r="J852" s="9">
        <f t="shared" si="136"/>
        <v>2</v>
      </c>
      <c r="K852" s="1" t="s">
        <v>796</v>
      </c>
      <c r="L852" s="11" t="s">
        <v>234</v>
      </c>
      <c r="M852" s="11"/>
      <c r="N852" s="11"/>
      <c r="O852" s="11"/>
      <c r="P852" s="136"/>
      <c r="Q852" s="136"/>
      <c r="R852" s="11"/>
      <c r="S852" s="11" t="s">
        <v>1181</v>
      </c>
      <c r="T852" s="157"/>
    </row>
    <row r="853" spans="1:20" s="5" customFormat="1" ht="12.6" customHeight="1" x14ac:dyDescent="0.2">
      <c r="A853" s="33" t="s">
        <v>879</v>
      </c>
      <c r="B853" s="7">
        <f t="shared" si="137"/>
        <v>62413</v>
      </c>
      <c r="C853" s="7">
        <f t="shared" si="133"/>
        <v>62414</v>
      </c>
      <c r="D853" s="9" t="s">
        <v>895</v>
      </c>
      <c r="E853" s="8" t="s">
        <v>2286</v>
      </c>
      <c r="F853" s="7">
        <v>32</v>
      </c>
      <c r="G853" s="230">
        <f t="shared" si="134"/>
        <v>6.25E-2</v>
      </c>
      <c r="H853" s="7"/>
      <c r="I853" s="9">
        <f t="shared" si="135"/>
        <v>4</v>
      </c>
      <c r="J853" s="9">
        <f t="shared" si="136"/>
        <v>2</v>
      </c>
      <c r="K853" s="1" t="s">
        <v>796</v>
      </c>
      <c r="L853" s="11" t="s">
        <v>234</v>
      </c>
      <c r="M853" s="11"/>
      <c r="N853" s="11"/>
      <c r="O853" s="11"/>
      <c r="P853" s="136"/>
      <c r="Q853" s="136"/>
      <c r="R853" s="11"/>
      <c r="S853" s="11" t="s">
        <v>1181</v>
      </c>
      <c r="T853" s="157"/>
    </row>
    <row r="854" spans="1:20" s="5" customFormat="1" x14ac:dyDescent="0.2">
      <c r="A854" s="33" t="s">
        <v>879</v>
      </c>
      <c r="B854" s="7">
        <f t="shared" si="137"/>
        <v>62415</v>
      </c>
      <c r="C854" s="7">
        <f t="shared" si="133"/>
        <v>62416</v>
      </c>
      <c r="D854" s="9" t="s">
        <v>895</v>
      </c>
      <c r="E854" s="8" t="s">
        <v>2301</v>
      </c>
      <c r="F854" s="7">
        <v>32</v>
      </c>
      <c r="G854" s="230">
        <f t="shared" si="134"/>
        <v>6.25E-2</v>
      </c>
      <c r="H854" s="7"/>
      <c r="I854" s="9">
        <f t="shared" si="135"/>
        <v>4</v>
      </c>
      <c r="J854" s="9">
        <f t="shared" si="136"/>
        <v>2</v>
      </c>
      <c r="K854" s="1" t="s">
        <v>796</v>
      </c>
      <c r="L854" s="11" t="s">
        <v>234</v>
      </c>
      <c r="M854" s="11"/>
      <c r="N854" s="11"/>
      <c r="O854" s="11"/>
      <c r="P854" s="136"/>
      <c r="Q854" s="136"/>
      <c r="R854" s="11"/>
      <c r="S854" s="11" t="s">
        <v>1181</v>
      </c>
      <c r="T854" s="157"/>
    </row>
    <row r="855" spans="1:20" s="5" customFormat="1" x14ac:dyDescent="0.2">
      <c r="A855" s="33" t="s">
        <v>879</v>
      </c>
      <c r="B855" s="7">
        <f t="shared" si="137"/>
        <v>62417</v>
      </c>
      <c r="C855" s="7">
        <f t="shared" si="133"/>
        <v>62418</v>
      </c>
      <c r="D855" s="9" t="s">
        <v>895</v>
      </c>
      <c r="E855" s="8" t="s">
        <v>2316</v>
      </c>
      <c r="F855" s="7">
        <v>32</v>
      </c>
      <c r="G855" s="230">
        <f t="shared" si="134"/>
        <v>6.25E-2</v>
      </c>
      <c r="H855" s="7"/>
      <c r="I855" s="9">
        <f t="shared" si="135"/>
        <v>4</v>
      </c>
      <c r="J855" s="9">
        <f t="shared" si="136"/>
        <v>2</v>
      </c>
      <c r="K855" s="1" t="s">
        <v>796</v>
      </c>
      <c r="L855" s="11" t="s">
        <v>234</v>
      </c>
      <c r="M855" s="11"/>
      <c r="N855" s="11"/>
      <c r="O855" s="11"/>
      <c r="P855" s="136"/>
      <c r="Q855" s="136"/>
      <c r="R855" s="11"/>
      <c r="S855" s="11" t="s">
        <v>1181</v>
      </c>
      <c r="T855" s="157"/>
    </row>
    <row r="856" spans="1:20" s="5" customFormat="1" x14ac:dyDescent="0.2">
      <c r="A856" s="33" t="s">
        <v>879</v>
      </c>
      <c r="B856" s="7">
        <f t="shared" si="137"/>
        <v>62419</v>
      </c>
      <c r="C856" s="7">
        <f t="shared" si="133"/>
        <v>62420</v>
      </c>
      <c r="D856" s="9" t="s">
        <v>895</v>
      </c>
      <c r="E856" s="8" t="s">
        <v>2331</v>
      </c>
      <c r="F856" s="7">
        <v>32</v>
      </c>
      <c r="G856" s="230">
        <f t="shared" si="134"/>
        <v>6.25E-2</v>
      </c>
      <c r="H856" s="7"/>
      <c r="I856" s="9">
        <f t="shared" si="135"/>
        <v>4</v>
      </c>
      <c r="J856" s="9">
        <f t="shared" si="136"/>
        <v>2</v>
      </c>
      <c r="K856" s="1" t="s">
        <v>796</v>
      </c>
      <c r="L856" s="11" t="s">
        <v>234</v>
      </c>
      <c r="M856" s="11"/>
      <c r="N856" s="11"/>
      <c r="O856" s="11"/>
      <c r="P856" s="136"/>
      <c r="Q856" s="136"/>
      <c r="R856" s="11"/>
      <c r="S856" s="11" t="s">
        <v>1181</v>
      </c>
      <c r="T856" s="157"/>
    </row>
    <row r="857" spans="1:20" s="5" customFormat="1" x14ac:dyDescent="0.2">
      <c r="A857" s="33" t="s">
        <v>879</v>
      </c>
      <c r="B857" s="7">
        <f t="shared" si="137"/>
        <v>62421</v>
      </c>
      <c r="C857" s="7">
        <f t="shared" si="133"/>
        <v>62422</v>
      </c>
      <c r="D857" s="9" t="s">
        <v>895</v>
      </c>
      <c r="E857" s="8" t="s">
        <v>2346</v>
      </c>
      <c r="F857" s="7">
        <v>32</v>
      </c>
      <c r="G857" s="230">
        <f t="shared" si="134"/>
        <v>6.25E-2</v>
      </c>
      <c r="H857" s="7"/>
      <c r="I857" s="9">
        <f t="shared" si="135"/>
        <v>4</v>
      </c>
      <c r="J857" s="9">
        <f t="shared" si="136"/>
        <v>2</v>
      </c>
      <c r="K857" s="1" t="s">
        <v>796</v>
      </c>
      <c r="L857" s="11" t="s">
        <v>234</v>
      </c>
      <c r="M857" s="11"/>
      <c r="N857" s="11"/>
      <c r="O857" s="11"/>
      <c r="P857" s="10"/>
      <c r="Q857" s="10"/>
      <c r="R857" s="11"/>
      <c r="S857" s="11" t="s">
        <v>1181</v>
      </c>
      <c r="T857" s="157"/>
    </row>
    <row r="858" spans="1:20" s="5" customFormat="1" x14ac:dyDescent="0.2">
      <c r="A858" s="33"/>
      <c r="B858" s="47">
        <f>B859</f>
        <v>62423</v>
      </c>
      <c r="C858" s="26"/>
      <c r="D858" s="28"/>
      <c r="E858" s="26" t="s">
        <v>194</v>
      </c>
      <c r="F858" s="171"/>
      <c r="G858" s="171"/>
      <c r="H858" s="171"/>
      <c r="I858" s="177"/>
      <c r="J858" s="177"/>
      <c r="K858" s="184"/>
      <c r="L858" s="185"/>
      <c r="M858" s="185"/>
      <c r="N858" s="185"/>
      <c r="O858" s="185"/>
      <c r="P858" s="182"/>
      <c r="Q858" s="182"/>
      <c r="R858" s="186"/>
      <c r="S858" s="186"/>
      <c r="T858" s="187"/>
    </row>
    <row r="859" spans="1:20" s="5" customFormat="1" x14ac:dyDescent="0.2">
      <c r="A859" s="33" t="s">
        <v>879</v>
      </c>
      <c r="B859" s="7">
        <f>C857+1</f>
        <v>62423</v>
      </c>
      <c r="C859" s="7">
        <f t="shared" ref="C859:C874" si="138">B859+($F859*$G859)-1</f>
        <v>62424</v>
      </c>
      <c r="D859" s="9" t="s">
        <v>895</v>
      </c>
      <c r="E859" s="8" t="s">
        <v>2011</v>
      </c>
      <c r="F859" s="7">
        <v>32</v>
      </c>
      <c r="G859" s="230">
        <f t="shared" si="134"/>
        <v>6.25E-2</v>
      </c>
      <c r="H859" s="7"/>
      <c r="I859" s="9">
        <f t="shared" ref="I859:I874" si="139">F859*2*G859</f>
        <v>4</v>
      </c>
      <c r="J859" s="9">
        <f t="shared" ref="J859:J874" si="140">C859-B859+1</f>
        <v>2</v>
      </c>
      <c r="K859" s="1" t="s">
        <v>796</v>
      </c>
      <c r="L859" s="11" t="s">
        <v>234</v>
      </c>
      <c r="M859" s="11"/>
      <c r="N859" s="11"/>
      <c r="O859" s="11"/>
      <c r="P859" s="136"/>
      <c r="Q859" s="136"/>
      <c r="R859" s="11"/>
      <c r="S859" s="11" t="s">
        <v>1181</v>
      </c>
      <c r="T859" s="157"/>
    </row>
    <row r="860" spans="1:20" s="5" customFormat="1" x14ac:dyDescent="0.2">
      <c r="A860" s="33" t="s">
        <v>879</v>
      </c>
      <c r="B860" s="7">
        <f t="shared" ref="B860:B874" si="141">C859+1</f>
        <v>62425</v>
      </c>
      <c r="C860" s="7">
        <f t="shared" si="138"/>
        <v>62426</v>
      </c>
      <c r="D860" s="9" t="s">
        <v>895</v>
      </c>
      <c r="E860" s="8" t="s">
        <v>2028</v>
      </c>
      <c r="F860" s="7">
        <v>32</v>
      </c>
      <c r="G860" s="230">
        <f t="shared" si="134"/>
        <v>6.25E-2</v>
      </c>
      <c r="H860" s="7"/>
      <c r="I860" s="9">
        <f t="shared" si="139"/>
        <v>4</v>
      </c>
      <c r="J860" s="9">
        <f t="shared" si="140"/>
        <v>2</v>
      </c>
      <c r="K860" s="1" t="s">
        <v>796</v>
      </c>
      <c r="L860" s="11" t="s">
        <v>234</v>
      </c>
      <c r="M860" s="11"/>
      <c r="N860" s="11"/>
      <c r="O860" s="11"/>
      <c r="P860" s="136"/>
      <c r="Q860" s="136"/>
      <c r="R860" s="11"/>
      <c r="S860" s="11" t="s">
        <v>1181</v>
      </c>
      <c r="T860" s="157"/>
    </row>
    <row r="861" spans="1:20" s="5" customFormat="1" x14ac:dyDescent="0.2">
      <c r="A861" s="33" t="s">
        <v>879</v>
      </c>
      <c r="B861" s="7">
        <f t="shared" si="141"/>
        <v>62427</v>
      </c>
      <c r="C861" s="7">
        <f t="shared" si="138"/>
        <v>62428</v>
      </c>
      <c r="D861" s="9" t="s">
        <v>895</v>
      </c>
      <c r="E861" s="8" t="s">
        <v>2046</v>
      </c>
      <c r="F861" s="7">
        <v>32</v>
      </c>
      <c r="G861" s="230">
        <f t="shared" si="134"/>
        <v>6.25E-2</v>
      </c>
      <c r="H861" s="7"/>
      <c r="I861" s="9">
        <f t="shared" si="139"/>
        <v>4</v>
      </c>
      <c r="J861" s="9">
        <f t="shared" si="140"/>
        <v>2</v>
      </c>
      <c r="K861" s="1" t="s">
        <v>796</v>
      </c>
      <c r="L861" s="11" t="s">
        <v>234</v>
      </c>
      <c r="M861" s="11"/>
      <c r="N861" s="11"/>
      <c r="O861" s="11"/>
      <c r="P861" s="136"/>
      <c r="Q861" s="136"/>
      <c r="R861" s="11"/>
      <c r="S861" s="11" t="s">
        <v>1181</v>
      </c>
      <c r="T861" s="157"/>
    </row>
    <row r="862" spans="1:20" s="5" customFormat="1" x14ac:dyDescent="0.2">
      <c r="A862" s="33" t="s">
        <v>879</v>
      </c>
      <c r="B862" s="7">
        <f t="shared" si="141"/>
        <v>62429</v>
      </c>
      <c r="C862" s="7">
        <f t="shared" si="138"/>
        <v>62430</v>
      </c>
      <c r="D862" s="9" t="s">
        <v>895</v>
      </c>
      <c r="E862" s="8" t="s">
        <v>2063</v>
      </c>
      <c r="F862" s="7">
        <v>32</v>
      </c>
      <c r="G862" s="230">
        <f t="shared" si="134"/>
        <v>6.25E-2</v>
      </c>
      <c r="H862" s="7"/>
      <c r="I862" s="9">
        <f t="shared" si="139"/>
        <v>4</v>
      </c>
      <c r="J862" s="9">
        <f t="shared" si="140"/>
        <v>2</v>
      </c>
      <c r="K862" s="1" t="s">
        <v>796</v>
      </c>
      <c r="L862" s="11" t="s">
        <v>234</v>
      </c>
      <c r="M862" s="11"/>
      <c r="N862" s="11"/>
      <c r="O862" s="11"/>
      <c r="P862" s="136"/>
      <c r="Q862" s="136"/>
      <c r="R862" s="11"/>
      <c r="S862" s="11" t="s">
        <v>1181</v>
      </c>
      <c r="T862" s="157"/>
    </row>
    <row r="863" spans="1:20" s="5" customFormat="1" x14ac:dyDescent="0.2">
      <c r="A863" s="33" t="s">
        <v>879</v>
      </c>
      <c r="B863" s="7">
        <f t="shared" si="141"/>
        <v>62431</v>
      </c>
      <c r="C863" s="7">
        <f t="shared" si="138"/>
        <v>62432</v>
      </c>
      <c r="D863" s="9" t="s">
        <v>895</v>
      </c>
      <c r="E863" s="8" t="s">
        <v>2080</v>
      </c>
      <c r="F863" s="7">
        <v>32</v>
      </c>
      <c r="G863" s="230">
        <f t="shared" si="134"/>
        <v>6.25E-2</v>
      </c>
      <c r="H863" s="7"/>
      <c r="I863" s="9">
        <f t="shared" si="139"/>
        <v>4</v>
      </c>
      <c r="J863" s="9">
        <f t="shared" si="140"/>
        <v>2</v>
      </c>
      <c r="K863" s="1" t="s">
        <v>796</v>
      </c>
      <c r="L863" s="11" t="s">
        <v>234</v>
      </c>
      <c r="M863" s="11"/>
      <c r="N863" s="11"/>
      <c r="O863" s="11"/>
      <c r="P863" s="136"/>
      <c r="Q863" s="136"/>
      <c r="R863" s="11"/>
      <c r="S863" s="11" t="s">
        <v>1181</v>
      </c>
      <c r="T863" s="157"/>
    </row>
    <row r="864" spans="1:20" s="5" customFormat="1" x14ac:dyDescent="0.2">
      <c r="A864" s="33" t="s">
        <v>879</v>
      </c>
      <c r="B864" s="7">
        <f t="shared" si="141"/>
        <v>62433</v>
      </c>
      <c r="C864" s="7">
        <f t="shared" si="138"/>
        <v>62434</v>
      </c>
      <c r="D864" s="9" t="s">
        <v>895</v>
      </c>
      <c r="E864" s="8" t="s">
        <v>2097</v>
      </c>
      <c r="F864" s="7">
        <v>32</v>
      </c>
      <c r="G864" s="230">
        <f t="shared" si="134"/>
        <v>6.25E-2</v>
      </c>
      <c r="H864" s="7"/>
      <c r="I864" s="9">
        <f t="shared" si="139"/>
        <v>4</v>
      </c>
      <c r="J864" s="9">
        <f t="shared" si="140"/>
        <v>2</v>
      </c>
      <c r="K864" s="1" t="s">
        <v>796</v>
      </c>
      <c r="L864" s="11" t="s">
        <v>234</v>
      </c>
      <c r="M864" s="11"/>
      <c r="N864" s="11"/>
      <c r="O864" s="11"/>
      <c r="P864" s="136"/>
      <c r="Q864" s="136"/>
      <c r="R864" s="11"/>
      <c r="S864" s="11" t="s">
        <v>1181</v>
      </c>
      <c r="T864" s="157"/>
    </row>
    <row r="865" spans="1:56" s="5" customFormat="1" x14ac:dyDescent="0.2">
      <c r="A865" s="33" t="s">
        <v>879</v>
      </c>
      <c r="B865" s="7">
        <f t="shared" si="141"/>
        <v>62435</v>
      </c>
      <c r="C865" s="7">
        <f t="shared" si="138"/>
        <v>62436</v>
      </c>
      <c r="D865" s="9" t="s">
        <v>895</v>
      </c>
      <c r="E865" s="8" t="s">
        <v>2122</v>
      </c>
      <c r="F865" s="7">
        <v>32</v>
      </c>
      <c r="G865" s="230">
        <f t="shared" si="134"/>
        <v>6.25E-2</v>
      </c>
      <c r="H865" s="7"/>
      <c r="I865" s="9">
        <f t="shared" si="139"/>
        <v>4</v>
      </c>
      <c r="J865" s="9">
        <f t="shared" si="140"/>
        <v>2</v>
      </c>
      <c r="K865" s="1" t="s">
        <v>796</v>
      </c>
      <c r="L865" s="11" t="s">
        <v>234</v>
      </c>
      <c r="M865" s="11"/>
      <c r="N865" s="11"/>
      <c r="O865" s="11"/>
      <c r="P865" s="136"/>
      <c r="Q865" s="136"/>
      <c r="R865" s="11"/>
      <c r="S865" s="11" t="s">
        <v>1181</v>
      </c>
      <c r="T865" s="157"/>
    </row>
    <row r="866" spans="1:56" s="5" customFormat="1" x14ac:dyDescent="0.2">
      <c r="A866" s="33" t="s">
        <v>879</v>
      </c>
      <c r="B866" s="7">
        <f t="shared" si="141"/>
        <v>62437</v>
      </c>
      <c r="C866" s="7">
        <f t="shared" si="138"/>
        <v>62438</v>
      </c>
      <c r="D866" s="9" t="s">
        <v>895</v>
      </c>
      <c r="E866" s="8" t="s">
        <v>2147</v>
      </c>
      <c r="F866" s="7">
        <v>32</v>
      </c>
      <c r="G866" s="230">
        <f t="shared" si="134"/>
        <v>6.25E-2</v>
      </c>
      <c r="H866" s="7"/>
      <c r="I866" s="9">
        <f t="shared" si="139"/>
        <v>4</v>
      </c>
      <c r="J866" s="9">
        <f t="shared" si="140"/>
        <v>2</v>
      </c>
      <c r="K866" s="1" t="s">
        <v>796</v>
      </c>
      <c r="L866" s="11" t="s">
        <v>234</v>
      </c>
      <c r="M866" s="11"/>
      <c r="N866" s="11"/>
      <c r="O866" s="11"/>
      <c r="P866" s="136"/>
      <c r="Q866" s="136"/>
      <c r="R866" s="11"/>
      <c r="S866" s="11" t="s">
        <v>1181</v>
      </c>
      <c r="T866" s="157"/>
    </row>
    <row r="867" spans="1:56" s="5" customFormat="1" x14ac:dyDescent="0.2">
      <c r="A867" s="33" t="s">
        <v>879</v>
      </c>
      <c r="B867" s="7">
        <f t="shared" si="141"/>
        <v>62439</v>
      </c>
      <c r="C867" s="7">
        <f t="shared" si="138"/>
        <v>62440</v>
      </c>
      <c r="D867" s="9" t="s">
        <v>895</v>
      </c>
      <c r="E867" s="8" t="s">
        <v>2172</v>
      </c>
      <c r="F867" s="7">
        <v>32</v>
      </c>
      <c r="G867" s="230">
        <f t="shared" si="134"/>
        <v>6.25E-2</v>
      </c>
      <c r="H867" s="7"/>
      <c r="I867" s="9">
        <f t="shared" si="139"/>
        <v>4</v>
      </c>
      <c r="J867" s="9">
        <f t="shared" si="140"/>
        <v>2</v>
      </c>
      <c r="K867" s="1" t="s">
        <v>796</v>
      </c>
      <c r="L867" s="11" t="s">
        <v>234</v>
      </c>
      <c r="M867" s="11"/>
      <c r="N867" s="11"/>
      <c r="O867" s="11"/>
      <c r="P867" s="136"/>
      <c r="Q867" s="136"/>
      <c r="R867" s="11"/>
      <c r="S867" s="11" t="s">
        <v>1181</v>
      </c>
      <c r="T867" s="157"/>
    </row>
    <row r="868" spans="1:56" s="5" customFormat="1" x14ac:dyDescent="0.2">
      <c r="A868" s="33" t="s">
        <v>879</v>
      </c>
      <c r="B868" s="7">
        <f t="shared" si="141"/>
        <v>62441</v>
      </c>
      <c r="C868" s="7">
        <f t="shared" si="138"/>
        <v>62442</v>
      </c>
      <c r="D868" s="9" t="s">
        <v>895</v>
      </c>
      <c r="E868" s="8" t="s">
        <v>2197</v>
      </c>
      <c r="F868" s="7">
        <v>32</v>
      </c>
      <c r="G868" s="230">
        <f t="shared" si="134"/>
        <v>6.25E-2</v>
      </c>
      <c r="H868" s="7"/>
      <c r="I868" s="9">
        <f t="shared" si="139"/>
        <v>4</v>
      </c>
      <c r="J868" s="9">
        <f t="shared" si="140"/>
        <v>2</v>
      </c>
      <c r="K868" s="1" t="s">
        <v>796</v>
      </c>
      <c r="L868" s="11" t="s">
        <v>234</v>
      </c>
      <c r="M868" s="11"/>
      <c r="N868" s="11"/>
      <c r="O868" s="11"/>
      <c r="P868" s="136"/>
      <c r="Q868" s="136"/>
      <c r="R868" s="11"/>
      <c r="S868" s="11" t="s">
        <v>1181</v>
      </c>
      <c r="T868" s="157"/>
    </row>
    <row r="869" spans="1:56" s="5" customFormat="1" x14ac:dyDescent="0.2">
      <c r="A869" s="33" t="s">
        <v>879</v>
      </c>
      <c r="B869" s="7">
        <f t="shared" si="141"/>
        <v>62443</v>
      </c>
      <c r="C869" s="7">
        <f t="shared" si="138"/>
        <v>62444</v>
      </c>
      <c r="D869" s="9" t="s">
        <v>895</v>
      </c>
      <c r="E869" s="8" t="s">
        <v>2272</v>
      </c>
      <c r="F869" s="7">
        <v>32</v>
      </c>
      <c r="G869" s="230">
        <f t="shared" si="134"/>
        <v>6.25E-2</v>
      </c>
      <c r="H869" s="7"/>
      <c r="I869" s="9">
        <f t="shared" si="139"/>
        <v>4</v>
      </c>
      <c r="J869" s="9">
        <f t="shared" si="140"/>
        <v>2</v>
      </c>
      <c r="K869" s="1" t="s">
        <v>796</v>
      </c>
      <c r="L869" s="11" t="s">
        <v>234</v>
      </c>
      <c r="M869" s="11"/>
      <c r="N869" s="11"/>
      <c r="O869" s="11"/>
      <c r="P869" s="136"/>
      <c r="Q869" s="136"/>
      <c r="R869" s="11"/>
      <c r="S869" s="11" t="s">
        <v>1181</v>
      </c>
      <c r="T869" s="157"/>
    </row>
    <row r="870" spans="1:56" s="5" customFormat="1" x14ac:dyDescent="0.2">
      <c r="A870" s="33" t="s">
        <v>879</v>
      </c>
      <c r="B870" s="7">
        <f t="shared" si="141"/>
        <v>62445</v>
      </c>
      <c r="C870" s="7">
        <f t="shared" si="138"/>
        <v>62446</v>
      </c>
      <c r="D870" s="9" t="s">
        <v>895</v>
      </c>
      <c r="E870" s="8" t="s">
        <v>2287</v>
      </c>
      <c r="F870" s="7">
        <v>32</v>
      </c>
      <c r="G870" s="230">
        <f t="shared" si="134"/>
        <v>6.25E-2</v>
      </c>
      <c r="H870" s="7"/>
      <c r="I870" s="9">
        <f t="shared" si="139"/>
        <v>4</v>
      </c>
      <c r="J870" s="9">
        <f t="shared" si="140"/>
        <v>2</v>
      </c>
      <c r="K870" s="1" t="s">
        <v>796</v>
      </c>
      <c r="L870" s="11" t="s">
        <v>234</v>
      </c>
      <c r="M870" s="11"/>
      <c r="N870" s="11"/>
      <c r="O870" s="11"/>
      <c r="P870" s="136"/>
      <c r="Q870" s="136"/>
      <c r="R870" s="11"/>
      <c r="S870" s="11" t="s">
        <v>1181</v>
      </c>
      <c r="T870" s="157"/>
    </row>
    <row r="871" spans="1:56" s="5" customFormat="1" ht="12" customHeight="1" x14ac:dyDescent="0.2">
      <c r="A871" s="33" t="s">
        <v>879</v>
      </c>
      <c r="B871" s="7">
        <f t="shared" si="141"/>
        <v>62447</v>
      </c>
      <c r="C871" s="7">
        <f t="shared" si="138"/>
        <v>62448</v>
      </c>
      <c r="D871" s="9" t="s">
        <v>895</v>
      </c>
      <c r="E871" s="8" t="s">
        <v>2302</v>
      </c>
      <c r="F871" s="7">
        <v>32</v>
      </c>
      <c r="G871" s="230">
        <f t="shared" si="134"/>
        <v>6.25E-2</v>
      </c>
      <c r="H871" s="7"/>
      <c r="I871" s="9">
        <f t="shared" si="139"/>
        <v>4</v>
      </c>
      <c r="J871" s="9">
        <f t="shared" si="140"/>
        <v>2</v>
      </c>
      <c r="K871" s="1" t="s">
        <v>796</v>
      </c>
      <c r="L871" s="11" t="s">
        <v>234</v>
      </c>
      <c r="M871" s="11"/>
      <c r="N871" s="11"/>
      <c r="O871" s="11"/>
      <c r="P871" s="136"/>
      <c r="Q871" s="136"/>
      <c r="R871" s="11"/>
      <c r="S871" s="11" t="s">
        <v>1181</v>
      </c>
      <c r="T871" s="157"/>
    </row>
    <row r="872" spans="1:56" s="5" customFormat="1" x14ac:dyDescent="0.2">
      <c r="A872" s="33" t="s">
        <v>879</v>
      </c>
      <c r="B872" s="7">
        <f t="shared" si="141"/>
        <v>62449</v>
      </c>
      <c r="C872" s="7">
        <f t="shared" si="138"/>
        <v>62450</v>
      </c>
      <c r="D872" s="9" t="s">
        <v>895</v>
      </c>
      <c r="E872" s="8" t="s">
        <v>2317</v>
      </c>
      <c r="F872" s="7">
        <v>32</v>
      </c>
      <c r="G872" s="230">
        <f t="shared" si="134"/>
        <v>6.25E-2</v>
      </c>
      <c r="H872" s="7"/>
      <c r="I872" s="9">
        <f t="shared" si="139"/>
        <v>4</v>
      </c>
      <c r="J872" s="9">
        <f t="shared" si="140"/>
        <v>2</v>
      </c>
      <c r="K872" s="1" t="s">
        <v>796</v>
      </c>
      <c r="L872" s="11" t="s">
        <v>234</v>
      </c>
      <c r="M872" s="11"/>
      <c r="N872" s="11"/>
      <c r="O872" s="11"/>
      <c r="P872" s="136"/>
      <c r="Q872" s="136"/>
      <c r="R872" s="11"/>
      <c r="S872" s="11" t="s">
        <v>1181</v>
      </c>
      <c r="T872" s="157"/>
    </row>
    <row r="873" spans="1:56" s="5" customFormat="1" x14ac:dyDescent="0.2">
      <c r="A873" s="33" t="s">
        <v>879</v>
      </c>
      <c r="B873" s="7">
        <f t="shared" si="141"/>
        <v>62451</v>
      </c>
      <c r="C873" s="7">
        <f t="shared" si="138"/>
        <v>62452</v>
      </c>
      <c r="D873" s="9" t="s">
        <v>895</v>
      </c>
      <c r="E873" s="8" t="s">
        <v>2332</v>
      </c>
      <c r="F873" s="7">
        <v>32</v>
      </c>
      <c r="G873" s="230">
        <f t="shared" si="134"/>
        <v>6.25E-2</v>
      </c>
      <c r="H873" s="7"/>
      <c r="I873" s="9">
        <f t="shared" si="139"/>
        <v>4</v>
      </c>
      <c r="J873" s="9">
        <f t="shared" si="140"/>
        <v>2</v>
      </c>
      <c r="K873" s="1" t="s">
        <v>796</v>
      </c>
      <c r="L873" s="11" t="s">
        <v>234</v>
      </c>
      <c r="M873" s="11"/>
      <c r="N873" s="11"/>
      <c r="O873" s="11"/>
      <c r="P873" s="136"/>
      <c r="Q873" s="136"/>
      <c r="R873" s="11"/>
      <c r="S873" s="11" t="s">
        <v>1181</v>
      </c>
      <c r="T873" s="157"/>
    </row>
    <row r="874" spans="1:56" s="5" customFormat="1" x14ac:dyDescent="0.2">
      <c r="A874" s="33" t="s">
        <v>879</v>
      </c>
      <c r="B874" s="7">
        <f t="shared" si="141"/>
        <v>62453</v>
      </c>
      <c r="C874" s="7">
        <f t="shared" si="138"/>
        <v>62454</v>
      </c>
      <c r="D874" s="9" t="s">
        <v>895</v>
      </c>
      <c r="E874" s="8" t="s">
        <v>2347</v>
      </c>
      <c r="F874" s="7">
        <v>32</v>
      </c>
      <c r="G874" s="230">
        <f t="shared" si="134"/>
        <v>6.25E-2</v>
      </c>
      <c r="H874" s="7"/>
      <c r="I874" s="9">
        <f t="shared" si="139"/>
        <v>4</v>
      </c>
      <c r="J874" s="9">
        <f t="shared" si="140"/>
        <v>2</v>
      </c>
      <c r="K874" s="1" t="s">
        <v>796</v>
      </c>
      <c r="L874" s="11" t="s">
        <v>234</v>
      </c>
      <c r="M874" s="11"/>
      <c r="N874" s="11"/>
      <c r="O874" s="11"/>
      <c r="P874" s="10"/>
      <c r="Q874" s="10"/>
      <c r="R874" s="11"/>
      <c r="S874" s="11" t="s">
        <v>1181</v>
      </c>
      <c r="T874" s="157"/>
    </row>
    <row r="875" spans="1:56" s="5" customFormat="1" x14ac:dyDescent="0.2">
      <c r="A875" s="33"/>
      <c r="B875" s="47">
        <f>B876</f>
        <v>62455</v>
      </c>
      <c r="C875" s="26"/>
      <c r="D875" s="28"/>
      <c r="E875" s="26" t="s">
        <v>194</v>
      </c>
      <c r="F875" s="171"/>
      <c r="G875" s="171"/>
      <c r="H875" s="171"/>
      <c r="I875" s="177"/>
      <c r="J875" s="177"/>
      <c r="K875" s="184"/>
      <c r="L875" s="185"/>
      <c r="M875" s="185"/>
      <c r="N875" s="185"/>
      <c r="O875" s="185"/>
      <c r="P875" s="182"/>
      <c r="Q875" s="182"/>
      <c r="R875" s="186"/>
      <c r="S875" s="186"/>
      <c r="T875" s="187"/>
      <c r="U875" s="154"/>
      <c r="V875" s="172"/>
      <c r="W875" s="172"/>
      <c r="X875" s="172"/>
      <c r="Y875" s="172"/>
      <c r="Z875" s="172"/>
      <c r="AA875" s="172"/>
      <c r="AB875" s="172"/>
      <c r="AC875" s="172"/>
      <c r="AD875" s="57"/>
      <c r="AE875" s="57"/>
      <c r="AF875" s="57"/>
      <c r="AG875" s="57"/>
      <c r="AH875" s="57"/>
      <c r="AI875" s="57"/>
      <c r="AJ875" s="57"/>
      <c r="AK875" s="57"/>
      <c r="AL875" s="57"/>
      <c r="AM875" s="57"/>
      <c r="AN875" s="57"/>
      <c r="AO875" s="57"/>
      <c r="AP875" s="57"/>
      <c r="AQ875" s="57"/>
      <c r="AR875" s="57"/>
      <c r="AS875" s="57"/>
      <c r="AT875" s="57"/>
      <c r="AU875" s="57"/>
      <c r="AV875" s="57"/>
      <c r="AW875" s="57"/>
      <c r="AX875" s="57"/>
      <c r="AY875" s="57"/>
      <c r="AZ875" s="57"/>
      <c r="BA875" s="57"/>
      <c r="BB875" s="467"/>
      <c r="BC875" s="467"/>
      <c r="BD875" s="467"/>
    </row>
    <row r="876" spans="1:56" s="5" customFormat="1" x14ac:dyDescent="0.2">
      <c r="A876" s="33" t="s">
        <v>879</v>
      </c>
      <c r="B876" s="7">
        <f>C874+1</f>
        <v>62455</v>
      </c>
      <c r="C876" s="7">
        <f t="shared" ref="C876:C891" si="142">B876+($F876*$G876)-1</f>
        <v>62456</v>
      </c>
      <c r="D876" s="9" t="s">
        <v>895</v>
      </c>
      <c r="E876" s="8" t="s">
        <v>2012</v>
      </c>
      <c r="F876" s="7">
        <v>32</v>
      </c>
      <c r="G876" s="230">
        <f t="shared" si="134"/>
        <v>6.25E-2</v>
      </c>
      <c r="H876" s="7"/>
      <c r="I876" s="9">
        <f t="shared" ref="I876:I891" si="143">F876*2*G876</f>
        <v>4</v>
      </c>
      <c r="J876" s="9">
        <f t="shared" ref="J876:J891" si="144">C876-B876+1</f>
        <v>2</v>
      </c>
      <c r="K876" s="1" t="s">
        <v>796</v>
      </c>
      <c r="L876" s="11" t="s">
        <v>234</v>
      </c>
      <c r="M876" s="11"/>
      <c r="N876" s="11"/>
      <c r="O876" s="11"/>
      <c r="P876" s="136"/>
      <c r="Q876" s="136"/>
      <c r="R876" s="11"/>
      <c r="S876" s="11" t="s">
        <v>1181</v>
      </c>
      <c r="T876" s="157"/>
      <c r="U876" s="154"/>
      <c r="V876" s="172"/>
      <c r="W876" s="15"/>
      <c r="X876" s="172"/>
      <c r="Y876" s="172"/>
      <c r="Z876" s="172"/>
      <c r="AA876" s="172"/>
      <c r="AB876" s="172"/>
      <c r="AC876" s="172"/>
      <c r="AD876" s="57"/>
      <c r="AE876" s="57"/>
      <c r="AF876" s="57"/>
      <c r="AG876" s="57"/>
      <c r="AH876" s="57"/>
      <c r="AI876" s="57"/>
      <c r="AJ876" s="57"/>
      <c r="AK876" s="57"/>
      <c r="AL876" s="57"/>
      <c r="AM876" s="57"/>
      <c r="AN876" s="57"/>
      <c r="AO876" s="57"/>
      <c r="AP876" s="57"/>
      <c r="AQ876" s="57"/>
      <c r="AR876" s="57"/>
      <c r="AS876" s="57"/>
      <c r="AT876" s="57"/>
      <c r="AU876" s="57"/>
      <c r="AV876" s="57"/>
      <c r="AW876" s="57"/>
      <c r="AX876" s="57"/>
      <c r="AY876" s="57"/>
      <c r="AZ876" s="57"/>
      <c r="BA876" s="57"/>
      <c r="BB876" s="466"/>
      <c r="BC876" s="466"/>
      <c r="BD876" s="466"/>
    </row>
    <row r="877" spans="1:56" s="5" customFormat="1" x14ac:dyDescent="0.2">
      <c r="A877" s="33" t="s">
        <v>879</v>
      </c>
      <c r="B877" s="7">
        <f t="shared" ref="B877:B891" si="145">C876+1</f>
        <v>62457</v>
      </c>
      <c r="C877" s="7">
        <f t="shared" si="142"/>
        <v>62458</v>
      </c>
      <c r="D877" s="9" t="s">
        <v>895</v>
      </c>
      <c r="E877" s="8" t="s">
        <v>2029</v>
      </c>
      <c r="F877" s="7">
        <v>32</v>
      </c>
      <c r="G877" s="230">
        <f t="shared" si="134"/>
        <v>6.25E-2</v>
      </c>
      <c r="H877" s="7"/>
      <c r="I877" s="9">
        <f t="shared" si="143"/>
        <v>4</v>
      </c>
      <c r="J877" s="9">
        <f t="shared" si="144"/>
        <v>2</v>
      </c>
      <c r="K877" s="1" t="s">
        <v>796</v>
      </c>
      <c r="L877" s="11" t="s">
        <v>234</v>
      </c>
      <c r="M877" s="11"/>
      <c r="N877" s="11"/>
      <c r="O877" s="11"/>
      <c r="P877" s="136"/>
      <c r="Q877" s="136"/>
      <c r="R877" s="11"/>
      <c r="S877" s="11" t="s">
        <v>1181</v>
      </c>
      <c r="T877" s="157"/>
      <c r="U877" s="154"/>
      <c r="V877" s="172"/>
      <c r="W877" s="15"/>
      <c r="X877" s="172"/>
      <c r="Y877" s="172"/>
      <c r="Z877" s="172"/>
      <c r="AA877" s="172"/>
      <c r="AB877" s="172"/>
      <c r="AC877" s="172"/>
      <c r="AD877" s="57"/>
      <c r="AE877" s="57"/>
      <c r="AF877" s="57"/>
      <c r="AG877" s="57"/>
      <c r="AH877" s="57"/>
      <c r="AI877" s="57"/>
      <c r="AJ877" s="57"/>
      <c r="AK877" s="57"/>
      <c r="AL877" s="57"/>
      <c r="AM877" s="57"/>
      <c r="AN877" s="57"/>
      <c r="AO877" s="57"/>
      <c r="AP877" s="57"/>
      <c r="AQ877" s="57"/>
      <c r="AR877" s="57"/>
      <c r="AS877" s="57"/>
      <c r="AT877" s="57"/>
      <c r="AU877" s="57"/>
      <c r="AV877" s="57"/>
      <c r="AW877" s="57"/>
      <c r="AX877" s="57"/>
      <c r="AY877" s="57"/>
      <c r="AZ877" s="57"/>
      <c r="BA877" s="57"/>
      <c r="BB877" s="467"/>
      <c r="BC877" s="467"/>
      <c r="BD877" s="467"/>
    </row>
    <row r="878" spans="1:56" s="5" customFormat="1" x14ac:dyDescent="0.2">
      <c r="A878" s="33" t="s">
        <v>879</v>
      </c>
      <c r="B878" s="7">
        <f t="shared" si="145"/>
        <v>62459</v>
      </c>
      <c r="C878" s="7">
        <f t="shared" si="142"/>
        <v>62460</v>
      </c>
      <c r="D878" s="9" t="s">
        <v>895</v>
      </c>
      <c r="E878" s="8" t="s">
        <v>2047</v>
      </c>
      <c r="F878" s="7">
        <v>32</v>
      </c>
      <c r="G878" s="230">
        <f t="shared" si="134"/>
        <v>6.25E-2</v>
      </c>
      <c r="H878" s="7"/>
      <c r="I878" s="9">
        <f t="shared" si="143"/>
        <v>4</v>
      </c>
      <c r="J878" s="9">
        <f t="shared" si="144"/>
        <v>2</v>
      </c>
      <c r="K878" s="1" t="s">
        <v>796</v>
      </c>
      <c r="L878" s="11" t="s">
        <v>234</v>
      </c>
      <c r="M878" s="11"/>
      <c r="N878" s="11"/>
      <c r="O878" s="11"/>
      <c r="P878" s="136"/>
      <c r="Q878" s="136"/>
      <c r="R878" s="11"/>
      <c r="S878" s="11" t="s">
        <v>1181</v>
      </c>
      <c r="T878" s="157"/>
      <c r="U878" s="154"/>
      <c r="V878" s="172"/>
      <c r="W878" s="15"/>
      <c r="X878" s="172"/>
      <c r="Y878" s="172"/>
      <c r="Z878" s="172"/>
      <c r="AA878" s="172"/>
      <c r="AB878" s="172"/>
      <c r="AC878" s="172"/>
      <c r="AD878" s="57"/>
      <c r="AE878" s="57"/>
      <c r="AF878" s="57"/>
      <c r="AG878" s="57"/>
      <c r="AH878" s="57"/>
      <c r="AI878" s="57"/>
      <c r="AJ878" s="57"/>
      <c r="AK878" s="57"/>
      <c r="AL878" s="57"/>
      <c r="AM878" s="57"/>
      <c r="AN878" s="57"/>
      <c r="AO878" s="57"/>
      <c r="AP878" s="57"/>
      <c r="AQ878" s="57"/>
      <c r="AR878" s="57"/>
      <c r="AS878" s="57"/>
      <c r="AT878" s="57"/>
      <c r="AU878" s="57"/>
      <c r="AV878" s="57"/>
      <c r="AW878" s="57"/>
      <c r="AX878" s="57"/>
      <c r="AY878" s="57"/>
      <c r="AZ878" s="57"/>
      <c r="BA878" s="57"/>
      <c r="BB878" s="466"/>
      <c r="BC878" s="466"/>
      <c r="BD878" s="466"/>
    </row>
    <row r="879" spans="1:56" s="5" customFormat="1" x14ac:dyDescent="0.2">
      <c r="A879" s="33" t="s">
        <v>879</v>
      </c>
      <c r="B879" s="7">
        <f t="shared" si="145"/>
        <v>62461</v>
      </c>
      <c r="C879" s="7">
        <f t="shared" si="142"/>
        <v>62462</v>
      </c>
      <c r="D879" s="9" t="s">
        <v>895</v>
      </c>
      <c r="E879" s="8" t="s">
        <v>2064</v>
      </c>
      <c r="F879" s="7">
        <v>32</v>
      </c>
      <c r="G879" s="230">
        <f t="shared" si="134"/>
        <v>6.25E-2</v>
      </c>
      <c r="H879" s="7"/>
      <c r="I879" s="9">
        <f t="shared" si="143"/>
        <v>4</v>
      </c>
      <c r="J879" s="9">
        <f t="shared" si="144"/>
        <v>2</v>
      </c>
      <c r="K879" s="1" t="s">
        <v>796</v>
      </c>
      <c r="L879" s="11" t="s">
        <v>234</v>
      </c>
      <c r="M879" s="11"/>
      <c r="N879" s="11"/>
      <c r="O879" s="11"/>
      <c r="P879" s="136"/>
      <c r="Q879" s="136"/>
      <c r="R879" s="11"/>
      <c r="S879" s="11" t="s">
        <v>1181</v>
      </c>
      <c r="T879" s="157"/>
      <c r="U879" s="154"/>
      <c r="V879" s="260"/>
      <c r="W879" s="12"/>
      <c r="X879" s="172"/>
      <c r="Y879" s="172"/>
      <c r="Z879" s="172"/>
      <c r="AA879" s="172"/>
      <c r="AB879" s="172"/>
      <c r="AC879" s="172"/>
      <c r="AD879" s="57"/>
      <c r="AE879" s="57"/>
      <c r="AF879" s="57"/>
      <c r="AG879" s="57"/>
      <c r="AH879" s="57"/>
      <c r="AI879" s="57"/>
      <c r="AJ879" s="57"/>
      <c r="AK879" s="57"/>
      <c r="AL879" s="57"/>
      <c r="AM879" s="57"/>
      <c r="AN879" s="57"/>
      <c r="AO879" s="57"/>
      <c r="AP879" s="57"/>
      <c r="AQ879" s="57"/>
      <c r="AR879" s="57"/>
      <c r="AS879" s="57"/>
      <c r="AT879" s="57"/>
      <c r="AU879" s="57"/>
      <c r="AV879" s="57"/>
      <c r="AW879" s="57"/>
      <c r="AX879" s="57"/>
      <c r="AY879" s="57"/>
      <c r="AZ879" s="57"/>
      <c r="BA879" s="57"/>
      <c r="BB879" s="467"/>
      <c r="BC879" s="467"/>
      <c r="BD879" s="467"/>
    </row>
    <row r="880" spans="1:56" s="5" customFormat="1" ht="11.25" customHeight="1" x14ac:dyDescent="0.2">
      <c r="A880" s="33" t="s">
        <v>879</v>
      </c>
      <c r="B880" s="7">
        <f t="shared" si="145"/>
        <v>62463</v>
      </c>
      <c r="C880" s="7">
        <f t="shared" si="142"/>
        <v>62464</v>
      </c>
      <c r="D880" s="9" t="s">
        <v>895</v>
      </c>
      <c r="E880" s="8" t="s">
        <v>2081</v>
      </c>
      <c r="F880" s="7">
        <v>32</v>
      </c>
      <c r="G880" s="230">
        <f t="shared" si="134"/>
        <v>6.25E-2</v>
      </c>
      <c r="H880" s="7"/>
      <c r="I880" s="9">
        <f t="shared" si="143"/>
        <v>4</v>
      </c>
      <c r="J880" s="9">
        <f t="shared" si="144"/>
        <v>2</v>
      </c>
      <c r="K880" s="1" t="s">
        <v>796</v>
      </c>
      <c r="L880" s="11" t="s">
        <v>234</v>
      </c>
      <c r="M880" s="11"/>
      <c r="N880" s="11"/>
      <c r="O880" s="11"/>
      <c r="P880" s="136"/>
      <c r="Q880" s="136"/>
      <c r="R880" s="11"/>
      <c r="S880" s="11" t="s">
        <v>1181</v>
      </c>
      <c r="T880" s="157"/>
      <c r="U880" s="11"/>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466"/>
      <c r="BC880" s="466"/>
      <c r="BD880" s="466"/>
    </row>
    <row r="881" spans="1:56" s="5" customFormat="1" ht="11.25" customHeight="1" x14ac:dyDescent="0.2">
      <c r="A881" s="33" t="s">
        <v>879</v>
      </c>
      <c r="B881" s="7">
        <f t="shared" si="145"/>
        <v>62465</v>
      </c>
      <c r="C881" s="7">
        <f t="shared" si="142"/>
        <v>62466</v>
      </c>
      <c r="D881" s="9" t="s">
        <v>895</v>
      </c>
      <c r="E881" s="8" t="s">
        <v>2098</v>
      </c>
      <c r="F881" s="7">
        <v>32</v>
      </c>
      <c r="G881" s="230">
        <f t="shared" si="134"/>
        <v>6.25E-2</v>
      </c>
      <c r="H881" s="7"/>
      <c r="I881" s="9">
        <f t="shared" si="143"/>
        <v>4</v>
      </c>
      <c r="J881" s="9">
        <f t="shared" si="144"/>
        <v>2</v>
      </c>
      <c r="K881" s="1" t="s">
        <v>796</v>
      </c>
      <c r="L881" s="11" t="s">
        <v>234</v>
      </c>
      <c r="M881" s="11"/>
      <c r="N881" s="11"/>
      <c r="O881" s="11"/>
      <c r="P881" s="136"/>
      <c r="Q881" s="136"/>
      <c r="R881" s="11"/>
      <c r="S881" s="11" t="s">
        <v>1181</v>
      </c>
      <c r="T881" s="157"/>
      <c r="U881" s="11"/>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467"/>
      <c r="BC881" s="467"/>
      <c r="BD881" s="467"/>
    </row>
    <row r="882" spans="1:56" s="5" customFormat="1" ht="11.25" customHeight="1" x14ac:dyDescent="0.2">
      <c r="A882" s="33" t="s">
        <v>879</v>
      </c>
      <c r="B882" s="7">
        <f t="shared" si="145"/>
        <v>62467</v>
      </c>
      <c r="C882" s="7">
        <f t="shared" si="142"/>
        <v>62468</v>
      </c>
      <c r="D882" s="9" t="s">
        <v>895</v>
      </c>
      <c r="E882" s="8" t="s">
        <v>2123</v>
      </c>
      <c r="F882" s="7">
        <v>32</v>
      </c>
      <c r="G882" s="230">
        <f t="shared" si="134"/>
        <v>6.25E-2</v>
      </c>
      <c r="H882" s="7"/>
      <c r="I882" s="9">
        <f t="shared" si="143"/>
        <v>4</v>
      </c>
      <c r="J882" s="9">
        <f t="shared" si="144"/>
        <v>2</v>
      </c>
      <c r="K882" s="1" t="s">
        <v>796</v>
      </c>
      <c r="L882" s="11" t="s">
        <v>234</v>
      </c>
      <c r="M882" s="11"/>
      <c r="N882" s="11"/>
      <c r="O882" s="11"/>
      <c r="P882" s="136"/>
      <c r="Q882" s="136"/>
      <c r="R882" s="11"/>
      <c r="S882" s="11" t="s">
        <v>1181</v>
      </c>
      <c r="T882" s="157"/>
      <c r="U882" s="11"/>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466"/>
      <c r="BC882" s="466"/>
      <c r="BD882" s="466"/>
    </row>
    <row r="883" spans="1:56" s="5" customFormat="1" x14ac:dyDescent="0.2">
      <c r="A883" s="33" t="s">
        <v>879</v>
      </c>
      <c r="B883" s="7">
        <f t="shared" si="145"/>
        <v>62469</v>
      </c>
      <c r="C883" s="7">
        <f t="shared" si="142"/>
        <v>62470</v>
      </c>
      <c r="D883" s="9" t="s">
        <v>895</v>
      </c>
      <c r="E883" s="8" t="s">
        <v>2148</v>
      </c>
      <c r="F883" s="7">
        <v>32</v>
      </c>
      <c r="G883" s="230">
        <f t="shared" si="134"/>
        <v>6.25E-2</v>
      </c>
      <c r="H883" s="7"/>
      <c r="I883" s="9">
        <f t="shared" si="143"/>
        <v>4</v>
      </c>
      <c r="J883" s="9">
        <f t="shared" si="144"/>
        <v>2</v>
      </c>
      <c r="K883" s="1" t="s">
        <v>796</v>
      </c>
      <c r="L883" s="11" t="s">
        <v>234</v>
      </c>
      <c r="M883" s="11"/>
      <c r="N883" s="11"/>
      <c r="O883" s="11"/>
      <c r="P883" s="136"/>
      <c r="Q883" s="136"/>
      <c r="R883" s="11"/>
      <c r="S883" s="11" t="s">
        <v>1181</v>
      </c>
      <c r="T883" s="157"/>
    </row>
    <row r="884" spans="1:56" s="5" customFormat="1" x14ac:dyDescent="0.2">
      <c r="A884" s="33" t="s">
        <v>879</v>
      </c>
      <c r="B884" s="7">
        <f t="shared" si="145"/>
        <v>62471</v>
      </c>
      <c r="C884" s="7">
        <f t="shared" si="142"/>
        <v>62472</v>
      </c>
      <c r="D884" s="9" t="s">
        <v>895</v>
      </c>
      <c r="E884" s="8" t="s">
        <v>2173</v>
      </c>
      <c r="F884" s="7">
        <v>32</v>
      </c>
      <c r="G884" s="230">
        <f t="shared" si="134"/>
        <v>6.25E-2</v>
      </c>
      <c r="H884" s="7"/>
      <c r="I884" s="9">
        <f t="shared" si="143"/>
        <v>4</v>
      </c>
      <c r="J884" s="9">
        <f t="shared" si="144"/>
        <v>2</v>
      </c>
      <c r="K884" s="1" t="s">
        <v>796</v>
      </c>
      <c r="L884" s="11" t="s">
        <v>234</v>
      </c>
      <c r="M884" s="11"/>
      <c r="N884" s="11"/>
      <c r="O884" s="11"/>
      <c r="P884" s="136"/>
      <c r="Q884" s="136"/>
      <c r="R884" s="11"/>
      <c r="S884" s="11" t="s">
        <v>1181</v>
      </c>
      <c r="T884" s="157"/>
    </row>
    <row r="885" spans="1:56" s="5" customFormat="1" x14ac:dyDescent="0.2">
      <c r="A885" s="33" t="s">
        <v>879</v>
      </c>
      <c r="B885" s="7">
        <f t="shared" si="145"/>
        <v>62473</v>
      </c>
      <c r="C885" s="7">
        <f t="shared" si="142"/>
        <v>62474</v>
      </c>
      <c r="D885" s="9" t="s">
        <v>895</v>
      </c>
      <c r="E885" s="8" t="s">
        <v>2198</v>
      </c>
      <c r="F885" s="7">
        <v>32</v>
      </c>
      <c r="G885" s="230">
        <f t="shared" si="134"/>
        <v>6.25E-2</v>
      </c>
      <c r="H885" s="7"/>
      <c r="I885" s="9">
        <f t="shared" si="143"/>
        <v>4</v>
      </c>
      <c r="J885" s="9">
        <f t="shared" si="144"/>
        <v>2</v>
      </c>
      <c r="K885" s="1" t="s">
        <v>796</v>
      </c>
      <c r="L885" s="11" t="s">
        <v>234</v>
      </c>
      <c r="M885" s="11"/>
      <c r="N885" s="11"/>
      <c r="O885" s="11"/>
      <c r="P885" s="136"/>
      <c r="Q885" s="136"/>
      <c r="R885" s="11"/>
      <c r="S885" s="11" t="s">
        <v>1181</v>
      </c>
      <c r="T885" s="157"/>
    </row>
    <row r="886" spans="1:56" s="5" customFormat="1" x14ac:dyDescent="0.2">
      <c r="A886" s="33" t="s">
        <v>879</v>
      </c>
      <c r="B886" s="7">
        <f t="shared" si="145"/>
        <v>62475</v>
      </c>
      <c r="C886" s="7">
        <f t="shared" si="142"/>
        <v>62476</v>
      </c>
      <c r="D886" s="9" t="s">
        <v>895</v>
      </c>
      <c r="E886" s="8" t="s">
        <v>2273</v>
      </c>
      <c r="F886" s="7">
        <v>32</v>
      </c>
      <c r="G886" s="230">
        <f t="shared" si="134"/>
        <v>6.25E-2</v>
      </c>
      <c r="H886" s="7"/>
      <c r="I886" s="9">
        <f t="shared" si="143"/>
        <v>4</v>
      </c>
      <c r="J886" s="9">
        <f t="shared" si="144"/>
        <v>2</v>
      </c>
      <c r="K886" s="1" t="s">
        <v>796</v>
      </c>
      <c r="L886" s="11" t="s">
        <v>234</v>
      </c>
      <c r="M886" s="11"/>
      <c r="N886" s="11"/>
      <c r="O886" s="11"/>
      <c r="P886" s="136"/>
      <c r="Q886" s="136"/>
      <c r="R886" s="11"/>
      <c r="S886" s="11" t="s">
        <v>1181</v>
      </c>
      <c r="T886" s="157"/>
    </row>
    <row r="887" spans="1:56" s="5" customFormat="1" x14ac:dyDescent="0.2">
      <c r="A887" s="33" t="s">
        <v>879</v>
      </c>
      <c r="B887" s="7">
        <f t="shared" si="145"/>
        <v>62477</v>
      </c>
      <c r="C887" s="7">
        <f t="shared" si="142"/>
        <v>62478</v>
      </c>
      <c r="D887" s="9" t="s">
        <v>895</v>
      </c>
      <c r="E887" s="8" t="s">
        <v>2288</v>
      </c>
      <c r="F887" s="7">
        <v>32</v>
      </c>
      <c r="G887" s="230">
        <f t="shared" si="134"/>
        <v>6.25E-2</v>
      </c>
      <c r="H887" s="7"/>
      <c r="I887" s="9">
        <f t="shared" si="143"/>
        <v>4</v>
      </c>
      <c r="J887" s="9">
        <f t="shared" si="144"/>
        <v>2</v>
      </c>
      <c r="K887" s="1" t="s">
        <v>796</v>
      </c>
      <c r="L887" s="11" t="s">
        <v>234</v>
      </c>
      <c r="M887" s="11"/>
      <c r="N887" s="11"/>
      <c r="O887" s="11"/>
      <c r="P887" s="136"/>
      <c r="Q887" s="136"/>
      <c r="R887" s="11"/>
      <c r="S887" s="11" t="s">
        <v>1181</v>
      </c>
      <c r="T887" s="157"/>
    </row>
    <row r="888" spans="1:56" s="5" customFormat="1" x14ac:dyDescent="0.2">
      <c r="A888" s="33" t="s">
        <v>879</v>
      </c>
      <c r="B888" s="7">
        <f t="shared" si="145"/>
        <v>62479</v>
      </c>
      <c r="C888" s="7">
        <f t="shared" si="142"/>
        <v>62480</v>
      </c>
      <c r="D888" s="9" t="s">
        <v>895</v>
      </c>
      <c r="E888" s="8" t="s">
        <v>2303</v>
      </c>
      <c r="F888" s="7">
        <v>32</v>
      </c>
      <c r="G888" s="230">
        <f t="shared" si="134"/>
        <v>6.25E-2</v>
      </c>
      <c r="H888" s="7"/>
      <c r="I888" s="9">
        <f t="shared" si="143"/>
        <v>4</v>
      </c>
      <c r="J888" s="9">
        <f t="shared" si="144"/>
        <v>2</v>
      </c>
      <c r="K888" s="1" t="s">
        <v>796</v>
      </c>
      <c r="L888" s="11" t="s">
        <v>234</v>
      </c>
      <c r="M888" s="11"/>
      <c r="N888" s="11"/>
      <c r="O888" s="11"/>
      <c r="P888" s="136"/>
      <c r="Q888" s="136"/>
      <c r="R888" s="11"/>
      <c r="S888" s="11" t="s">
        <v>1181</v>
      </c>
      <c r="T888" s="157"/>
    </row>
    <row r="889" spans="1:56" s="5" customFormat="1" ht="11.25" customHeight="1" x14ac:dyDescent="0.2">
      <c r="A889" s="33" t="s">
        <v>879</v>
      </c>
      <c r="B889" s="7">
        <f t="shared" si="145"/>
        <v>62481</v>
      </c>
      <c r="C889" s="7">
        <f t="shared" si="142"/>
        <v>62482</v>
      </c>
      <c r="D889" s="9" t="s">
        <v>895</v>
      </c>
      <c r="E889" s="8" t="s">
        <v>2318</v>
      </c>
      <c r="F889" s="7">
        <v>32</v>
      </c>
      <c r="G889" s="230">
        <f t="shared" si="134"/>
        <v>6.25E-2</v>
      </c>
      <c r="H889" s="7"/>
      <c r="I889" s="9">
        <f t="shared" si="143"/>
        <v>4</v>
      </c>
      <c r="J889" s="9">
        <f t="shared" si="144"/>
        <v>2</v>
      </c>
      <c r="K889" s="1" t="s">
        <v>796</v>
      </c>
      <c r="L889" s="11" t="s">
        <v>234</v>
      </c>
      <c r="M889" s="11"/>
      <c r="N889" s="11"/>
      <c r="O889" s="11"/>
      <c r="P889" s="136"/>
      <c r="Q889" s="136"/>
      <c r="R889" s="11"/>
      <c r="S889" s="11" t="s">
        <v>1181</v>
      </c>
      <c r="T889" s="157"/>
    </row>
    <row r="890" spans="1:56" s="5" customFormat="1" ht="11.25" customHeight="1" x14ac:dyDescent="0.2">
      <c r="A890" s="33" t="s">
        <v>879</v>
      </c>
      <c r="B890" s="7">
        <f t="shared" si="145"/>
        <v>62483</v>
      </c>
      <c r="C890" s="7">
        <f t="shared" si="142"/>
        <v>62484</v>
      </c>
      <c r="D890" s="9" t="s">
        <v>895</v>
      </c>
      <c r="E890" s="8" t="s">
        <v>2333</v>
      </c>
      <c r="F890" s="7">
        <v>32</v>
      </c>
      <c r="G890" s="230">
        <f t="shared" si="134"/>
        <v>6.25E-2</v>
      </c>
      <c r="H890" s="7"/>
      <c r="I890" s="9">
        <f t="shared" si="143"/>
        <v>4</v>
      </c>
      <c r="J890" s="9">
        <f t="shared" si="144"/>
        <v>2</v>
      </c>
      <c r="K890" s="1" t="s">
        <v>796</v>
      </c>
      <c r="L890" s="11" t="s">
        <v>234</v>
      </c>
      <c r="M890" s="11"/>
      <c r="N890" s="11"/>
      <c r="O890" s="11"/>
      <c r="P890" s="136"/>
      <c r="Q890" s="136"/>
      <c r="R890" s="11"/>
      <c r="S890" s="11" t="s">
        <v>1181</v>
      </c>
      <c r="T890" s="157"/>
    </row>
    <row r="891" spans="1:56" s="5" customFormat="1" x14ac:dyDescent="0.2">
      <c r="A891" s="33" t="s">
        <v>879</v>
      </c>
      <c r="B891" s="7">
        <f t="shared" si="145"/>
        <v>62485</v>
      </c>
      <c r="C891" s="7">
        <f t="shared" si="142"/>
        <v>62486</v>
      </c>
      <c r="D891" s="9" t="s">
        <v>895</v>
      </c>
      <c r="E891" s="8" t="s">
        <v>2348</v>
      </c>
      <c r="F891" s="7">
        <v>32</v>
      </c>
      <c r="G891" s="230">
        <f t="shared" si="134"/>
        <v>6.25E-2</v>
      </c>
      <c r="H891" s="7"/>
      <c r="I891" s="9">
        <f t="shared" si="143"/>
        <v>4</v>
      </c>
      <c r="J891" s="9">
        <f t="shared" si="144"/>
        <v>2</v>
      </c>
      <c r="K891" s="1" t="s">
        <v>796</v>
      </c>
      <c r="L891" s="11" t="s">
        <v>234</v>
      </c>
      <c r="M891" s="11"/>
      <c r="N891" s="11"/>
      <c r="O891" s="11"/>
      <c r="P891" s="10"/>
      <c r="Q891" s="10"/>
      <c r="R891" s="11"/>
      <c r="S891" s="11" t="s">
        <v>1181</v>
      </c>
      <c r="T891" s="157"/>
    </row>
    <row r="892" spans="1:56" s="5" customFormat="1" x14ac:dyDescent="0.2">
      <c r="A892" s="33"/>
      <c r="B892" s="47">
        <f>B893</f>
        <v>62487</v>
      </c>
      <c r="C892" s="26"/>
      <c r="D892" s="28"/>
      <c r="E892" s="26" t="s">
        <v>194</v>
      </c>
      <c r="F892" s="171"/>
      <c r="G892" s="171"/>
      <c r="H892" s="171"/>
      <c r="I892" s="177"/>
      <c r="J892" s="177"/>
      <c r="K892" s="184"/>
      <c r="L892" s="185"/>
      <c r="M892" s="185"/>
      <c r="N892" s="185"/>
      <c r="O892" s="185"/>
      <c r="P892" s="182"/>
      <c r="Q892" s="182"/>
      <c r="R892" s="186"/>
      <c r="S892" s="186"/>
      <c r="T892" s="187"/>
    </row>
    <row r="893" spans="1:56" s="5" customFormat="1" x14ac:dyDescent="0.2">
      <c r="A893" s="33" t="s">
        <v>879</v>
      </c>
      <c r="B893" s="7">
        <f>C891+1</f>
        <v>62487</v>
      </c>
      <c r="C893" s="7">
        <f t="shared" ref="C893:C908" si="146">B893+($F893*$G893)-1</f>
        <v>62488</v>
      </c>
      <c r="D893" s="9" t="s">
        <v>895</v>
      </c>
      <c r="E893" s="8" t="s">
        <v>2013</v>
      </c>
      <c r="F893" s="7">
        <v>32</v>
      </c>
      <c r="G893" s="230">
        <f t="shared" si="134"/>
        <v>6.25E-2</v>
      </c>
      <c r="H893" s="7"/>
      <c r="I893" s="9">
        <f t="shared" ref="I893:I908" si="147">F893*2*G893</f>
        <v>4</v>
      </c>
      <c r="J893" s="9">
        <f t="shared" ref="J893:J908" si="148">C893-B893+1</f>
        <v>2</v>
      </c>
      <c r="K893" s="1" t="s">
        <v>796</v>
      </c>
      <c r="L893" s="11" t="s">
        <v>234</v>
      </c>
      <c r="M893" s="11"/>
      <c r="N893" s="11"/>
      <c r="O893" s="11"/>
      <c r="P893" s="136"/>
      <c r="Q893" s="136"/>
      <c r="R893" s="11"/>
      <c r="S893" s="11" t="s">
        <v>1181</v>
      </c>
      <c r="T893" s="157"/>
    </row>
    <row r="894" spans="1:56" s="5" customFormat="1" x14ac:dyDescent="0.2">
      <c r="A894" s="33" t="s">
        <v>879</v>
      </c>
      <c r="B894" s="7">
        <f t="shared" ref="B894:B908" si="149">C893+1</f>
        <v>62489</v>
      </c>
      <c r="C894" s="7">
        <f t="shared" si="146"/>
        <v>62490</v>
      </c>
      <c r="D894" s="9" t="s">
        <v>895</v>
      </c>
      <c r="E894" s="8" t="s">
        <v>2030</v>
      </c>
      <c r="F894" s="7">
        <v>32</v>
      </c>
      <c r="G894" s="230">
        <f t="shared" si="134"/>
        <v>6.25E-2</v>
      </c>
      <c r="H894" s="7"/>
      <c r="I894" s="9">
        <f t="shared" si="147"/>
        <v>4</v>
      </c>
      <c r="J894" s="9">
        <f t="shared" si="148"/>
        <v>2</v>
      </c>
      <c r="K894" s="1" t="s">
        <v>796</v>
      </c>
      <c r="L894" s="11" t="s">
        <v>234</v>
      </c>
      <c r="M894" s="11"/>
      <c r="N894" s="11"/>
      <c r="O894" s="11"/>
      <c r="P894" s="136"/>
      <c r="Q894" s="136"/>
      <c r="R894" s="11"/>
      <c r="S894" s="11" t="s">
        <v>1181</v>
      </c>
      <c r="T894" s="157"/>
    </row>
    <row r="895" spans="1:56" s="5" customFormat="1" x14ac:dyDescent="0.2">
      <c r="A895" s="33" t="s">
        <v>879</v>
      </c>
      <c r="B895" s="7">
        <f t="shared" si="149"/>
        <v>62491</v>
      </c>
      <c r="C895" s="7">
        <f t="shared" si="146"/>
        <v>62492</v>
      </c>
      <c r="D895" s="9" t="s">
        <v>895</v>
      </c>
      <c r="E895" s="8" t="s">
        <v>2048</v>
      </c>
      <c r="F895" s="7">
        <v>32</v>
      </c>
      <c r="G895" s="230">
        <f t="shared" si="134"/>
        <v>6.25E-2</v>
      </c>
      <c r="H895" s="7"/>
      <c r="I895" s="9">
        <f t="shared" si="147"/>
        <v>4</v>
      </c>
      <c r="J895" s="9">
        <f t="shared" si="148"/>
        <v>2</v>
      </c>
      <c r="K895" s="1" t="s">
        <v>796</v>
      </c>
      <c r="L895" s="11" t="s">
        <v>234</v>
      </c>
      <c r="M895" s="11"/>
      <c r="N895" s="11"/>
      <c r="O895" s="11"/>
      <c r="P895" s="136"/>
      <c r="Q895" s="136"/>
      <c r="R895" s="11"/>
      <c r="S895" s="11" t="s">
        <v>1181</v>
      </c>
      <c r="T895" s="157"/>
    </row>
    <row r="896" spans="1:56" s="5" customFormat="1" x14ac:dyDescent="0.2">
      <c r="A896" s="33" t="s">
        <v>879</v>
      </c>
      <c r="B896" s="7">
        <f t="shared" si="149"/>
        <v>62493</v>
      </c>
      <c r="C896" s="7">
        <f t="shared" si="146"/>
        <v>62494</v>
      </c>
      <c r="D896" s="9" t="s">
        <v>895</v>
      </c>
      <c r="E896" s="8" t="s">
        <v>2065</v>
      </c>
      <c r="F896" s="7">
        <v>32</v>
      </c>
      <c r="G896" s="230">
        <f t="shared" si="134"/>
        <v>6.25E-2</v>
      </c>
      <c r="H896" s="7"/>
      <c r="I896" s="9">
        <f t="shared" si="147"/>
        <v>4</v>
      </c>
      <c r="J896" s="9">
        <f t="shared" si="148"/>
        <v>2</v>
      </c>
      <c r="K896" s="1" t="s">
        <v>796</v>
      </c>
      <c r="L896" s="11" t="s">
        <v>234</v>
      </c>
      <c r="M896" s="11"/>
      <c r="N896" s="11"/>
      <c r="O896" s="11"/>
      <c r="P896" s="136"/>
      <c r="Q896" s="136"/>
      <c r="R896" s="11"/>
      <c r="S896" s="11" t="s">
        <v>1181</v>
      </c>
      <c r="T896" s="157"/>
    </row>
    <row r="897" spans="1:20" s="5" customFormat="1" x14ac:dyDescent="0.2">
      <c r="A897" s="33" t="s">
        <v>879</v>
      </c>
      <c r="B897" s="7">
        <f t="shared" si="149"/>
        <v>62495</v>
      </c>
      <c r="C897" s="7">
        <f t="shared" si="146"/>
        <v>62496</v>
      </c>
      <c r="D897" s="9" t="s">
        <v>895</v>
      </c>
      <c r="E897" s="8" t="s">
        <v>2082</v>
      </c>
      <c r="F897" s="7">
        <v>32</v>
      </c>
      <c r="G897" s="230">
        <f t="shared" si="134"/>
        <v>6.25E-2</v>
      </c>
      <c r="H897" s="7"/>
      <c r="I897" s="9">
        <f t="shared" si="147"/>
        <v>4</v>
      </c>
      <c r="J897" s="9">
        <f t="shared" si="148"/>
        <v>2</v>
      </c>
      <c r="K897" s="1" t="s">
        <v>796</v>
      </c>
      <c r="L897" s="11" t="s">
        <v>234</v>
      </c>
      <c r="M897" s="11"/>
      <c r="N897" s="11"/>
      <c r="O897" s="11"/>
      <c r="P897" s="136"/>
      <c r="Q897" s="136"/>
      <c r="R897" s="11"/>
      <c r="S897" s="11" t="s">
        <v>1181</v>
      </c>
      <c r="T897" s="157"/>
    </row>
    <row r="898" spans="1:20" s="5" customFormat="1" x14ac:dyDescent="0.2">
      <c r="A898" s="33" t="s">
        <v>879</v>
      </c>
      <c r="B898" s="7">
        <f t="shared" si="149"/>
        <v>62497</v>
      </c>
      <c r="C898" s="7">
        <f t="shared" si="146"/>
        <v>62498</v>
      </c>
      <c r="D898" s="9" t="s">
        <v>895</v>
      </c>
      <c r="E898" s="8" t="s">
        <v>2099</v>
      </c>
      <c r="F898" s="7">
        <v>32</v>
      </c>
      <c r="G898" s="230">
        <f t="shared" si="134"/>
        <v>6.25E-2</v>
      </c>
      <c r="H898" s="7"/>
      <c r="I898" s="9">
        <f t="shared" si="147"/>
        <v>4</v>
      </c>
      <c r="J898" s="9">
        <f t="shared" si="148"/>
        <v>2</v>
      </c>
      <c r="K898" s="1" t="s">
        <v>796</v>
      </c>
      <c r="L898" s="11" t="s">
        <v>234</v>
      </c>
      <c r="M898" s="11"/>
      <c r="N898" s="11"/>
      <c r="O898" s="11"/>
      <c r="P898" s="136"/>
      <c r="Q898" s="136"/>
      <c r="R898" s="11"/>
      <c r="S898" s="11" t="s">
        <v>1181</v>
      </c>
      <c r="T898" s="157"/>
    </row>
    <row r="899" spans="1:20" s="5" customFormat="1" x14ac:dyDescent="0.2">
      <c r="A899" s="33" t="s">
        <v>879</v>
      </c>
      <c r="B899" s="7">
        <f t="shared" si="149"/>
        <v>62499</v>
      </c>
      <c r="C899" s="7">
        <f t="shared" si="146"/>
        <v>62500</v>
      </c>
      <c r="D899" s="9" t="s">
        <v>895</v>
      </c>
      <c r="E899" s="8" t="s">
        <v>2124</v>
      </c>
      <c r="F899" s="7">
        <v>32</v>
      </c>
      <c r="G899" s="230">
        <f t="shared" si="134"/>
        <v>6.25E-2</v>
      </c>
      <c r="H899" s="7"/>
      <c r="I899" s="9">
        <f t="shared" si="147"/>
        <v>4</v>
      </c>
      <c r="J899" s="9">
        <f t="shared" si="148"/>
        <v>2</v>
      </c>
      <c r="K899" s="1" t="s">
        <v>796</v>
      </c>
      <c r="L899" s="11" t="s">
        <v>234</v>
      </c>
      <c r="M899" s="11"/>
      <c r="N899" s="11"/>
      <c r="O899" s="11"/>
      <c r="P899" s="136"/>
      <c r="Q899" s="136"/>
      <c r="R899" s="11"/>
      <c r="S899" s="11" t="s">
        <v>1181</v>
      </c>
      <c r="T899" s="157"/>
    </row>
    <row r="900" spans="1:20" s="5" customFormat="1" x14ac:dyDescent="0.2">
      <c r="A900" s="33" t="s">
        <v>879</v>
      </c>
      <c r="B900" s="7">
        <f t="shared" si="149"/>
        <v>62501</v>
      </c>
      <c r="C900" s="7">
        <f t="shared" si="146"/>
        <v>62502</v>
      </c>
      <c r="D900" s="9" t="s">
        <v>895</v>
      </c>
      <c r="E900" s="8" t="s">
        <v>2149</v>
      </c>
      <c r="F900" s="7">
        <v>32</v>
      </c>
      <c r="G900" s="230">
        <f t="shared" si="134"/>
        <v>6.25E-2</v>
      </c>
      <c r="H900" s="7"/>
      <c r="I900" s="9">
        <f t="shared" si="147"/>
        <v>4</v>
      </c>
      <c r="J900" s="9">
        <f t="shared" si="148"/>
        <v>2</v>
      </c>
      <c r="K900" s="1" t="s">
        <v>796</v>
      </c>
      <c r="L900" s="11" t="s">
        <v>234</v>
      </c>
      <c r="M900" s="11"/>
      <c r="N900" s="11"/>
      <c r="O900" s="11"/>
      <c r="P900" s="136"/>
      <c r="Q900" s="136"/>
      <c r="R900" s="11"/>
      <c r="S900" s="11" t="s">
        <v>1181</v>
      </c>
      <c r="T900" s="157"/>
    </row>
    <row r="901" spans="1:20" s="5" customFormat="1" x14ac:dyDescent="0.2">
      <c r="A901" s="33" t="s">
        <v>879</v>
      </c>
      <c r="B901" s="7">
        <f t="shared" si="149"/>
        <v>62503</v>
      </c>
      <c r="C901" s="7">
        <f t="shared" si="146"/>
        <v>62504</v>
      </c>
      <c r="D901" s="9" t="s">
        <v>895</v>
      </c>
      <c r="E901" s="8" t="s">
        <v>2174</v>
      </c>
      <c r="F901" s="7">
        <v>32</v>
      </c>
      <c r="G901" s="230">
        <f t="shared" si="134"/>
        <v>6.25E-2</v>
      </c>
      <c r="H901" s="7"/>
      <c r="I901" s="9">
        <f t="shared" si="147"/>
        <v>4</v>
      </c>
      <c r="J901" s="9">
        <f t="shared" si="148"/>
        <v>2</v>
      </c>
      <c r="K901" s="1" t="s">
        <v>796</v>
      </c>
      <c r="L901" s="11" t="s">
        <v>234</v>
      </c>
      <c r="M901" s="11"/>
      <c r="N901" s="11"/>
      <c r="O901" s="11"/>
      <c r="P901" s="136"/>
      <c r="Q901" s="136"/>
      <c r="R901" s="11"/>
      <c r="S901" s="11" t="s">
        <v>1181</v>
      </c>
      <c r="T901" s="157"/>
    </row>
    <row r="902" spans="1:20" s="5" customFormat="1" x14ac:dyDescent="0.2">
      <c r="A902" s="33" t="s">
        <v>879</v>
      </c>
      <c r="B902" s="7">
        <f t="shared" si="149"/>
        <v>62505</v>
      </c>
      <c r="C902" s="7">
        <f t="shared" si="146"/>
        <v>62506</v>
      </c>
      <c r="D902" s="9" t="s">
        <v>895</v>
      </c>
      <c r="E902" s="8" t="s">
        <v>2199</v>
      </c>
      <c r="F902" s="7">
        <v>32</v>
      </c>
      <c r="G902" s="230">
        <f t="shared" si="134"/>
        <v>6.25E-2</v>
      </c>
      <c r="H902" s="7"/>
      <c r="I902" s="9">
        <f t="shared" si="147"/>
        <v>4</v>
      </c>
      <c r="J902" s="9">
        <f t="shared" si="148"/>
        <v>2</v>
      </c>
      <c r="K902" s="1" t="s">
        <v>796</v>
      </c>
      <c r="L902" s="11" t="s">
        <v>234</v>
      </c>
      <c r="M902" s="11"/>
      <c r="N902" s="11"/>
      <c r="O902" s="11"/>
      <c r="P902" s="136"/>
      <c r="Q902" s="136"/>
      <c r="R902" s="11"/>
      <c r="S902" s="11" t="s">
        <v>1181</v>
      </c>
      <c r="T902" s="157"/>
    </row>
    <row r="903" spans="1:20" s="5" customFormat="1" x14ac:dyDescent="0.2">
      <c r="A903" s="33" t="s">
        <v>879</v>
      </c>
      <c r="B903" s="7">
        <f t="shared" si="149"/>
        <v>62507</v>
      </c>
      <c r="C903" s="7">
        <f t="shared" si="146"/>
        <v>62508</v>
      </c>
      <c r="D903" s="9" t="s">
        <v>895</v>
      </c>
      <c r="E903" s="8" t="s">
        <v>2274</v>
      </c>
      <c r="F903" s="7">
        <v>32</v>
      </c>
      <c r="G903" s="230">
        <f t="shared" si="134"/>
        <v>6.25E-2</v>
      </c>
      <c r="H903" s="7"/>
      <c r="I903" s="9">
        <f t="shared" si="147"/>
        <v>4</v>
      </c>
      <c r="J903" s="9">
        <f t="shared" si="148"/>
        <v>2</v>
      </c>
      <c r="K903" s="1" t="s">
        <v>796</v>
      </c>
      <c r="L903" s="11" t="s">
        <v>234</v>
      </c>
      <c r="M903" s="11"/>
      <c r="N903" s="11"/>
      <c r="O903" s="11"/>
      <c r="P903" s="136"/>
      <c r="Q903" s="136"/>
      <c r="R903" s="11"/>
      <c r="S903" s="11" t="s">
        <v>1181</v>
      </c>
      <c r="T903" s="157"/>
    </row>
    <row r="904" spans="1:20" s="5" customFormat="1" x14ac:dyDescent="0.2">
      <c r="A904" s="33" t="s">
        <v>879</v>
      </c>
      <c r="B904" s="7">
        <f t="shared" si="149"/>
        <v>62509</v>
      </c>
      <c r="C904" s="7">
        <f t="shared" si="146"/>
        <v>62510</v>
      </c>
      <c r="D904" s="9" t="s">
        <v>895</v>
      </c>
      <c r="E904" s="8" t="s">
        <v>2289</v>
      </c>
      <c r="F904" s="7">
        <v>32</v>
      </c>
      <c r="G904" s="230">
        <f t="shared" si="134"/>
        <v>6.25E-2</v>
      </c>
      <c r="H904" s="7"/>
      <c r="I904" s="9">
        <f t="shared" si="147"/>
        <v>4</v>
      </c>
      <c r="J904" s="9">
        <f t="shared" si="148"/>
        <v>2</v>
      </c>
      <c r="K904" s="1" t="s">
        <v>796</v>
      </c>
      <c r="L904" s="11" t="s">
        <v>234</v>
      </c>
      <c r="M904" s="11"/>
      <c r="N904" s="11"/>
      <c r="O904" s="11"/>
      <c r="P904" s="136"/>
      <c r="Q904" s="136"/>
      <c r="R904" s="11"/>
      <c r="S904" s="11" t="s">
        <v>1181</v>
      </c>
      <c r="T904" s="157"/>
    </row>
    <row r="905" spans="1:20" x14ac:dyDescent="0.2">
      <c r="A905" s="33" t="s">
        <v>879</v>
      </c>
      <c r="B905" s="7">
        <f t="shared" si="149"/>
        <v>62511</v>
      </c>
      <c r="C905" s="7">
        <f t="shared" si="146"/>
        <v>62512</v>
      </c>
      <c r="D905" s="9" t="s">
        <v>895</v>
      </c>
      <c r="E905" s="8" t="s">
        <v>2304</v>
      </c>
      <c r="F905" s="7">
        <v>32</v>
      </c>
      <c r="G905" s="230">
        <f t="shared" si="134"/>
        <v>6.25E-2</v>
      </c>
      <c r="H905" s="7"/>
      <c r="I905" s="9">
        <f t="shared" si="147"/>
        <v>4</v>
      </c>
      <c r="J905" s="9">
        <f t="shared" si="148"/>
        <v>2</v>
      </c>
      <c r="K905" s="1" t="s">
        <v>796</v>
      </c>
      <c r="L905" s="11" t="s">
        <v>234</v>
      </c>
      <c r="M905" s="11"/>
      <c r="N905" s="11"/>
      <c r="O905" s="11"/>
      <c r="P905" s="136"/>
      <c r="Q905" s="136"/>
      <c r="R905" s="11"/>
      <c r="S905" s="11" t="s">
        <v>1181</v>
      </c>
      <c r="T905" s="157"/>
    </row>
    <row r="906" spans="1:20" x14ac:dyDescent="0.2">
      <c r="A906" s="33" t="s">
        <v>879</v>
      </c>
      <c r="B906" s="7">
        <f t="shared" si="149"/>
        <v>62513</v>
      </c>
      <c r="C906" s="7">
        <f t="shared" si="146"/>
        <v>62514</v>
      </c>
      <c r="D906" s="9" t="s">
        <v>895</v>
      </c>
      <c r="E906" s="8" t="s">
        <v>2319</v>
      </c>
      <c r="F906" s="7">
        <v>32</v>
      </c>
      <c r="G906" s="230">
        <f t="shared" si="134"/>
        <v>6.25E-2</v>
      </c>
      <c r="H906" s="7"/>
      <c r="I906" s="9">
        <f t="shared" si="147"/>
        <v>4</v>
      </c>
      <c r="J906" s="9">
        <f t="shared" si="148"/>
        <v>2</v>
      </c>
      <c r="K906" s="1" t="s">
        <v>796</v>
      </c>
      <c r="L906" s="11" t="s">
        <v>234</v>
      </c>
      <c r="M906" s="11"/>
      <c r="N906" s="11"/>
      <c r="O906" s="11"/>
      <c r="P906" s="136"/>
      <c r="Q906" s="136"/>
      <c r="R906" s="11"/>
      <c r="S906" s="11" t="s">
        <v>1181</v>
      </c>
      <c r="T906" s="157"/>
    </row>
    <row r="907" spans="1:20" x14ac:dyDescent="0.2">
      <c r="A907" s="33" t="s">
        <v>879</v>
      </c>
      <c r="B907" s="7">
        <f t="shared" si="149"/>
        <v>62515</v>
      </c>
      <c r="C907" s="7">
        <f t="shared" si="146"/>
        <v>62516</v>
      </c>
      <c r="D907" s="9" t="s">
        <v>895</v>
      </c>
      <c r="E907" s="8" t="s">
        <v>2334</v>
      </c>
      <c r="F907" s="7">
        <v>32</v>
      </c>
      <c r="G907" s="230">
        <f t="shared" si="134"/>
        <v>6.25E-2</v>
      </c>
      <c r="H907" s="7"/>
      <c r="I907" s="9">
        <f t="shared" si="147"/>
        <v>4</v>
      </c>
      <c r="J907" s="9">
        <f t="shared" si="148"/>
        <v>2</v>
      </c>
      <c r="K907" s="1" t="s">
        <v>796</v>
      </c>
      <c r="L907" s="11" t="s">
        <v>234</v>
      </c>
      <c r="M907" s="11"/>
      <c r="N907" s="11"/>
      <c r="O907" s="11"/>
      <c r="P907" s="136"/>
      <c r="Q907" s="136"/>
      <c r="R907" s="11"/>
      <c r="S907" s="11" t="s">
        <v>1181</v>
      </c>
      <c r="T907" s="157"/>
    </row>
    <row r="908" spans="1:20" x14ac:dyDescent="0.2">
      <c r="A908" s="33" t="s">
        <v>879</v>
      </c>
      <c r="B908" s="7">
        <f t="shared" si="149"/>
        <v>62517</v>
      </c>
      <c r="C908" s="7">
        <f t="shared" si="146"/>
        <v>62518</v>
      </c>
      <c r="D908" s="9" t="s">
        <v>895</v>
      </c>
      <c r="E908" s="8" t="s">
        <v>2349</v>
      </c>
      <c r="F908" s="7">
        <v>32</v>
      </c>
      <c r="G908" s="230">
        <f t="shared" si="134"/>
        <v>6.25E-2</v>
      </c>
      <c r="H908" s="7"/>
      <c r="I908" s="9">
        <f t="shared" si="147"/>
        <v>4</v>
      </c>
      <c r="J908" s="9">
        <f t="shared" si="148"/>
        <v>2</v>
      </c>
      <c r="K908" s="1" t="s">
        <v>796</v>
      </c>
      <c r="L908" s="11" t="s">
        <v>234</v>
      </c>
      <c r="M908" s="11"/>
      <c r="N908" s="11"/>
      <c r="O908" s="11"/>
      <c r="P908" s="10"/>
      <c r="Q908" s="10"/>
      <c r="R908" s="11"/>
      <c r="S908" s="11" t="s">
        <v>1181</v>
      </c>
      <c r="T908" s="157"/>
    </row>
    <row r="909" spans="1:20" x14ac:dyDescent="0.2">
      <c r="A909" s="33"/>
      <c r="B909" s="47">
        <f>B910</f>
        <v>62519</v>
      </c>
      <c r="C909" s="26"/>
      <c r="D909" s="28"/>
      <c r="E909" s="26" t="s">
        <v>194</v>
      </c>
      <c r="F909" s="171"/>
      <c r="G909" s="171"/>
      <c r="H909" s="171"/>
      <c r="I909" s="177"/>
      <c r="J909" s="177"/>
      <c r="K909" s="184"/>
      <c r="L909" s="185"/>
      <c r="M909" s="185"/>
      <c r="N909" s="185"/>
      <c r="O909" s="185"/>
      <c r="P909" s="182"/>
      <c r="Q909" s="182"/>
      <c r="R909" s="186"/>
      <c r="S909" s="186"/>
      <c r="T909" s="187"/>
    </row>
    <row r="910" spans="1:20" x14ac:dyDescent="0.2">
      <c r="A910" s="33" t="s">
        <v>879</v>
      </c>
      <c r="B910" s="330">
        <v>62519</v>
      </c>
      <c r="C910" s="330">
        <f t="shared" ref="C910:C925" si="150">B910+($F910*$G910)-1</f>
        <v>62520</v>
      </c>
      <c r="D910" s="333" t="s">
        <v>895</v>
      </c>
      <c r="E910" s="339" t="s">
        <v>2014</v>
      </c>
      <c r="F910" s="330">
        <v>32</v>
      </c>
      <c r="G910" s="346">
        <f t="shared" si="134"/>
        <v>6.25E-2</v>
      </c>
      <c r="H910" s="330"/>
      <c r="I910" s="333">
        <f t="shared" ref="I910:I925" si="151">F910*2*G910</f>
        <v>4</v>
      </c>
      <c r="J910" s="333">
        <f t="shared" ref="J910:J925" si="152">C910-B910+1</f>
        <v>2</v>
      </c>
      <c r="K910" s="334" t="s">
        <v>796</v>
      </c>
      <c r="L910" s="335" t="s">
        <v>234</v>
      </c>
      <c r="M910" s="335"/>
      <c r="N910" s="335"/>
      <c r="O910" s="11"/>
      <c r="P910" s="336"/>
      <c r="Q910" s="336"/>
      <c r="R910" s="11"/>
      <c r="S910" s="11" t="s">
        <v>1181</v>
      </c>
      <c r="T910" s="341"/>
    </row>
    <row r="911" spans="1:20" x14ac:dyDescent="0.2">
      <c r="A911" s="33" t="s">
        <v>879</v>
      </c>
      <c r="B911" s="330">
        <f t="shared" ref="B911:B925" si="153">C910+1</f>
        <v>62521</v>
      </c>
      <c r="C911" s="330">
        <f t="shared" si="150"/>
        <v>62522</v>
      </c>
      <c r="D911" s="333" t="s">
        <v>895</v>
      </c>
      <c r="E911" s="339" t="s">
        <v>2031</v>
      </c>
      <c r="F911" s="330">
        <v>32</v>
      </c>
      <c r="G911" s="346">
        <f t="shared" si="134"/>
        <v>6.25E-2</v>
      </c>
      <c r="H911" s="330"/>
      <c r="I911" s="333">
        <f t="shared" si="151"/>
        <v>4</v>
      </c>
      <c r="J911" s="333">
        <f t="shared" si="152"/>
        <v>2</v>
      </c>
      <c r="K911" s="334" t="s">
        <v>796</v>
      </c>
      <c r="L911" s="335" t="s">
        <v>234</v>
      </c>
      <c r="M911" s="335"/>
      <c r="N911" s="335"/>
      <c r="O911" s="11"/>
      <c r="P911" s="336"/>
      <c r="Q911" s="336"/>
      <c r="R911" s="11"/>
      <c r="S911" s="11" t="s">
        <v>1181</v>
      </c>
      <c r="T911" s="341"/>
    </row>
    <row r="912" spans="1:20" x14ac:dyDescent="0.2">
      <c r="A912" s="33" t="s">
        <v>879</v>
      </c>
      <c r="B912" s="330">
        <f t="shared" si="153"/>
        <v>62523</v>
      </c>
      <c r="C912" s="330">
        <f t="shared" si="150"/>
        <v>62524</v>
      </c>
      <c r="D912" s="333" t="s">
        <v>895</v>
      </c>
      <c r="E912" s="339" t="s">
        <v>2049</v>
      </c>
      <c r="F912" s="330">
        <v>32</v>
      </c>
      <c r="G912" s="346">
        <f t="shared" si="134"/>
        <v>6.25E-2</v>
      </c>
      <c r="H912" s="330"/>
      <c r="I912" s="333">
        <f t="shared" si="151"/>
        <v>4</v>
      </c>
      <c r="J912" s="333">
        <f t="shared" si="152"/>
        <v>2</v>
      </c>
      <c r="K912" s="334" t="s">
        <v>796</v>
      </c>
      <c r="L912" s="335" t="s">
        <v>234</v>
      </c>
      <c r="M912" s="335"/>
      <c r="N912" s="335"/>
      <c r="O912" s="11"/>
      <c r="P912" s="336"/>
      <c r="Q912" s="336"/>
      <c r="R912" s="11"/>
      <c r="S912" s="11" t="s">
        <v>1181</v>
      </c>
      <c r="T912" s="341"/>
    </row>
    <row r="913" spans="1:44" x14ac:dyDescent="0.2">
      <c r="A913" s="33" t="s">
        <v>879</v>
      </c>
      <c r="B913" s="330">
        <f t="shared" si="153"/>
        <v>62525</v>
      </c>
      <c r="C913" s="330">
        <f t="shared" si="150"/>
        <v>62526</v>
      </c>
      <c r="D913" s="333" t="s">
        <v>895</v>
      </c>
      <c r="E913" s="339" t="s">
        <v>2066</v>
      </c>
      <c r="F913" s="330">
        <v>32</v>
      </c>
      <c r="G913" s="346">
        <f t="shared" si="134"/>
        <v>6.25E-2</v>
      </c>
      <c r="H913" s="330"/>
      <c r="I913" s="333">
        <f t="shared" si="151"/>
        <v>4</v>
      </c>
      <c r="J913" s="333">
        <f t="shared" si="152"/>
        <v>2</v>
      </c>
      <c r="K913" s="334" t="s">
        <v>796</v>
      </c>
      <c r="L913" s="335" t="s">
        <v>234</v>
      </c>
      <c r="M913" s="335"/>
      <c r="N913" s="335"/>
      <c r="O913" s="11"/>
      <c r="P913" s="336"/>
      <c r="Q913" s="336"/>
      <c r="R913" s="11"/>
      <c r="S913" s="11" t="s">
        <v>1181</v>
      </c>
      <c r="T913" s="341"/>
    </row>
    <row r="914" spans="1:44" ht="12" customHeight="1" x14ac:dyDescent="0.2">
      <c r="A914" s="33" t="s">
        <v>879</v>
      </c>
      <c r="B914" s="330">
        <f t="shared" si="153"/>
        <v>62527</v>
      </c>
      <c r="C914" s="330">
        <f t="shared" si="150"/>
        <v>62528</v>
      </c>
      <c r="D914" s="333" t="s">
        <v>895</v>
      </c>
      <c r="E914" s="339" t="s">
        <v>2083</v>
      </c>
      <c r="F914" s="330">
        <v>32</v>
      </c>
      <c r="G914" s="346">
        <f t="shared" si="134"/>
        <v>6.25E-2</v>
      </c>
      <c r="H914" s="330"/>
      <c r="I914" s="333">
        <f t="shared" si="151"/>
        <v>4</v>
      </c>
      <c r="J914" s="333">
        <f t="shared" si="152"/>
        <v>2</v>
      </c>
      <c r="K914" s="334" t="s">
        <v>796</v>
      </c>
      <c r="L914" s="335" t="s">
        <v>234</v>
      </c>
      <c r="M914" s="335"/>
      <c r="N914" s="335"/>
      <c r="O914" s="11"/>
      <c r="P914" s="336"/>
      <c r="Q914" s="336"/>
      <c r="R914" s="11"/>
      <c r="S914" s="11" t="s">
        <v>1181</v>
      </c>
      <c r="T914" s="341"/>
    </row>
    <row r="915" spans="1:44" x14ac:dyDescent="0.2">
      <c r="A915" s="33" t="s">
        <v>879</v>
      </c>
      <c r="B915" s="330">
        <f t="shared" si="153"/>
        <v>62529</v>
      </c>
      <c r="C915" s="330">
        <f t="shared" si="150"/>
        <v>62530</v>
      </c>
      <c r="D915" s="333" t="s">
        <v>895</v>
      </c>
      <c r="E915" s="339" t="s">
        <v>2100</v>
      </c>
      <c r="F915" s="330">
        <v>32</v>
      </c>
      <c r="G915" s="346">
        <f t="shared" si="134"/>
        <v>6.25E-2</v>
      </c>
      <c r="H915" s="330"/>
      <c r="I915" s="333">
        <f t="shared" si="151"/>
        <v>4</v>
      </c>
      <c r="J915" s="333">
        <f t="shared" si="152"/>
        <v>2</v>
      </c>
      <c r="K915" s="334" t="s">
        <v>796</v>
      </c>
      <c r="L915" s="335" t="s">
        <v>234</v>
      </c>
      <c r="M915" s="335"/>
      <c r="N915" s="335"/>
      <c r="O915" s="11"/>
      <c r="P915" s="336"/>
      <c r="Q915" s="336"/>
      <c r="R915" s="11"/>
      <c r="S915" s="11" t="s">
        <v>1181</v>
      </c>
      <c r="T915" s="341"/>
    </row>
    <row r="916" spans="1:44" x14ac:dyDescent="0.2">
      <c r="A916" s="33" t="s">
        <v>879</v>
      </c>
      <c r="B916" s="330">
        <f t="shared" si="153"/>
        <v>62531</v>
      </c>
      <c r="C916" s="330">
        <f t="shared" si="150"/>
        <v>62532</v>
      </c>
      <c r="D916" s="333" t="s">
        <v>895</v>
      </c>
      <c r="E916" s="339" t="s">
        <v>2125</v>
      </c>
      <c r="F916" s="330">
        <v>32</v>
      </c>
      <c r="G916" s="346">
        <f t="shared" si="134"/>
        <v>6.25E-2</v>
      </c>
      <c r="H916" s="330"/>
      <c r="I916" s="333">
        <f t="shared" si="151"/>
        <v>4</v>
      </c>
      <c r="J916" s="333">
        <f t="shared" si="152"/>
        <v>2</v>
      </c>
      <c r="K916" s="334" t="s">
        <v>796</v>
      </c>
      <c r="L916" s="335" t="s">
        <v>234</v>
      </c>
      <c r="M916" s="335"/>
      <c r="N916" s="335"/>
      <c r="O916" s="11"/>
      <c r="P916" s="336"/>
      <c r="Q916" s="336"/>
      <c r="R916" s="11"/>
      <c r="S916" s="11" t="s">
        <v>1181</v>
      </c>
      <c r="T916" s="341"/>
    </row>
    <row r="917" spans="1:44" x14ac:dyDescent="0.2">
      <c r="A917" s="33" t="s">
        <v>879</v>
      </c>
      <c r="B917" s="330">
        <f t="shared" si="153"/>
        <v>62533</v>
      </c>
      <c r="C917" s="330">
        <f t="shared" si="150"/>
        <v>62534</v>
      </c>
      <c r="D917" s="333" t="s">
        <v>895</v>
      </c>
      <c r="E917" s="339" t="s">
        <v>2150</v>
      </c>
      <c r="F917" s="330">
        <v>32</v>
      </c>
      <c r="G917" s="346">
        <f t="shared" si="134"/>
        <v>6.25E-2</v>
      </c>
      <c r="H917" s="330"/>
      <c r="I917" s="333">
        <f t="shared" si="151"/>
        <v>4</v>
      </c>
      <c r="J917" s="333">
        <f t="shared" si="152"/>
        <v>2</v>
      </c>
      <c r="K917" s="334" t="s">
        <v>796</v>
      </c>
      <c r="L917" s="335" t="s">
        <v>234</v>
      </c>
      <c r="M917" s="335"/>
      <c r="N917" s="335"/>
      <c r="O917" s="11"/>
      <c r="P917" s="336"/>
      <c r="Q917" s="336"/>
      <c r="R917" s="11"/>
      <c r="S917" s="11" t="s">
        <v>1181</v>
      </c>
      <c r="T917" s="341"/>
      <c r="V917" s="14"/>
      <c r="W917" s="172"/>
      <c r="X917" s="172"/>
      <c r="Y917" s="172"/>
      <c r="Z917" s="172"/>
      <c r="AA917" s="172"/>
      <c r="AB917" s="172"/>
      <c r="AC917" s="172"/>
      <c r="AD917" s="172"/>
      <c r="AE917" s="172"/>
      <c r="AF917" s="172"/>
      <c r="AG917" s="172"/>
      <c r="AH917" s="172"/>
      <c r="AI917" s="172"/>
      <c r="AJ917" s="172"/>
      <c r="AK917" s="172"/>
      <c r="AL917" s="172"/>
      <c r="AM917" s="172"/>
      <c r="AN917" s="172"/>
      <c r="AO917" s="172"/>
      <c r="AP917" s="172"/>
      <c r="AQ917" s="172"/>
      <c r="AR917" s="172"/>
    </row>
    <row r="918" spans="1:44" x14ac:dyDescent="0.2">
      <c r="A918" s="33" t="s">
        <v>879</v>
      </c>
      <c r="B918" s="330">
        <f t="shared" si="153"/>
        <v>62535</v>
      </c>
      <c r="C918" s="330">
        <f t="shared" si="150"/>
        <v>62536</v>
      </c>
      <c r="D918" s="333" t="s">
        <v>895</v>
      </c>
      <c r="E918" s="339" t="s">
        <v>2175</v>
      </c>
      <c r="F918" s="330">
        <v>32</v>
      </c>
      <c r="G918" s="346">
        <f t="shared" si="134"/>
        <v>6.25E-2</v>
      </c>
      <c r="H918" s="330"/>
      <c r="I918" s="333">
        <f t="shared" si="151"/>
        <v>4</v>
      </c>
      <c r="J918" s="333">
        <f t="shared" si="152"/>
        <v>2</v>
      </c>
      <c r="K918" s="334" t="s">
        <v>796</v>
      </c>
      <c r="L918" s="335" t="s">
        <v>234</v>
      </c>
      <c r="M918" s="335"/>
      <c r="N918" s="335"/>
      <c r="O918" s="11"/>
      <c r="P918" s="336"/>
      <c r="Q918" s="336"/>
      <c r="R918" s="11"/>
      <c r="S918" s="11" t="s">
        <v>1181</v>
      </c>
      <c r="T918" s="341"/>
      <c r="V918" s="14"/>
      <c r="W918" s="172"/>
      <c r="X918" s="172"/>
      <c r="Y918" s="172"/>
      <c r="Z918" s="172"/>
      <c r="AA918" s="172"/>
      <c r="AB918" s="172"/>
      <c r="AC918" s="172"/>
      <c r="AD918" s="172"/>
      <c r="AE918" s="172"/>
      <c r="AF918" s="172"/>
      <c r="AG918" s="172"/>
      <c r="AH918" s="172"/>
      <c r="AI918" s="172"/>
      <c r="AJ918" s="172"/>
      <c r="AK918" s="172"/>
      <c r="AL918" s="172"/>
      <c r="AM918" s="172"/>
      <c r="AN918" s="172"/>
      <c r="AO918" s="172"/>
      <c r="AP918" s="172"/>
      <c r="AQ918" s="172"/>
      <c r="AR918" s="172"/>
    </row>
    <row r="919" spans="1:44" x14ac:dyDescent="0.2">
      <c r="A919" s="33" t="s">
        <v>879</v>
      </c>
      <c r="B919" s="330">
        <f t="shared" si="153"/>
        <v>62537</v>
      </c>
      <c r="C919" s="330">
        <f t="shared" si="150"/>
        <v>62538</v>
      </c>
      <c r="D919" s="333" t="s">
        <v>895</v>
      </c>
      <c r="E919" s="339" t="s">
        <v>2200</v>
      </c>
      <c r="F919" s="330">
        <v>32</v>
      </c>
      <c r="G919" s="346">
        <f t="shared" si="134"/>
        <v>6.25E-2</v>
      </c>
      <c r="H919" s="330"/>
      <c r="I919" s="333">
        <f t="shared" si="151"/>
        <v>4</v>
      </c>
      <c r="J919" s="333">
        <f t="shared" si="152"/>
        <v>2</v>
      </c>
      <c r="K919" s="334" t="s">
        <v>796</v>
      </c>
      <c r="L919" s="335" t="s">
        <v>234</v>
      </c>
      <c r="M919" s="335"/>
      <c r="N919" s="335"/>
      <c r="O919" s="11"/>
      <c r="P919" s="336"/>
      <c r="Q919" s="336"/>
      <c r="R919" s="11"/>
      <c r="S919" s="11" t="s">
        <v>1181</v>
      </c>
      <c r="T919" s="341"/>
      <c r="V919" s="14"/>
      <c r="W919" s="172"/>
      <c r="X919" s="172"/>
      <c r="Y919" s="172"/>
      <c r="Z919" s="172"/>
      <c r="AA919" s="172"/>
      <c r="AB919" s="172"/>
      <c r="AC919" s="172"/>
      <c r="AD919" s="172"/>
      <c r="AE919" s="259"/>
      <c r="AF919" s="259"/>
      <c r="AG919" s="259"/>
      <c r="AH919" s="259"/>
      <c r="AI919" s="259"/>
      <c r="AJ919" s="259"/>
      <c r="AK919" s="259"/>
      <c r="AL919" s="259"/>
      <c r="AM919" s="172"/>
      <c r="AN919" s="172"/>
      <c r="AO919" s="172"/>
      <c r="AP919" s="172"/>
      <c r="AQ919" s="172"/>
      <c r="AR919" s="172"/>
    </row>
    <row r="920" spans="1:44" x14ac:dyDescent="0.2">
      <c r="A920" s="33" t="s">
        <v>879</v>
      </c>
      <c r="B920" s="330">
        <f t="shared" si="153"/>
        <v>62539</v>
      </c>
      <c r="C920" s="330">
        <f t="shared" si="150"/>
        <v>62540</v>
      </c>
      <c r="D920" s="333" t="s">
        <v>895</v>
      </c>
      <c r="E920" s="339" t="s">
        <v>2275</v>
      </c>
      <c r="F920" s="330">
        <v>32</v>
      </c>
      <c r="G920" s="346">
        <f t="shared" si="134"/>
        <v>6.25E-2</v>
      </c>
      <c r="H920" s="330"/>
      <c r="I920" s="333">
        <f t="shared" si="151"/>
        <v>4</v>
      </c>
      <c r="J920" s="333">
        <f t="shared" si="152"/>
        <v>2</v>
      </c>
      <c r="K920" s="334" t="s">
        <v>796</v>
      </c>
      <c r="L920" s="335" t="s">
        <v>234</v>
      </c>
      <c r="M920" s="335"/>
      <c r="N920" s="335"/>
      <c r="O920" s="11"/>
      <c r="P920" s="336"/>
      <c r="Q920" s="336"/>
      <c r="R920" s="11"/>
      <c r="S920" s="11" t="s">
        <v>1181</v>
      </c>
      <c r="T920" s="341"/>
      <c r="V920" s="154"/>
      <c r="W920" s="205"/>
      <c r="X920" s="205"/>
      <c r="Y920" s="205"/>
      <c r="Z920" s="205"/>
      <c r="AA920" s="205"/>
      <c r="AB920" s="205"/>
      <c r="AC920" s="205"/>
      <c r="AD920" s="205"/>
      <c r="AE920" s="205"/>
      <c r="AF920" s="205"/>
      <c r="AG920" s="205"/>
      <c r="AH920" s="205"/>
      <c r="AI920" s="205"/>
      <c r="AJ920" s="205"/>
      <c r="AK920" s="205"/>
      <c r="AL920" s="205"/>
      <c r="AM920" s="172"/>
      <c r="AN920" s="172"/>
      <c r="AO920" s="172"/>
      <c r="AP920" s="172"/>
      <c r="AQ920" s="172"/>
      <c r="AR920" s="172"/>
    </row>
    <row r="921" spans="1:44" x14ac:dyDescent="0.2">
      <c r="A921" s="33" t="s">
        <v>879</v>
      </c>
      <c r="B921" s="330">
        <f t="shared" si="153"/>
        <v>62541</v>
      </c>
      <c r="C921" s="330">
        <f t="shared" si="150"/>
        <v>62542</v>
      </c>
      <c r="D921" s="333" t="s">
        <v>895</v>
      </c>
      <c r="E921" s="339" t="s">
        <v>2290</v>
      </c>
      <c r="F921" s="330">
        <v>32</v>
      </c>
      <c r="G921" s="346">
        <f t="shared" si="134"/>
        <v>6.25E-2</v>
      </c>
      <c r="H921" s="330"/>
      <c r="I921" s="333">
        <f t="shared" si="151"/>
        <v>4</v>
      </c>
      <c r="J921" s="333">
        <f t="shared" si="152"/>
        <v>2</v>
      </c>
      <c r="K921" s="334" t="s">
        <v>796</v>
      </c>
      <c r="L921" s="335" t="s">
        <v>234</v>
      </c>
      <c r="M921" s="335"/>
      <c r="N921" s="335"/>
      <c r="O921" s="11"/>
      <c r="P921" s="336"/>
      <c r="Q921" s="336"/>
      <c r="R921" s="11"/>
      <c r="S921" s="11" t="s">
        <v>1181</v>
      </c>
      <c r="T921" s="341"/>
      <c r="V921" s="154"/>
      <c r="W921" s="205"/>
      <c r="X921" s="205"/>
      <c r="Y921" s="205"/>
      <c r="Z921" s="205"/>
      <c r="AA921" s="205"/>
      <c r="AB921" s="205"/>
      <c r="AC921" s="205"/>
      <c r="AD921" s="205"/>
      <c r="AE921" s="205"/>
      <c r="AF921" s="205"/>
      <c r="AG921" s="205"/>
      <c r="AH921" s="205"/>
      <c r="AI921" s="205"/>
      <c r="AJ921" s="205"/>
      <c r="AK921" s="205"/>
      <c r="AL921" s="205"/>
      <c r="AM921" s="172"/>
      <c r="AN921" s="172"/>
      <c r="AO921" s="172"/>
      <c r="AP921" s="172"/>
      <c r="AQ921" s="172"/>
      <c r="AR921" s="172"/>
    </row>
    <row r="922" spans="1:44" x14ac:dyDescent="0.2">
      <c r="A922" s="33" t="s">
        <v>879</v>
      </c>
      <c r="B922" s="330">
        <f t="shared" si="153"/>
        <v>62543</v>
      </c>
      <c r="C922" s="330">
        <f t="shared" si="150"/>
        <v>62544</v>
      </c>
      <c r="D922" s="333" t="s">
        <v>895</v>
      </c>
      <c r="E922" s="339" t="s">
        <v>2305</v>
      </c>
      <c r="F922" s="330">
        <v>32</v>
      </c>
      <c r="G922" s="346">
        <f t="shared" si="134"/>
        <v>6.25E-2</v>
      </c>
      <c r="H922" s="330"/>
      <c r="I922" s="333">
        <f t="shared" si="151"/>
        <v>4</v>
      </c>
      <c r="J922" s="333">
        <f t="shared" si="152"/>
        <v>2</v>
      </c>
      <c r="K922" s="334" t="s">
        <v>796</v>
      </c>
      <c r="L922" s="335" t="s">
        <v>234</v>
      </c>
      <c r="M922" s="335"/>
      <c r="N922" s="335"/>
      <c r="O922" s="11"/>
      <c r="P922" s="336"/>
      <c r="Q922" s="336"/>
      <c r="R922" s="11"/>
      <c r="S922" s="11" t="s">
        <v>1181</v>
      </c>
      <c r="T922" s="341"/>
    </row>
    <row r="923" spans="1:44" x14ac:dyDescent="0.2">
      <c r="A923" s="33" t="s">
        <v>879</v>
      </c>
      <c r="B923" s="330">
        <f t="shared" si="153"/>
        <v>62545</v>
      </c>
      <c r="C923" s="330">
        <f t="shared" si="150"/>
        <v>62546</v>
      </c>
      <c r="D923" s="333" t="s">
        <v>895</v>
      </c>
      <c r="E923" s="339" t="s">
        <v>2320</v>
      </c>
      <c r="F923" s="330">
        <v>32</v>
      </c>
      <c r="G923" s="346">
        <f>1/16</f>
        <v>6.25E-2</v>
      </c>
      <c r="H923" s="330"/>
      <c r="I923" s="333">
        <f t="shared" si="151"/>
        <v>4</v>
      </c>
      <c r="J923" s="333">
        <f t="shared" si="152"/>
        <v>2</v>
      </c>
      <c r="K923" s="334" t="s">
        <v>796</v>
      </c>
      <c r="L923" s="335" t="s">
        <v>234</v>
      </c>
      <c r="M923" s="335"/>
      <c r="N923" s="335"/>
      <c r="O923" s="11"/>
      <c r="P923" s="336"/>
      <c r="Q923" s="336"/>
      <c r="R923" s="11"/>
      <c r="S923" s="11" t="s">
        <v>1181</v>
      </c>
      <c r="T923" s="341"/>
    </row>
    <row r="924" spans="1:44" x14ac:dyDescent="0.2">
      <c r="A924" s="33" t="s">
        <v>879</v>
      </c>
      <c r="B924" s="330">
        <f t="shared" si="153"/>
        <v>62547</v>
      </c>
      <c r="C924" s="330">
        <f t="shared" si="150"/>
        <v>62548</v>
      </c>
      <c r="D924" s="333" t="s">
        <v>895</v>
      </c>
      <c r="E924" s="339" t="s">
        <v>2335</v>
      </c>
      <c r="F924" s="330">
        <v>32</v>
      </c>
      <c r="G924" s="346">
        <f>1/16</f>
        <v>6.25E-2</v>
      </c>
      <c r="H924" s="330"/>
      <c r="I924" s="333">
        <f t="shared" si="151"/>
        <v>4</v>
      </c>
      <c r="J924" s="333">
        <f t="shared" si="152"/>
        <v>2</v>
      </c>
      <c r="K924" s="334" t="s">
        <v>796</v>
      </c>
      <c r="L924" s="335" t="s">
        <v>234</v>
      </c>
      <c r="M924" s="335"/>
      <c r="N924" s="335"/>
      <c r="O924" s="11"/>
      <c r="P924" s="336"/>
      <c r="Q924" s="336"/>
      <c r="R924" s="11"/>
      <c r="S924" s="11" t="s">
        <v>1181</v>
      </c>
      <c r="T924" s="341"/>
    </row>
    <row r="925" spans="1:44" x14ac:dyDescent="0.2">
      <c r="A925" s="33" t="s">
        <v>879</v>
      </c>
      <c r="B925" s="330">
        <f t="shared" si="153"/>
        <v>62549</v>
      </c>
      <c r="C925" s="330">
        <f t="shared" si="150"/>
        <v>62550</v>
      </c>
      <c r="D925" s="333" t="s">
        <v>895</v>
      </c>
      <c r="E925" s="339" t="s">
        <v>2350</v>
      </c>
      <c r="F925" s="330">
        <v>32</v>
      </c>
      <c r="G925" s="346">
        <f>1/16</f>
        <v>6.25E-2</v>
      </c>
      <c r="H925" s="330"/>
      <c r="I925" s="333">
        <f t="shared" si="151"/>
        <v>4</v>
      </c>
      <c r="J925" s="333">
        <f t="shared" si="152"/>
        <v>2</v>
      </c>
      <c r="K925" s="334" t="s">
        <v>796</v>
      </c>
      <c r="L925" s="335" t="s">
        <v>234</v>
      </c>
      <c r="M925" s="335"/>
      <c r="N925" s="335"/>
      <c r="O925" s="11"/>
      <c r="P925" s="340"/>
      <c r="Q925" s="340"/>
      <c r="R925" s="11"/>
      <c r="S925" s="11" t="s">
        <v>1181</v>
      </c>
      <c r="T925" s="341"/>
    </row>
    <row r="926" spans="1:44" x14ac:dyDescent="0.2">
      <c r="A926" s="33"/>
      <c r="B926" s="47">
        <f>B927</f>
        <v>62551</v>
      </c>
      <c r="C926" s="26"/>
      <c r="D926" s="28"/>
      <c r="E926" s="26" t="s">
        <v>194</v>
      </c>
      <c r="F926" s="171"/>
      <c r="G926" s="171"/>
      <c r="H926" s="171"/>
      <c r="I926" s="177"/>
      <c r="J926" s="177"/>
      <c r="K926" s="184"/>
      <c r="L926" s="185"/>
      <c r="M926" s="185"/>
      <c r="N926" s="185"/>
      <c r="O926" s="185"/>
      <c r="P926" s="182"/>
      <c r="Q926" s="182"/>
      <c r="R926" s="186"/>
      <c r="S926" s="186"/>
      <c r="T926" s="187"/>
    </row>
    <row r="927" spans="1:44" x14ac:dyDescent="0.2">
      <c r="A927" s="33" t="s">
        <v>879</v>
      </c>
      <c r="B927" s="330">
        <f>C925+1</f>
        <v>62551</v>
      </c>
      <c r="C927" s="330">
        <f t="shared" ref="C927:C942" si="154">B927+($F927*$G927)-1</f>
        <v>62552</v>
      </c>
      <c r="D927" s="333" t="s">
        <v>895</v>
      </c>
      <c r="E927" s="339" t="s">
        <v>2015</v>
      </c>
      <c r="F927" s="330">
        <v>32</v>
      </c>
      <c r="G927" s="346">
        <f t="shared" ref="G927:G959" si="155">1/16</f>
        <v>6.25E-2</v>
      </c>
      <c r="H927" s="330"/>
      <c r="I927" s="333">
        <f t="shared" ref="I927:I942" si="156">F927*2*G927</f>
        <v>4</v>
      </c>
      <c r="J927" s="333">
        <f t="shared" ref="J927:J942" si="157">C927-B927+1</f>
        <v>2</v>
      </c>
      <c r="K927" s="334" t="s">
        <v>796</v>
      </c>
      <c r="L927" s="335" t="s">
        <v>234</v>
      </c>
      <c r="M927" s="335"/>
      <c r="N927" s="335"/>
      <c r="O927" s="11"/>
      <c r="P927" s="336"/>
      <c r="Q927" s="336"/>
      <c r="R927" s="11"/>
      <c r="S927" s="11" t="s">
        <v>1181</v>
      </c>
      <c r="T927" s="341"/>
    </row>
    <row r="928" spans="1:44" x14ac:dyDescent="0.2">
      <c r="A928" s="33" t="s">
        <v>879</v>
      </c>
      <c r="B928" s="330">
        <f t="shared" ref="B928:B942" si="158">C927+1</f>
        <v>62553</v>
      </c>
      <c r="C928" s="330">
        <f t="shared" si="154"/>
        <v>62554</v>
      </c>
      <c r="D928" s="333" t="s">
        <v>895</v>
      </c>
      <c r="E928" s="339" t="s">
        <v>2032</v>
      </c>
      <c r="F928" s="330">
        <v>32</v>
      </c>
      <c r="G928" s="346">
        <f t="shared" si="155"/>
        <v>6.25E-2</v>
      </c>
      <c r="H928" s="330"/>
      <c r="I928" s="333">
        <f t="shared" si="156"/>
        <v>4</v>
      </c>
      <c r="J928" s="333">
        <f t="shared" si="157"/>
        <v>2</v>
      </c>
      <c r="K928" s="334" t="s">
        <v>796</v>
      </c>
      <c r="L928" s="335" t="s">
        <v>234</v>
      </c>
      <c r="M928" s="335"/>
      <c r="N928" s="335"/>
      <c r="O928" s="11"/>
      <c r="P928" s="336"/>
      <c r="Q928" s="336"/>
      <c r="R928" s="11"/>
      <c r="S928" s="11" t="s">
        <v>1181</v>
      </c>
      <c r="T928" s="341"/>
    </row>
    <row r="929" spans="1:20" x14ac:dyDescent="0.2">
      <c r="A929" s="33" t="s">
        <v>879</v>
      </c>
      <c r="B929" s="330">
        <f t="shared" si="158"/>
        <v>62555</v>
      </c>
      <c r="C929" s="330">
        <f t="shared" si="154"/>
        <v>62556</v>
      </c>
      <c r="D929" s="333" t="s">
        <v>895</v>
      </c>
      <c r="E929" s="339" t="s">
        <v>2050</v>
      </c>
      <c r="F929" s="330">
        <v>32</v>
      </c>
      <c r="G929" s="346">
        <f t="shared" si="155"/>
        <v>6.25E-2</v>
      </c>
      <c r="H929" s="330"/>
      <c r="I929" s="333">
        <f t="shared" si="156"/>
        <v>4</v>
      </c>
      <c r="J929" s="333">
        <f t="shared" si="157"/>
        <v>2</v>
      </c>
      <c r="K929" s="334" t="s">
        <v>796</v>
      </c>
      <c r="L929" s="335" t="s">
        <v>234</v>
      </c>
      <c r="M929" s="335"/>
      <c r="N929" s="335"/>
      <c r="O929" s="11"/>
      <c r="P929" s="336"/>
      <c r="Q929" s="336"/>
      <c r="R929" s="11"/>
      <c r="S929" s="11" t="s">
        <v>1181</v>
      </c>
      <c r="T929" s="341"/>
    </row>
    <row r="930" spans="1:20" x14ac:dyDescent="0.2">
      <c r="A930" s="33" t="s">
        <v>879</v>
      </c>
      <c r="B930" s="330">
        <f t="shared" si="158"/>
        <v>62557</v>
      </c>
      <c r="C930" s="330">
        <f t="shared" si="154"/>
        <v>62558</v>
      </c>
      <c r="D930" s="333" t="s">
        <v>895</v>
      </c>
      <c r="E930" s="339" t="s">
        <v>2067</v>
      </c>
      <c r="F930" s="330">
        <v>32</v>
      </c>
      <c r="G930" s="346">
        <f t="shared" si="155"/>
        <v>6.25E-2</v>
      </c>
      <c r="H930" s="330"/>
      <c r="I930" s="333">
        <f t="shared" si="156"/>
        <v>4</v>
      </c>
      <c r="J930" s="333">
        <f t="shared" si="157"/>
        <v>2</v>
      </c>
      <c r="K930" s="334" t="s">
        <v>796</v>
      </c>
      <c r="L930" s="335" t="s">
        <v>234</v>
      </c>
      <c r="M930" s="335"/>
      <c r="N930" s="335"/>
      <c r="O930" s="11"/>
      <c r="P930" s="336"/>
      <c r="Q930" s="336"/>
      <c r="R930" s="11"/>
      <c r="S930" s="11" t="s">
        <v>1181</v>
      </c>
      <c r="T930" s="341"/>
    </row>
    <row r="931" spans="1:20" x14ac:dyDescent="0.2">
      <c r="A931" s="33" t="s">
        <v>879</v>
      </c>
      <c r="B931" s="330">
        <f t="shared" si="158"/>
        <v>62559</v>
      </c>
      <c r="C931" s="330">
        <f t="shared" si="154"/>
        <v>62560</v>
      </c>
      <c r="D931" s="333" t="s">
        <v>895</v>
      </c>
      <c r="E931" s="339" t="s">
        <v>2084</v>
      </c>
      <c r="F931" s="330">
        <v>32</v>
      </c>
      <c r="G931" s="346">
        <f t="shared" si="155"/>
        <v>6.25E-2</v>
      </c>
      <c r="H931" s="330"/>
      <c r="I931" s="333">
        <f t="shared" si="156"/>
        <v>4</v>
      </c>
      <c r="J931" s="333">
        <f t="shared" si="157"/>
        <v>2</v>
      </c>
      <c r="K931" s="334" t="s">
        <v>796</v>
      </c>
      <c r="L931" s="335" t="s">
        <v>234</v>
      </c>
      <c r="M931" s="335"/>
      <c r="N931" s="335"/>
      <c r="O931" s="11"/>
      <c r="P931" s="336"/>
      <c r="Q931" s="336"/>
      <c r="R931" s="11"/>
      <c r="S931" s="11" t="s">
        <v>1181</v>
      </c>
      <c r="T931" s="341"/>
    </row>
    <row r="932" spans="1:20" x14ac:dyDescent="0.2">
      <c r="A932" s="33" t="s">
        <v>879</v>
      </c>
      <c r="B932" s="330">
        <f t="shared" si="158"/>
        <v>62561</v>
      </c>
      <c r="C932" s="330">
        <f t="shared" si="154"/>
        <v>62562</v>
      </c>
      <c r="D932" s="333" t="s">
        <v>895</v>
      </c>
      <c r="E932" s="339" t="s">
        <v>2101</v>
      </c>
      <c r="F932" s="330">
        <v>32</v>
      </c>
      <c r="G932" s="346">
        <f t="shared" si="155"/>
        <v>6.25E-2</v>
      </c>
      <c r="H932" s="330"/>
      <c r="I932" s="333">
        <f t="shared" si="156"/>
        <v>4</v>
      </c>
      <c r="J932" s="333">
        <f t="shared" si="157"/>
        <v>2</v>
      </c>
      <c r="K932" s="334" t="s">
        <v>796</v>
      </c>
      <c r="L932" s="335" t="s">
        <v>234</v>
      </c>
      <c r="M932" s="335"/>
      <c r="N932" s="335"/>
      <c r="O932" s="11"/>
      <c r="P932" s="336"/>
      <c r="Q932" s="336"/>
      <c r="R932" s="11"/>
      <c r="S932" s="11" t="s">
        <v>1181</v>
      </c>
      <c r="T932" s="341"/>
    </row>
    <row r="933" spans="1:20" x14ac:dyDescent="0.2">
      <c r="A933" s="33" t="s">
        <v>879</v>
      </c>
      <c r="B933" s="330">
        <f t="shared" si="158"/>
        <v>62563</v>
      </c>
      <c r="C933" s="330">
        <f t="shared" si="154"/>
        <v>62564</v>
      </c>
      <c r="D933" s="333" t="s">
        <v>895</v>
      </c>
      <c r="E933" s="339" t="s">
        <v>2126</v>
      </c>
      <c r="F933" s="330">
        <v>32</v>
      </c>
      <c r="G933" s="346">
        <f t="shared" si="155"/>
        <v>6.25E-2</v>
      </c>
      <c r="H933" s="330"/>
      <c r="I933" s="333">
        <f t="shared" si="156"/>
        <v>4</v>
      </c>
      <c r="J933" s="333">
        <f t="shared" si="157"/>
        <v>2</v>
      </c>
      <c r="K933" s="334" t="s">
        <v>796</v>
      </c>
      <c r="L933" s="335" t="s">
        <v>234</v>
      </c>
      <c r="M933" s="335"/>
      <c r="N933" s="335"/>
      <c r="O933" s="11"/>
      <c r="P933" s="336"/>
      <c r="Q933" s="336"/>
      <c r="R933" s="11"/>
      <c r="S933" s="11" t="s">
        <v>1181</v>
      </c>
      <c r="T933" s="341"/>
    </row>
    <row r="934" spans="1:20" x14ac:dyDescent="0.2">
      <c r="A934" s="33" t="s">
        <v>879</v>
      </c>
      <c r="B934" s="330">
        <f t="shared" si="158"/>
        <v>62565</v>
      </c>
      <c r="C934" s="330">
        <f t="shared" si="154"/>
        <v>62566</v>
      </c>
      <c r="D934" s="333" t="s">
        <v>895</v>
      </c>
      <c r="E934" s="339" t="s">
        <v>2151</v>
      </c>
      <c r="F934" s="330">
        <v>32</v>
      </c>
      <c r="G934" s="346">
        <f t="shared" si="155"/>
        <v>6.25E-2</v>
      </c>
      <c r="H934" s="330"/>
      <c r="I934" s="333">
        <f t="shared" si="156"/>
        <v>4</v>
      </c>
      <c r="J934" s="333">
        <f t="shared" si="157"/>
        <v>2</v>
      </c>
      <c r="K934" s="334" t="s">
        <v>796</v>
      </c>
      <c r="L934" s="335" t="s">
        <v>234</v>
      </c>
      <c r="M934" s="335"/>
      <c r="N934" s="335"/>
      <c r="O934" s="11"/>
      <c r="P934" s="336"/>
      <c r="Q934" s="336"/>
      <c r="R934" s="11"/>
      <c r="S934" s="11" t="s">
        <v>1181</v>
      </c>
      <c r="T934" s="341"/>
    </row>
    <row r="935" spans="1:20" x14ac:dyDescent="0.2">
      <c r="A935" s="33" t="s">
        <v>879</v>
      </c>
      <c r="B935" s="330">
        <f t="shared" si="158"/>
        <v>62567</v>
      </c>
      <c r="C935" s="330">
        <f t="shared" si="154"/>
        <v>62568</v>
      </c>
      <c r="D935" s="333" t="s">
        <v>895</v>
      </c>
      <c r="E935" s="339" t="s">
        <v>2176</v>
      </c>
      <c r="F935" s="330">
        <v>32</v>
      </c>
      <c r="G935" s="346">
        <f t="shared" si="155"/>
        <v>6.25E-2</v>
      </c>
      <c r="H935" s="330"/>
      <c r="I935" s="333">
        <f t="shared" si="156"/>
        <v>4</v>
      </c>
      <c r="J935" s="333">
        <f t="shared" si="157"/>
        <v>2</v>
      </c>
      <c r="K935" s="334" t="s">
        <v>796</v>
      </c>
      <c r="L935" s="335" t="s">
        <v>234</v>
      </c>
      <c r="M935" s="335"/>
      <c r="N935" s="335"/>
      <c r="O935" s="11"/>
      <c r="P935" s="336"/>
      <c r="Q935" s="336"/>
      <c r="R935" s="11"/>
      <c r="S935" s="11" t="s">
        <v>1181</v>
      </c>
      <c r="T935" s="341"/>
    </row>
    <row r="936" spans="1:20" x14ac:dyDescent="0.2">
      <c r="A936" s="33" t="s">
        <v>879</v>
      </c>
      <c r="B936" s="330">
        <f t="shared" si="158"/>
        <v>62569</v>
      </c>
      <c r="C936" s="330">
        <f t="shared" si="154"/>
        <v>62570</v>
      </c>
      <c r="D936" s="333" t="s">
        <v>895</v>
      </c>
      <c r="E936" s="339" t="s">
        <v>2201</v>
      </c>
      <c r="F936" s="330">
        <v>32</v>
      </c>
      <c r="G936" s="346">
        <f t="shared" si="155"/>
        <v>6.25E-2</v>
      </c>
      <c r="H936" s="330"/>
      <c r="I936" s="333">
        <f t="shared" si="156"/>
        <v>4</v>
      </c>
      <c r="J936" s="333">
        <f t="shared" si="157"/>
        <v>2</v>
      </c>
      <c r="K936" s="334" t="s">
        <v>796</v>
      </c>
      <c r="L936" s="335" t="s">
        <v>234</v>
      </c>
      <c r="M936" s="335"/>
      <c r="N936" s="335"/>
      <c r="O936" s="11"/>
      <c r="P936" s="336"/>
      <c r="Q936" s="336"/>
      <c r="R936" s="11"/>
      <c r="S936" s="11" t="s">
        <v>1181</v>
      </c>
      <c r="T936" s="341"/>
    </row>
    <row r="937" spans="1:20" x14ac:dyDescent="0.2">
      <c r="A937" s="33" t="s">
        <v>879</v>
      </c>
      <c r="B937" s="330">
        <f t="shared" si="158"/>
        <v>62571</v>
      </c>
      <c r="C937" s="330">
        <f t="shared" si="154"/>
        <v>62572</v>
      </c>
      <c r="D937" s="333" t="s">
        <v>895</v>
      </c>
      <c r="E937" s="339" t="s">
        <v>2276</v>
      </c>
      <c r="F937" s="330">
        <v>32</v>
      </c>
      <c r="G937" s="346">
        <f t="shared" si="155"/>
        <v>6.25E-2</v>
      </c>
      <c r="H937" s="330"/>
      <c r="I937" s="333">
        <f t="shared" si="156"/>
        <v>4</v>
      </c>
      <c r="J937" s="333">
        <f t="shared" si="157"/>
        <v>2</v>
      </c>
      <c r="K937" s="334" t="s">
        <v>796</v>
      </c>
      <c r="L937" s="335" t="s">
        <v>234</v>
      </c>
      <c r="M937" s="335"/>
      <c r="N937" s="335"/>
      <c r="O937" s="11"/>
      <c r="P937" s="336"/>
      <c r="Q937" s="336"/>
      <c r="R937" s="11"/>
      <c r="S937" s="11" t="s">
        <v>1181</v>
      </c>
      <c r="T937" s="341"/>
    </row>
    <row r="938" spans="1:20" x14ac:dyDescent="0.2">
      <c r="A938" s="33" t="s">
        <v>879</v>
      </c>
      <c r="B938" s="330">
        <f t="shared" si="158"/>
        <v>62573</v>
      </c>
      <c r="C938" s="330">
        <f t="shared" si="154"/>
        <v>62574</v>
      </c>
      <c r="D938" s="333" t="s">
        <v>895</v>
      </c>
      <c r="E938" s="339" t="s">
        <v>2291</v>
      </c>
      <c r="F938" s="330">
        <v>32</v>
      </c>
      <c r="G938" s="346">
        <f t="shared" si="155"/>
        <v>6.25E-2</v>
      </c>
      <c r="H938" s="330"/>
      <c r="I938" s="333">
        <f t="shared" si="156"/>
        <v>4</v>
      </c>
      <c r="J938" s="333">
        <f t="shared" si="157"/>
        <v>2</v>
      </c>
      <c r="K938" s="334" t="s">
        <v>796</v>
      </c>
      <c r="L938" s="335" t="s">
        <v>234</v>
      </c>
      <c r="M938" s="335"/>
      <c r="N938" s="335"/>
      <c r="O938" s="11"/>
      <c r="P938" s="336"/>
      <c r="Q938" s="336"/>
      <c r="R938" s="11"/>
      <c r="S938" s="11" t="s">
        <v>1181</v>
      </c>
      <c r="T938" s="341"/>
    </row>
    <row r="939" spans="1:20" x14ac:dyDescent="0.2">
      <c r="A939" s="33" t="s">
        <v>879</v>
      </c>
      <c r="B939" s="330">
        <f t="shared" si="158"/>
        <v>62575</v>
      </c>
      <c r="C939" s="330">
        <f t="shared" si="154"/>
        <v>62576</v>
      </c>
      <c r="D939" s="333" t="s">
        <v>895</v>
      </c>
      <c r="E939" s="339" t="s">
        <v>2306</v>
      </c>
      <c r="F939" s="330">
        <v>32</v>
      </c>
      <c r="G939" s="346">
        <f t="shared" si="155"/>
        <v>6.25E-2</v>
      </c>
      <c r="H939" s="330"/>
      <c r="I939" s="333">
        <f t="shared" si="156"/>
        <v>4</v>
      </c>
      <c r="J939" s="333">
        <f t="shared" si="157"/>
        <v>2</v>
      </c>
      <c r="K939" s="334" t="s">
        <v>796</v>
      </c>
      <c r="L939" s="335" t="s">
        <v>234</v>
      </c>
      <c r="M939" s="335"/>
      <c r="N939" s="335"/>
      <c r="O939" s="11"/>
      <c r="P939" s="336"/>
      <c r="Q939" s="336"/>
      <c r="R939" s="11"/>
      <c r="S939" s="11" t="s">
        <v>1181</v>
      </c>
      <c r="T939" s="341"/>
    </row>
    <row r="940" spans="1:20" x14ac:dyDescent="0.2">
      <c r="A940" s="33" t="s">
        <v>879</v>
      </c>
      <c r="B940" s="330">
        <f t="shared" si="158"/>
        <v>62577</v>
      </c>
      <c r="C940" s="330">
        <f t="shared" si="154"/>
        <v>62578</v>
      </c>
      <c r="D940" s="333" t="s">
        <v>895</v>
      </c>
      <c r="E940" s="339" t="s">
        <v>2321</v>
      </c>
      <c r="F940" s="330">
        <v>32</v>
      </c>
      <c r="G940" s="346">
        <f t="shared" si="155"/>
        <v>6.25E-2</v>
      </c>
      <c r="H940" s="330"/>
      <c r="I940" s="333">
        <f t="shared" si="156"/>
        <v>4</v>
      </c>
      <c r="J940" s="333">
        <f t="shared" si="157"/>
        <v>2</v>
      </c>
      <c r="K940" s="334" t="s">
        <v>796</v>
      </c>
      <c r="L940" s="335" t="s">
        <v>234</v>
      </c>
      <c r="M940" s="335"/>
      <c r="N940" s="335"/>
      <c r="O940" s="11"/>
      <c r="P940" s="336"/>
      <c r="Q940" s="336"/>
      <c r="R940" s="11"/>
      <c r="S940" s="11" t="s">
        <v>1181</v>
      </c>
      <c r="T940" s="341"/>
    </row>
    <row r="941" spans="1:20" x14ac:dyDescent="0.2">
      <c r="A941" s="33" t="s">
        <v>879</v>
      </c>
      <c r="B941" s="330">
        <f t="shared" si="158"/>
        <v>62579</v>
      </c>
      <c r="C941" s="330">
        <f t="shared" si="154"/>
        <v>62580</v>
      </c>
      <c r="D941" s="333" t="s">
        <v>895</v>
      </c>
      <c r="E941" s="339" t="s">
        <v>2336</v>
      </c>
      <c r="F941" s="330">
        <v>32</v>
      </c>
      <c r="G941" s="346">
        <f t="shared" si="155"/>
        <v>6.25E-2</v>
      </c>
      <c r="H941" s="330"/>
      <c r="I941" s="333">
        <f t="shared" si="156"/>
        <v>4</v>
      </c>
      <c r="J941" s="333">
        <f t="shared" si="157"/>
        <v>2</v>
      </c>
      <c r="K941" s="334" t="s">
        <v>796</v>
      </c>
      <c r="L941" s="335" t="s">
        <v>234</v>
      </c>
      <c r="M941" s="335"/>
      <c r="N941" s="335"/>
      <c r="O941" s="11"/>
      <c r="P941" s="336"/>
      <c r="Q941" s="336"/>
      <c r="R941" s="11"/>
      <c r="S941" s="11" t="s">
        <v>1181</v>
      </c>
      <c r="T941" s="341"/>
    </row>
    <row r="942" spans="1:20" x14ac:dyDescent="0.2">
      <c r="A942" s="33" t="s">
        <v>879</v>
      </c>
      <c r="B942" s="330">
        <f t="shared" si="158"/>
        <v>62581</v>
      </c>
      <c r="C942" s="330">
        <f t="shared" si="154"/>
        <v>62582</v>
      </c>
      <c r="D942" s="333" t="s">
        <v>895</v>
      </c>
      <c r="E942" s="339" t="s">
        <v>2351</v>
      </c>
      <c r="F942" s="330">
        <v>32</v>
      </c>
      <c r="G942" s="346">
        <f t="shared" si="155"/>
        <v>6.25E-2</v>
      </c>
      <c r="H942" s="330"/>
      <c r="I942" s="333">
        <f t="shared" si="156"/>
        <v>4</v>
      </c>
      <c r="J942" s="333">
        <f t="shared" si="157"/>
        <v>2</v>
      </c>
      <c r="K942" s="334" t="s">
        <v>796</v>
      </c>
      <c r="L942" s="335" t="s">
        <v>234</v>
      </c>
      <c r="M942" s="335"/>
      <c r="N942" s="335"/>
      <c r="O942" s="11"/>
      <c r="P942" s="340"/>
      <c r="Q942" s="340"/>
      <c r="R942" s="11"/>
      <c r="S942" s="11" t="s">
        <v>1181</v>
      </c>
      <c r="T942" s="341"/>
    </row>
    <row r="943" spans="1:20" x14ac:dyDescent="0.2">
      <c r="A943" s="33"/>
      <c r="B943" s="47">
        <f>B944</f>
        <v>62583</v>
      </c>
      <c r="C943" s="26"/>
      <c r="D943" s="28"/>
      <c r="E943" s="26" t="s">
        <v>194</v>
      </c>
      <c r="F943" s="171"/>
      <c r="G943" s="171"/>
      <c r="H943" s="171"/>
      <c r="I943" s="177"/>
      <c r="J943" s="177"/>
      <c r="K943" s="184"/>
      <c r="L943" s="185"/>
      <c r="M943" s="185"/>
      <c r="N943" s="185"/>
      <c r="O943" s="185"/>
      <c r="P943" s="182"/>
      <c r="Q943" s="182"/>
      <c r="R943" s="186"/>
      <c r="S943" s="186"/>
      <c r="T943" s="187"/>
    </row>
    <row r="944" spans="1:20" x14ac:dyDescent="0.2">
      <c r="A944" s="33" t="s">
        <v>879</v>
      </c>
      <c r="B944" s="330">
        <f>C942+1</f>
        <v>62583</v>
      </c>
      <c r="C944" s="330">
        <f t="shared" ref="C944:C959" si="159">B944+($F944*$G944)-1</f>
        <v>62584</v>
      </c>
      <c r="D944" s="333" t="s">
        <v>895</v>
      </c>
      <c r="E944" s="339" t="s">
        <v>2016</v>
      </c>
      <c r="F944" s="330">
        <v>32</v>
      </c>
      <c r="G944" s="346">
        <f t="shared" si="155"/>
        <v>6.25E-2</v>
      </c>
      <c r="H944" s="330"/>
      <c r="I944" s="333">
        <f t="shared" ref="I944:I959" si="160">F944*2*G944</f>
        <v>4</v>
      </c>
      <c r="J944" s="333">
        <f t="shared" ref="J944:J959" si="161">C944-B944+1</f>
        <v>2</v>
      </c>
      <c r="K944" s="334" t="s">
        <v>796</v>
      </c>
      <c r="L944" s="335" t="s">
        <v>234</v>
      </c>
      <c r="M944" s="335"/>
      <c r="N944" s="335"/>
      <c r="O944" s="11"/>
      <c r="P944" s="336"/>
      <c r="Q944" s="336"/>
      <c r="R944" s="11"/>
      <c r="S944" s="11" t="s">
        <v>1181</v>
      </c>
      <c r="T944" s="341"/>
    </row>
    <row r="945" spans="1:20" x14ac:dyDescent="0.2">
      <c r="A945" s="33" t="s">
        <v>879</v>
      </c>
      <c r="B945" s="330">
        <f t="shared" ref="B945:B959" si="162">C944+1</f>
        <v>62585</v>
      </c>
      <c r="C945" s="330">
        <f t="shared" si="159"/>
        <v>62586</v>
      </c>
      <c r="D945" s="333" t="s">
        <v>895</v>
      </c>
      <c r="E945" s="339" t="s">
        <v>2033</v>
      </c>
      <c r="F945" s="330">
        <v>32</v>
      </c>
      <c r="G945" s="346">
        <f t="shared" si="155"/>
        <v>6.25E-2</v>
      </c>
      <c r="H945" s="330"/>
      <c r="I945" s="333">
        <f t="shared" si="160"/>
        <v>4</v>
      </c>
      <c r="J945" s="333">
        <f t="shared" si="161"/>
        <v>2</v>
      </c>
      <c r="K945" s="334" t="s">
        <v>796</v>
      </c>
      <c r="L945" s="335" t="s">
        <v>234</v>
      </c>
      <c r="M945" s="335"/>
      <c r="N945" s="335"/>
      <c r="O945" s="11"/>
      <c r="P945" s="336"/>
      <c r="Q945" s="336"/>
      <c r="R945" s="11"/>
      <c r="S945" s="11" t="s">
        <v>1181</v>
      </c>
      <c r="T945" s="341"/>
    </row>
    <row r="946" spans="1:20" x14ac:dyDescent="0.2">
      <c r="A946" s="33" t="s">
        <v>879</v>
      </c>
      <c r="B946" s="330">
        <f t="shared" si="162"/>
        <v>62587</v>
      </c>
      <c r="C946" s="330">
        <f t="shared" si="159"/>
        <v>62588</v>
      </c>
      <c r="D946" s="333" t="s">
        <v>895</v>
      </c>
      <c r="E946" s="339" t="s">
        <v>2051</v>
      </c>
      <c r="F946" s="330">
        <v>32</v>
      </c>
      <c r="G946" s="346">
        <f t="shared" si="155"/>
        <v>6.25E-2</v>
      </c>
      <c r="H946" s="330"/>
      <c r="I946" s="333">
        <f t="shared" si="160"/>
        <v>4</v>
      </c>
      <c r="J946" s="333">
        <f t="shared" si="161"/>
        <v>2</v>
      </c>
      <c r="K946" s="334" t="s">
        <v>796</v>
      </c>
      <c r="L946" s="335" t="s">
        <v>234</v>
      </c>
      <c r="M946" s="335"/>
      <c r="N946" s="335"/>
      <c r="O946" s="11"/>
      <c r="P946" s="336"/>
      <c r="Q946" s="336"/>
      <c r="R946" s="11"/>
      <c r="S946" s="11" t="s">
        <v>1181</v>
      </c>
      <c r="T946" s="341"/>
    </row>
    <row r="947" spans="1:20" x14ac:dyDescent="0.2">
      <c r="A947" s="33" t="s">
        <v>879</v>
      </c>
      <c r="B947" s="330">
        <f t="shared" si="162"/>
        <v>62589</v>
      </c>
      <c r="C947" s="330">
        <f t="shared" si="159"/>
        <v>62590</v>
      </c>
      <c r="D947" s="333" t="s">
        <v>895</v>
      </c>
      <c r="E947" s="339" t="s">
        <v>2068</v>
      </c>
      <c r="F947" s="330">
        <v>32</v>
      </c>
      <c r="G947" s="346">
        <f t="shared" si="155"/>
        <v>6.25E-2</v>
      </c>
      <c r="H947" s="330"/>
      <c r="I947" s="333">
        <f t="shared" si="160"/>
        <v>4</v>
      </c>
      <c r="J947" s="333">
        <f t="shared" si="161"/>
        <v>2</v>
      </c>
      <c r="K947" s="334" t="s">
        <v>796</v>
      </c>
      <c r="L947" s="335" t="s">
        <v>234</v>
      </c>
      <c r="M947" s="335"/>
      <c r="N947" s="335"/>
      <c r="O947" s="11"/>
      <c r="P947" s="336"/>
      <c r="Q947" s="336"/>
      <c r="R947" s="11"/>
      <c r="S947" s="11" t="s">
        <v>1181</v>
      </c>
      <c r="T947" s="341"/>
    </row>
    <row r="948" spans="1:20" x14ac:dyDescent="0.2">
      <c r="A948" s="33" t="s">
        <v>879</v>
      </c>
      <c r="B948" s="330">
        <f t="shared" si="162"/>
        <v>62591</v>
      </c>
      <c r="C948" s="330">
        <f t="shared" si="159"/>
        <v>62592</v>
      </c>
      <c r="D948" s="333" t="s">
        <v>895</v>
      </c>
      <c r="E948" s="339" t="s">
        <v>2085</v>
      </c>
      <c r="F948" s="330">
        <v>32</v>
      </c>
      <c r="G948" s="346">
        <f t="shared" si="155"/>
        <v>6.25E-2</v>
      </c>
      <c r="H948" s="330"/>
      <c r="I948" s="333">
        <f t="shared" si="160"/>
        <v>4</v>
      </c>
      <c r="J948" s="333">
        <f t="shared" si="161"/>
        <v>2</v>
      </c>
      <c r="K948" s="334" t="s">
        <v>796</v>
      </c>
      <c r="L948" s="335" t="s">
        <v>234</v>
      </c>
      <c r="M948" s="335"/>
      <c r="N948" s="335"/>
      <c r="O948" s="11"/>
      <c r="P948" s="336"/>
      <c r="Q948" s="336"/>
      <c r="R948" s="11"/>
      <c r="S948" s="11" t="s">
        <v>1181</v>
      </c>
      <c r="T948" s="341"/>
    </row>
    <row r="949" spans="1:20" x14ac:dyDescent="0.2">
      <c r="A949" s="33" t="s">
        <v>879</v>
      </c>
      <c r="B949" s="330">
        <f t="shared" si="162"/>
        <v>62593</v>
      </c>
      <c r="C949" s="330">
        <f t="shared" si="159"/>
        <v>62594</v>
      </c>
      <c r="D949" s="333" t="s">
        <v>895</v>
      </c>
      <c r="E949" s="339" t="s">
        <v>2102</v>
      </c>
      <c r="F949" s="330">
        <v>32</v>
      </c>
      <c r="G949" s="346">
        <f t="shared" si="155"/>
        <v>6.25E-2</v>
      </c>
      <c r="H949" s="330"/>
      <c r="I949" s="333">
        <f t="shared" si="160"/>
        <v>4</v>
      </c>
      <c r="J949" s="333">
        <f t="shared" si="161"/>
        <v>2</v>
      </c>
      <c r="K949" s="334" t="s">
        <v>796</v>
      </c>
      <c r="L949" s="335" t="s">
        <v>234</v>
      </c>
      <c r="M949" s="335"/>
      <c r="N949" s="335"/>
      <c r="O949" s="11"/>
      <c r="P949" s="336"/>
      <c r="Q949" s="336"/>
      <c r="R949" s="11"/>
      <c r="S949" s="11" t="s">
        <v>1181</v>
      </c>
      <c r="T949" s="341"/>
    </row>
    <row r="950" spans="1:20" x14ac:dyDescent="0.2">
      <c r="A950" s="33" t="s">
        <v>879</v>
      </c>
      <c r="B950" s="330">
        <f t="shared" si="162"/>
        <v>62595</v>
      </c>
      <c r="C950" s="330">
        <f t="shared" si="159"/>
        <v>62596</v>
      </c>
      <c r="D950" s="333" t="s">
        <v>895</v>
      </c>
      <c r="E950" s="339" t="s">
        <v>2127</v>
      </c>
      <c r="F950" s="330">
        <v>32</v>
      </c>
      <c r="G950" s="346">
        <f t="shared" si="155"/>
        <v>6.25E-2</v>
      </c>
      <c r="H950" s="330"/>
      <c r="I950" s="333">
        <f t="shared" si="160"/>
        <v>4</v>
      </c>
      <c r="J950" s="333">
        <f t="shared" si="161"/>
        <v>2</v>
      </c>
      <c r="K950" s="334" t="s">
        <v>796</v>
      </c>
      <c r="L950" s="335" t="s">
        <v>234</v>
      </c>
      <c r="M950" s="335"/>
      <c r="N950" s="335"/>
      <c r="O950" s="11"/>
      <c r="P950" s="336"/>
      <c r="Q950" s="336"/>
      <c r="R950" s="11"/>
      <c r="S950" s="11" t="s">
        <v>1181</v>
      </c>
      <c r="T950" s="341"/>
    </row>
    <row r="951" spans="1:20" x14ac:dyDescent="0.2">
      <c r="A951" s="33" t="s">
        <v>879</v>
      </c>
      <c r="B951" s="330">
        <f t="shared" si="162"/>
        <v>62597</v>
      </c>
      <c r="C951" s="330">
        <f t="shared" si="159"/>
        <v>62598</v>
      </c>
      <c r="D951" s="333" t="s">
        <v>895</v>
      </c>
      <c r="E951" s="339" t="s">
        <v>2152</v>
      </c>
      <c r="F951" s="330">
        <v>32</v>
      </c>
      <c r="G951" s="346">
        <f t="shared" si="155"/>
        <v>6.25E-2</v>
      </c>
      <c r="H951" s="330"/>
      <c r="I951" s="333">
        <f t="shared" si="160"/>
        <v>4</v>
      </c>
      <c r="J951" s="333">
        <f t="shared" si="161"/>
        <v>2</v>
      </c>
      <c r="K951" s="334" t="s">
        <v>796</v>
      </c>
      <c r="L951" s="335" t="s">
        <v>234</v>
      </c>
      <c r="M951" s="335"/>
      <c r="N951" s="335"/>
      <c r="O951" s="11"/>
      <c r="P951" s="336"/>
      <c r="Q951" s="336"/>
      <c r="R951" s="11"/>
      <c r="S951" s="11" t="s">
        <v>1181</v>
      </c>
      <c r="T951" s="341"/>
    </row>
    <row r="952" spans="1:20" x14ac:dyDescent="0.2">
      <c r="A952" s="33" t="s">
        <v>879</v>
      </c>
      <c r="B952" s="330">
        <f t="shared" si="162"/>
        <v>62599</v>
      </c>
      <c r="C952" s="330">
        <f t="shared" si="159"/>
        <v>62600</v>
      </c>
      <c r="D952" s="333" t="s">
        <v>895</v>
      </c>
      <c r="E952" s="339" t="s">
        <v>2177</v>
      </c>
      <c r="F952" s="330">
        <v>32</v>
      </c>
      <c r="G952" s="346">
        <f t="shared" si="155"/>
        <v>6.25E-2</v>
      </c>
      <c r="H952" s="330"/>
      <c r="I952" s="333">
        <f t="shared" si="160"/>
        <v>4</v>
      </c>
      <c r="J952" s="333">
        <f t="shared" si="161"/>
        <v>2</v>
      </c>
      <c r="K952" s="334" t="s">
        <v>796</v>
      </c>
      <c r="L952" s="335" t="s">
        <v>234</v>
      </c>
      <c r="M952" s="335"/>
      <c r="N952" s="335"/>
      <c r="O952" s="11"/>
      <c r="P952" s="336"/>
      <c r="Q952" s="336"/>
      <c r="R952" s="11"/>
      <c r="S952" s="11" t="s">
        <v>1181</v>
      </c>
      <c r="T952" s="341"/>
    </row>
    <row r="953" spans="1:20" x14ac:dyDescent="0.2">
      <c r="A953" s="33" t="s">
        <v>879</v>
      </c>
      <c r="B953" s="330">
        <f t="shared" si="162"/>
        <v>62601</v>
      </c>
      <c r="C953" s="330">
        <f t="shared" si="159"/>
        <v>62602</v>
      </c>
      <c r="D953" s="333" t="s">
        <v>895</v>
      </c>
      <c r="E953" s="339" t="s">
        <v>2202</v>
      </c>
      <c r="F953" s="330">
        <v>32</v>
      </c>
      <c r="G953" s="346">
        <f t="shared" si="155"/>
        <v>6.25E-2</v>
      </c>
      <c r="H953" s="330"/>
      <c r="I953" s="333">
        <f t="shared" si="160"/>
        <v>4</v>
      </c>
      <c r="J953" s="333">
        <f t="shared" si="161"/>
        <v>2</v>
      </c>
      <c r="K953" s="334" t="s">
        <v>796</v>
      </c>
      <c r="L953" s="335" t="s">
        <v>234</v>
      </c>
      <c r="M953" s="335"/>
      <c r="N953" s="335"/>
      <c r="O953" s="11"/>
      <c r="P953" s="336"/>
      <c r="Q953" s="336"/>
      <c r="R953" s="11"/>
      <c r="S953" s="11" t="s">
        <v>1181</v>
      </c>
      <c r="T953" s="341"/>
    </row>
    <row r="954" spans="1:20" x14ac:dyDescent="0.2">
      <c r="A954" s="33" t="s">
        <v>879</v>
      </c>
      <c r="B954" s="330">
        <f t="shared" si="162"/>
        <v>62603</v>
      </c>
      <c r="C954" s="330">
        <f t="shared" si="159"/>
        <v>62604</v>
      </c>
      <c r="D954" s="333" t="s">
        <v>895</v>
      </c>
      <c r="E954" s="339" t="s">
        <v>2277</v>
      </c>
      <c r="F954" s="330">
        <v>32</v>
      </c>
      <c r="G954" s="346">
        <f t="shared" si="155"/>
        <v>6.25E-2</v>
      </c>
      <c r="H954" s="330"/>
      <c r="I954" s="333">
        <f t="shared" si="160"/>
        <v>4</v>
      </c>
      <c r="J954" s="333">
        <f t="shared" si="161"/>
        <v>2</v>
      </c>
      <c r="K954" s="334" t="s">
        <v>796</v>
      </c>
      <c r="L954" s="335" t="s">
        <v>234</v>
      </c>
      <c r="M954" s="335"/>
      <c r="N954" s="335"/>
      <c r="O954" s="11"/>
      <c r="P954" s="336"/>
      <c r="Q954" s="336"/>
      <c r="R954" s="11"/>
      <c r="S954" s="11" t="s">
        <v>1181</v>
      </c>
      <c r="T954" s="341"/>
    </row>
    <row r="955" spans="1:20" x14ac:dyDescent="0.2">
      <c r="A955" s="33" t="s">
        <v>879</v>
      </c>
      <c r="B955" s="330">
        <f t="shared" si="162"/>
        <v>62605</v>
      </c>
      <c r="C955" s="330">
        <f t="shared" si="159"/>
        <v>62606</v>
      </c>
      <c r="D955" s="333" t="s">
        <v>895</v>
      </c>
      <c r="E955" s="339" t="s">
        <v>2292</v>
      </c>
      <c r="F955" s="330">
        <v>32</v>
      </c>
      <c r="G955" s="346">
        <f t="shared" si="155"/>
        <v>6.25E-2</v>
      </c>
      <c r="H955" s="330"/>
      <c r="I955" s="333">
        <f t="shared" si="160"/>
        <v>4</v>
      </c>
      <c r="J955" s="333">
        <f t="shared" si="161"/>
        <v>2</v>
      </c>
      <c r="K955" s="334" t="s">
        <v>796</v>
      </c>
      <c r="L955" s="335" t="s">
        <v>234</v>
      </c>
      <c r="M955" s="335"/>
      <c r="N955" s="335"/>
      <c r="O955" s="11"/>
      <c r="P955" s="336"/>
      <c r="Q955" s="336"/>
      <c r="R955" s="11"/>
      <c r="S955" s="11" t="s">
        <v>1181</v>
      </c>
      <c r="T955" s="341"/>
    </row>
    <row r="956" spans="1:20" x14ac:dyDescent="0.2">
      <c r="A956" s="33" t="s">
        <v>879</v>
      </c>
      <c r="B956" s="330">
        <f t="shared" si="162"/>
        <v>62607</v>
      </c>
      <c r="C956" s="330">
        <f t="shared" si="159"/>
        <v>62608</v>
      </c>
      <c r="D956" s="333" t="s">
        <v>895</v>
      </c>
      <c r="E956" s="339" t="s">
        <v>2307</v>
      </c>
      <c r="F956" s="330">
        <v>32</v>
      </c>
      <c r="G956" s="346">
        <f t="shared" si="155"/>
        <v>6.25E-2</v>
      </c>
      <c r="H956" s="330"/>
      <c r="I956" s="333">
        <f t="shared" si="160"/>
        <v>4</v>
      </c>
      <c r="J956" s="333">
        <f t="shared" si="161"/>
        <v>2</v>
      </c>
      <c r="K956" s="334" t="s">
        <v>796</v>
      </c>
      <c r="L956" s="335" t="s">
        <v>234</v>
      </c>
      <c r="M956" s="335"/>
      <c r="N956" s="335"/>
      <c r="O956" s="11"/>
      <c r="P956" s="336"/>
      <c r="Q956" s="336"/>
      <c r="R956" s="11"/>
      <c r="S956" s="11" t="s">
        <v>1181</v>
      </c>
      <c r="T956" s="341"/>
    </row>
    <row r="957" spans="1:20" x14ac:dyDescent="0.2">
      <c r="A957" s="33" t="s">
        <v>879</v>
      </c>
      <c r="B957" s="330">
        <f t="shared" si="162"/>
        <v>62609</v>
      </c>
      <c r="C957" s="330">
        <f t="shared" si="159"/>
        <v>62610</v>
      </c>
      <c r="D957" s="333" t="s">
        <v>895</v>
      </c>
      <c r="E957" s="339" t="s">
        <v>2322</v>
      </c>
      <c r="F957" s="330">
        <v>32</v>
      </c>
      <c r="G957" s="346">
        <f t="shared" si="155"/>
        <v>6.25E-2</v>
      </c>
      <c r="H957" s="330"/>
      <c r="I957" s="333">
        <f t="shared" si="160"/>
        <v>4</v>
      </c>
      <c r="J957" s="333">
        <f t="shared" si="161"/>
        <v>2</v>
      </c>
      <c r="K957" s="334" t="s">
        <v>796</v>
      </c>
      <c r="L957" s="335" t="s">
        <v>234</v>
      </c>
      <c r="M957" s="335"/>
      <c r="N957" s="335"/>
      <c r="O957" s="11"/>
      <c r="P957" s="336"/>
      <c r="Q957" s="336"/>
      <c r="R957" s="11"/>
      <c r="S957" s="11" t="s">
        <v>1181</v>
      </c>
      <c r="T957" s="341"/>
    </row>
    <row r="958" spans="1:20" x14ac:dyDescent="0.2">
      <c r="A958" s="33" t="s">
        <v>879</v>
      </c>
      <c r="B958" s="330">
        <f t="shared" si="162"/>
        <v>62611</v>
      </c>
      <c r="C958" s="330">
        <f t="shared" si="159"/>
        <v>62612</v>
      </c>
      <c r="D958" s="333" t="s">
        <v>895</v>
      </c>
      <c r="E958" s="339" t="s">
        <v>2337</v>
      </c>
      <c r="F958" s="330">
        <v>32</v>
      </c>
      <c r="G958" s="346">
        <f t="shared" si="155"/>
        <v>6.25E-2</v>
      </c>
      <c r="H958" s="330"/>
      <c r="I958" s="333">
        <f t="shared" si="160"/>
        <v>4</v>
      </c>
      <c r="J958" s="333">
        <f t="shared" si="161"/>
        <v>2</v>
      </c>
      <c r="K958" s="334" t="s">
        <v>796</v>
      </c>
      <c r="L958" s="335" t="s">
        <v>234</v>
      </c>
      <c r="M958" s="335"/>
      <c r="N958" s="335"/>
      <c r="O958" s="11"/>
      <c r="P958" s="336"/>
      <c r="Q958" s="336"/>
      <c r="R958" s="11"/>
      <c r="S958" s="11" t="s">
        <v>1181</v>
      </c>
      <c r="T958" s="341"/>
    </row>
    <row r="959" spans="1:20" ht="11.25" customHeight="1" x14ac:dyDescent="0.2">
      <c r="A959" s="33" t="s">
        <v>879</v>
      </c>
      <c r="B959" s="330">
        <f t="shared" si="162"/>
        <v>62613</v>
      </c>
      <c r="C959" s="330">
        <f t="shared" si="159"/>
        <v>62614</v>
      </c>
      <c r="D959" s="333" t="s">
        <v>895</v>
      </c>
      <c r="E959" s="339" t="s">
        <v>2352</v>
      </c>
      <c r="F959" s="330">
        <v>32</v>
      </c>
      <c r="G959" s="346">
        <f t="shared" si="155"/>
        <v>6.25E-2</v>
      </c>
      <c r="H959" s="330"/>
      <c r="I959" s="333">
        <f t="shared" si="160"/>
        <v>4</v>
      </c>
      <c r="J959" s="333">
        <f t="shared" si="161"/>
        <v>2</v>
      </c>
      <c r="K959" s="334" t="s">
        <v>796</v>
      </c>
      <c r="L959" s="335" t="s">
        <v>234</v>
      </c>
      <c r="M959" s="335"/>
      <c r="N959" s="335"/>
      <c r="O959" s="11"/>
      <c r="P959" s="340"/>
      <c r="Q959" s="340"/>
      <c r="R959" s="11"/>
      <c r="S959" s="11" t="s">
        <v>1181</v>
      </c>
      <c r="T959" s="341"/>
    </row>
    <row r="960" spans="1:20" ht="12.75" customHeight="1" x14ac:dyDescent="0.2">
      <c r="A960" s="33"/>
      <c r="B960" s="47">
        <f>B961</f>
        <v>62615</v>
      </c>
      <c r="C960" s="26"/>
      <c r="D960" s="28"/>
      <c r="E960" s="26" t="s">
        <v>194</v>
      </c>
      <c r="F960" s="171"/>
      <c r="G960" s="171"/>
      <c r="H960" s="171"/>
      <c r="I960" s="177"/>
      <c r="J960" s="177"/>
      <c r="K960" s="184"/>
      <c r="L960" s="185"/>
      <c r="M960" s="185"/>
      <c r="N960" s="185"/>
      <c r="O960" s="185"/>
      <c r="P960" s="182"/>
      <c r="Q960" s="182"/>
      <c r="R960" s="186"/>
      <c r="S960" s="186"/>
      <c r="T960" s="187"/>
    </row>
    <row r="961" spans="1:20" x14ac:dyDescent="0.2">
      <c r="A961" s="33" t="s">
        <v>879</v>
      </c>
      <c r="B961" s="330">
        <f>C959+1</f>
        <v>62615</v>
      </c>
      <c r="C961" s="330">
        <f t="shared" ref="C961:C976" si="163">B961+($F961*$G961)-1</f>
        <v>62616</v>
      </c>
      <c r="D961" s="333" t="s">
        <v>895</v>
      </c>
      <c r="E961" s="339" t="s">
        <v>2017</v>
      </c>
      <c r="F961" s="330">
        <v>32</v>
      </c>
      <c r="G961" s="346">
        <f t="shared" ref="G961:G976" si="164">1/16</f>
        <v>6.25E-2</v>
      </c>
      <c r="H961" s="330"/>
      <c r="I961" s="333">
        <f t="shared" ref="I961:I976" si="165">F961*2*G961</f>
        <v>4</v>
      </c>
      <c r="J961" s="333">
        <f t="shared" ref="J961:J976" si="166">C961-B961+1</f>
        <v>2</v>
      </c>
      <c r="K961" s="334" t="s">
        <v>579</v>
      </c>
      <c r="L961" s="335" t="s">
        <v>234</v>
      </c>
      <c r="M961" s="335"/>
      <c r="N961" s="335"/>
      <c r="O961" s="11"/>
      <c r="P961" s="336"/>
      <c r="Q961" s="340"/>
      <c r="R961" s="11"/>
      <c r="S961" s="11" t="s">
        <v>1181</v>
      </c>
      <c r="T961" s="341"/>
    </row>
    <row r="962" spans="1:20" ht="12.75" customHeight="1" x14ac:dyDescent="0.2">
      <c r="A962" s="33" t="s">
        <v>879</v>
      </c>
      <c r="B962" s="330">
        <f t="shared" ref="B962:B976" si="167">C961+1</f>
        <v>62617</v>
      </c>
      <c r="C962" s="330">
        <f t="shared" si="163"/>
        <v>62618</v>
      </c>
      <c r="D962" s="333" t="s">
        <v>895</v>
      </c>
      <c r="E962" s="339" t="s">
        <v>2034</v>
      </c>
      <c r="F962" s="330">
        <v>32</v>
      </c>
      <c r="G962" s="346">
        <f t="shared" si="164"/>
        <v>6.25E-2</v>
      </c>
      <c r="H962" s="330"/>
      <c r="I962" s="333">
        <f t="shared" si="165"/>
        <v>4</v>
      </c>
      <c r="J962" s="333">
        <f t="shared" si="166"/>
        <v>2</v>
      </c>
      <c r="K962" s="334" t="s">
        <v>579</v>
      </c>
      <c r="L962" s="335" t="s">
        <v>234</v>
      </c>
      <c r="M962" s="335"/>
      <c r="N962" s="335"/>
      <c r="O962" s="11"/>
      <c r="P962" s="336"/>
      <c r="Q962" s="340"/>
      <c r="R962" s="11"/>
      <c r="S962" s="11" t="s">
        <v>1181</v>
      </c>
      <c r="T962" s="341"/>
    </row>
    <row r="963" spans="1:20" ht="11.25" customHeight="1" x14ac:dyDescent="0.2">
      <c r="A963" s="33" t="s">
        <v>879</v>
      </c>
      <c r="B963" s="330">
        <f t="shared" si="167"/>
        <v>62619</v>
      </c>
      <c r="C963" s="330">
        <f t="shared" si="163"/>
        <v>62620</v>
      </c>
      <c r="D963" s="333" t="s">
        <v>895</v>
      </c>
      <c r="E963" s="339" t="s">
        <v>2052</v>
      </c>
      <c r="F963" s="330">
        <v>32</v>
      </c>
      <c r="G963" s="346">
        <f t="shared" si="164"/>
        <v>6.25E-2</v>
      </c>
      <c r="H963" s="330"/>
      <c r="I963" s="333">
        <f t="shared" si="165"/>
        <v>4</v>
      </c>
      <c r="J963" s="333">
        <f t="shared" si="166"/>
        <v>2</v>
      </c>
      <c r="K963" s="334" t="s">
        <v>579</v>
      </c>
      <c r="L963" s="335" t="s">
        <v>234</v>
      </c>
      <c r="M963" s="335"/>
      <c r="N963" s="335"/>
      <c r="O963" s="11"/>
      <c r="P963" s="336"/>
      <c r="Q963" s="340"/>
      <c r="R963" s="11"/>
      <c r="S963" s="11" t="s">
        <v>1181</v>
      </c>
      <c r="T963" s="341"/>
    </row>
    <row r="964" spans="1:20" ht="11.25" customHeight="1" x14ac:dyDescent="0.2">
      <c r="A964" s="33" t="s">
        <v>879</v>
      </c>
      <c r="B964" s="330">
        <f t="shared" si="167"/>
        <v>62621</v>
      </c>
      <c r="C964" s="330">
        <f t="shared" si="163"/>
        <v>62622</v>
      </c>
      <c r="D964" s="333" t="s">
        <v>895</v>
      </c>
      <c r="E964" s="339" t="s">
        <v>2069</v>
      </c>
      <c r="F964" s="330">
        <v>32</v>
      </c>
      <c r="G964" s="346">
        <f t="shared" si="164"/>
        <v>6.25E-2</v>
      </c>
      <c r="H964" s="330"/>
      <c r="I964" s="333">
        <f t="shared" si="165"/>
        <v>4</v>
      </c>
      <c r="J964" s="333">
        <f t="shared" si="166"/>
        <v>2</v>
      </c>
      <c r="K964" s="334" t="s">
        <v>579</v>
      </c>
      <c r="L964" s="335" t="s">
        <v>234</v>
      </c>
      <c r="M964" s="335"/>
      <c r="N964" s="335"/>
      <c r="O964" s="11"/>
      <c r="P964" s="336"/>
      <c r="Q964" s="340"/>
      <c r="R964" s="11"/>
      <c r="S964" s="11" t="s">
        <v>1181</v>
      </c>
      <c r="T964" s="341"/>
    </row>
    <row r="965" spans="1:20" ht="11.25" customHeight="1" x14ac:dyDescent="0.2">
      <c r="A965" s="33" t="s">
        <v>879</v>
      </c>
      <c r="B965" s="330">
        <f t="shared" si="167"/>
        <v>62623</v>
      </c>
      <c r="C965" s="330">
        <f t="shared" si="163"/>
        <v>62624</v>
      </c>
      <c r="D965" s="333" t="s">
        <v>895</v>
      </c>
      <c r="E965" s="339" t="s">
        <v>2086</v>
      </c>
      <c r="F965" s="330">
        <v>32</v>
      </c>
      <c r="G965" s="346">
        <f t="shared" si="164"/>
        <v>6.25E-2</v>
      </c>
      <c r="H965" s="330"/>
      <c r="I965" s="333">
        <f t="shared" si="165"/>
        <v>4</v>
      </c>
      <c r="J965" s="333">
        <f t="shared" si="166"/>
        <v>2</v>
      </c>
      <c r="K965" s="334" t="s">
        <v>579</v>
      </c>
      <c r="L965" s="335" t="s">
        <v>234</v>
      </c>
      <c r="M965" s="335"/>
      <c r="N965" s="335"/>
      <c r="O965" s="11"/>
      <c r="P965" s="336"/>
      <c r="Q965" s="340"/>
      <c r="R965" s="11"/>
      <c r="S965" s="11" t="s">
        <v>1181</v>
      </c>
      <c r="T965" s="341"/>
    </row>
    <row r="966" spans="1:20" ht="11.25" customHeight="1" x14ac:dyDescent="0.2">
      <c r="A966" s="33" t="s">
        <v>879</v>
      </c>
      <c r="B966" s="330">
        <f t="shared" si="167"/>
        <v>62625</v>
      </c>
      <c r="C966" s="330">
        <f t="shared" si="163"/>
        <v>62626</v>
      </c>
      <c r="D966" s="333" t="s">
        <v>895</v>
      </c>
      <c r="E966" s="339" t="s">
        <v>2103</v>
      </c>
      <c r="F966" s="330">
        <v>32</v>
      </c>
      <c r="G966" s="346">
        <f t="shared" si="164"/>
        <v>6.25E-2</v>
      </c>
      <c r="H966" s="330"/>
      <c r="I966" s="333">
        <f t="shared" si="165"/>
        <v>4</v>
      </c>
      <c r="J966" s="333">
        <f t="shared" si="166"/>
        <v>2</v>
      </c>
      <c r="K966" s="334" t="s">
        <v>579</v>
      </c>
      <c r="L966" s="335" t="s">
        <v>234</v>
      </c>
      <c r="M966" s="335"/>
      <c r="N966" s="335"/>
      <c r="O966" s="11"/>
      <c r="P966" s="336"/>
      <c r="Q966" s="340"/>
      <c r="R966" s="11"/>
      <c r="S966" s="11" t="s">
        <v>1181</v>
      </c>
      <c r="T966" s="341"/>
    </row>
    <row r="967" spans="1:20" x14ac:dyDescent="0.2">
      <c r="A967" s="33" t="s">
        <v>879</v>
      </c>
      <c r="B967" s="330">
        <f t="shared" si="167"/>
        <v>62627</v>
      </c>
      <c r="C967" s="330">
        <f t="shared" si="163"/>
        <v>62628</v>
      </c>
      <c r="D967" s="333" t="s">
        <v>895</v>
      </c>
      <c r="E967" s="339" t="s">
        <v>2128</v>
      </c>
      <c r="F967" s="330">
        <v>32</v>
      </c>
      <c r="G967" s="346">
        <f t="shared" si="164"/>
        <v>6.25E-2</v>
      </c>
      <c r="H967" s="330"/>
      <c r="I967" s="333">
        <f t="shared" si="165"/>
        <v>4</v>
      </c>
      <c r="J967" s="333">
        <f t="shared" si="166"/>
        <v>2</v>
      </c>
      <c r="K967" s="334" t="s">
        <v>579</v>
      </c>
      <c r="L967" s="335" t="s">
        <v>234</v>
      </c>
      <c r="M967" s="335"/>
      <c r="N967" s="335"/>
      <c r="O967" s="11"/>
      <c r="P967" s="336"/>
      <c r="Q967" s="340"/>
      <c r="R967" s="11"/>
      <c r="S967" s="11" t="s">
        <v>1181</v>
      </c>
      <c r="T967" s="341"/>
    </row>
    <row r="968" spans="1:20" x14ac:dyDescent="0.2">
      <c r="A968" s="33" t="s">
        <v>879</v>
      </c>
      <c r="B968" s="330">
        <f t="shared" si="167"/>
        <v>62629</v>
      </c>
      <c r="C968" s="330">
        <f t="shared" si="163"/>
        <v>62630</v>
      </c>
      <c r="D968" s="333" t="s">
        <v>895</v>
      </c>
      <c r="E968" s="339" t="s">
        <v>2153</v>
      </c>
      <c r="F968" s="330">
        <v>32</v>
      </c>
      <c r="G968" s="346">
        <f t="shared" si="164"/>
        <v>6.25E-2</v>
      </c>
      <c r="H968" s="330"/>
      <c r="I968" s="333">
        <f t="shared" si="165"/>
        <v>4</v>
      </c>
      <c r="J968" s="333">
        <f t="shared" si="166"/>
        <v>2</v>
      </c>
      <c r="K968" s="334" t="s">
        <v>579</v>
      </c>
      <c r="L968" s="335" t="s">
        <v>234</v>
      </c>
      <c r="M968" s="335"/>
      <c r="N968" s="335"/>
      <c r="O968" s="11"/>
      <c r="P968" s="336"/>
      <c r="Q968" s="340"/>
      <c r="R968" s="11"/>
      <c r="S968" s="11" t="s">
        <v>1181</v>
      </c>
      <c r="T968" s="341"/>
    </row>
    <row r="969" spans="1:20" x14ac:dyDescent="0.2">
      <c r="A969" s="33" t="s">
        <v>879</v>
      </c>
      <c r="B969" s="330">
        <f t="shared" si="167"/>
        <v>62631</v>
      </c>
      <c r="C969" s="330">
        <f t="shared" si="163"/>
        <v>62632</v>
      </c>
      <c r="D969" s="333" t="s">
        <v>895</v>
      </c>
      <c r="E969" s="339" t="s">
        <v>2178</v>
      </c>
      <c r="F969" s="330">
        <v>32</v>
      </c>
      <c r="G969" s="346">
        <f t="shared" si="164"/>
        <v>6.25E-2</v>
      </c>
      <c r="H969" s="330"/>
      <c r="I969" s="333">
        <f t="shared" si="165"/>
        <v>4</v>
      </c>
      <c r="J969" s="333">
        <f t="shared" si="166"/>
        <v>2</v>
      </c>
      <c r="K969" s="334" t="s">
        <v>579</v>
      </c>
      <c r="L969" s="335" t="s">
        <v>234</v>
      </c>
      <c r="M969" s="335"/>
      <c r="N969" s="335"/>
      <c r="O969" s="11"/>
      <c r="P969" s="336"/>
      <c r="Q969" s="340"/>
      <c r="R969" s="11"/>
      <c r="S969" s="11" t="s">
        <v>1181</v>
      </c>
      <c r="T969" s="341"/>
    </row>
    <row r="970" spans="1:20" ht="11.25" customHeight="1" x14ac:dyDescent="0.2">
      <c r="A970" s="33" t="s">
        <v>879</v>
      </c>
      <c r="B970" s="330">
        <f t="shared" si="167"/>
        <v>62633</v>
      </c>
      <c r="C970" s="330">
        <f t="shared" si="163"/>
        <v>62634</v>
      </c>
      <c r="D970" s="333" t="s">
        <v>895</v>
      </c>
      <c r="E970" s="339" t="s">
        <v>2203</v>
      </c>
      <c r="F970" s="330">
        <v>32</v>
      </c>
      <c r="G970" s="346">
        <f t="shared" si="164"/>
        <v>6.25E-2</v>
      </c>
      <c r="H970" s="330"/>
      <c r="I970" s="333">
        <f t="shared" si="165"/>
        <v>4</v>
      </c>
      <c r="J970" s="333">
        <f t="shared" si="166"/>
        <v>2</v>
      </c>
      <c r="K970" s="334" t="s">
        <v>579</v>
      </c>
      <c r="L970" s="335" t="s">
        <v>234</v>
      </c>
      <c r="M970" s="335"/>
      <c r="N970" s="335"/>
      <c r="O970" s="11"/>
      <c r="P970" s="336"/>
      <c r="Q970" s="340"/>
      <c r="R970" s="11"/>
      <c r="S970" s="11" t="s">
        <v>1181</v>
      </c>
      <c r="T970" s="341"/>
    </row>
    <row r="971" spans="1:20" ht="11.25" customHeight="1" x14ac:dyDescent="0.2">
      <c r="A971" s="33" t="s">
        <v>879</v>
      </c>
      <c r="B971" s="330">
        <f t="shared" si="167"/>
        <v>62635</v>
      </c>
      <c r="C971" s="330">
        <f t="shared" si="163"/>
        <v>62636</v>
      </c>
      <c r="D971" s="333" t="s">
        <v>895</v>
      </c>
      <c r="E971" s="339" t="s">
        <v>2278</v>
      </c>
      <c r="F971" s="330">
        <v>32</v>
      </c>
      <c r="G971" s="346">
        <f t="shared" si="164"/>
        <v>6.25E-2</v>
      </c>
      <c r="H971" s="330"/>
      <c r="I971" s="333">
        <f t="shared" si="165"/>
        <v>4</v>
      </c>
      <c r="J971" s="333">
        <f t="shared" si="166"/>
        <v>2</v>
      </c>
      <c r="K971" s="334" t="s">
        <v>579</v>
      </c>
      <c r="L971" s="335" t="s">
        <v>234</v>
      </c>
      <c r="M971" s="335"/>
      <c r="N971" s="335"/>
      <c r="O971" s="11"/>
      <c r="P971" s="336"/>
      <c r="Q971" s="340"/>
      <c r="R971" s="11"/>
      <c r="S971" s="11" t="s">
        <v>1181</v>
      </c>
      <c r="T971" s="341"/>
    </row>
    <row r="972" spans="1:20" ht="11.25" customHeight="1" x14ac:dyDescent="0.2">
      <c r="A972" s="33" t="s">
        <v>879</v>
      </c>
      <c r="B972" s="330">
        <f t="shared" si="167"/>
        <v>62637</v>
      </c>
      <c r="C972" s="330">
        <f t="shared" si="163"/>
        <v>62638</v>
      </c>
      <c r="D972" s="333" t="s">
        <v>895</v>
      </c>
      <c r="E972" s="339" t="s">
        <v>2293</v>
      </c>
      <c r="F972" s="330">
        <v>32</v>
      </c>
      <c r="G972" s="346">
        <f t="shared" si="164"/>
        <v>6.25E-2</v>
      </c>
      <c r="H972" s="330"/>
      <c r="I972" s="333">
        <f t="shared" si="165"/>
        <v>4</v>
      </c>
      <c r="J972" s="333">
        <f t="shared" si="166"/>
        <v>2</v>
      </c>
      <c r="K972" s="334" t="s">
        <v>579</v>
      </c>
      <c r="L972" s="335" t="s">
        <v>234</v>
      </c>
      <c r="M972" s="335"/>
      <c r="N972" s="335"/>
      <c r="O972" s="11"/>
      <c r="P972" s="336"/>
      <c r="Q972" s="340"/>
      <c r="R972" s="11"/>
      <c r="S972" s="11" t="s">
        <v>1181</v>
      </c>
      <c r="T972" s="341"/>
    </row>
    <row r="973" spans="1:20" ht="13.5" customHeight="1" x14ac:dyDescent="0.2">
      <c r="A973" s="33" t="s">
        <v>879</v>
      </c>
      <c r="B973" s="330">
        <f t="shared" si="167"/>
        <v>62639</v>
      </c>
      <c r="C973" s="330">
        <f t="shared" si="163"/>
        <v>62640</v>
      </c>
      <c r="D973" s="333" t="s">
        <v>895</v>
      </c>
      <c r="E973" s="339" t="s">
        <v>2308</v>
      </c>
      <c r="F973" s="330">
        <v>32</v>
      </c>
      <c r="G973" s="346">
        <f t="shared" si="164"/>
        <v>6.25E-2</v>
      </c>
      <c r="H973" s="330"/>
      <c r="I973" s="333">
        <f t="shared" si="165"/>
        <v>4</v>
      </c>
      <c r="J973" s="333">
        <f t="shared" si="166"/>
        <v>2</v>
      </c>
      <c r="K973" s="334" t="s">
        <v>579</v>
      </c>
      <c r="L973" s="335" t="s">
        <v>234</v>
      </c>
      <c r="M973" s="335"/>
      <c r="N973" s="335"/>
      <c r="O973" s="11"/>
      <c r="P973" s="336"/>
      <c r="Q973" s="340"/>
      <c r="R973" s="11"/>
      <c r="S973" s="11" t="s">
        <v>1181</v>
      </c>
      <c r="T973" s="341"/>
    </row>
    <row r="974" spans="1:20" ht="11.25" customHeight="1" x14ac:dyDescent="0.2">
      <c r="A974" s="33" t="s">
        <v>879</v>
      </c>
      <c r="B974" s="330">
        <f t="shared" si="167"/>
        <v>62641</v>
      </c>
      <c r="C974" s="330">
        <f t="shared" si="163"/>
        <v>62642</v>
      </c>
      <c r="D974" s="333" t="s">
        <v>895</v>
      </c>
      <c r="E974" s="339" t="s">
        <v>2323</v>
      </c>
      <c r="F974" s="330">
        <v>32</v>
      </c>
      <c r="G974" s="346">
        <f t="shared" si="164"/>
        <v>6.25E-2</v>
      </c>
      <c r="H974" s="330"/>
      <c r="I974" s="333">
        <f t="shared" si="165"/>
        <v>4</v>
      </c>
      <c r="J974" s="333">
        <f t="shared" si="166"/>
        <v>2</v>
      </c>
      <c r="K974" s="334" t="s">
        <v>579</v>
      </c>
      <c r="L974" s="335" t="s">
        <v>234</v>
      </c>
      <c r="M974" s="335"/>
      <c r="N974" s="335"/>
      <c r="O974" s="11"/>
      <c r="P974" s="336"/>
      <c r="Q974" s="340"/>
      <c r="R974" s="11"/>
      <c r="S974" s="11" t="s">
        <v>1181</v>
      </c>
      <c r="T974" s="341"/>
    </row>
    <row r="975" spans="1:20" x14ac:dyDescent="0.2">
      <c r="A975" s="33" t="s">
        <v>879</v>
      </c>
      <c r="B975" s="330">
        <f t="shared" si="167"/>
        <v>62643</v>
      </c>
      <c r="C975" s="330">
        <f t="shared" si="163"/>
        <v>62644</v>
      </c>
      <c r="D975" s="333" t="s">
        <v>895</v>
      </c>
      <c r="E975" s="339" t="s">
        <v>2338</v>
      </c>
      <c r="F975" s="330">
        <v>32</v>
      </c>
      <c r="G975" s="346">
        <f t="shared" si="164"/>
        <v>6.25E-2</v>
      </c>
      <c r="H975" s="330"/>
      <c r="I975" s="333">
        <f t="shared" si="165"/>
        <v>4</v>
      </c>
      <c r="J975" s="333">
        <f t="shared" si="166"/>
        <v>2</v>
      </c>
      <c r="K975" s="334" t="s">
        <v>579</v>
      </c>
      <c r="L975" s="335" t="s">
        <v>234</v>
      </c>
      <c r="M975" s="335"/>
      <c r="N975" s="335"/>
      <c r="O975" s="11"/>
      <c r="P975" s="336"/>
      <c r="Q975" s="340"/>
      <c r="R975" s="11"/>
      <c r="S975" s="11" t="s">
        <v>1181</v>
      </c>
      <c r="T975" s="341"/>
    </row>
    <row r="976" spans="1:20" x14ac:dyDescent="0.2">
      <c r="A976" s="33" t="s">
        <v>879</v>
      </c>
      <c r="B976" s="330">
        <f t="shared" si="167"/>
        <v>62645</v>
      </c>
      <c r="C976" s="330">
        <f t="shared" si="163"/>
        <v>62646</v>
      </c>
      <c r="D976" s="333" t="s">
        <v>895</v>
      </c>
      <c r="E976" s="339" t="s">
        <v>2353</v>
      </c>
      <c r="F976" s="330">
        <v>32</v>
      </c>
      <c r="G976" s="346">
        <f t="shared" si="164"/>
        <v>6.25E-2</v>
      </c>
      <c r="H976" s="330"/>
      <c r="I976" s="333">
        <f t="shared" si="165"/>
        <v>4</v>
      </c>
      <c r="J976" s="333">
        <f t="shared" si="166"/>
        <v>2</v>
      </c>
      <c r="K976" s="334" t="s">
        <v>579</v>
      </c>
      <c r="L976" s="335" t="s">
        <v>234</v>
      </c>
      <c r="M976" s="335"/>
      <c r="N976" s="335"/>
      <c r="O976" s="11"/>
      <c r="P976" s="340"/>
      <c r="Q976" s="340"/>
      <c r="R976" s="11"/>
      <c r="S976" s="11" t="s">
        <v>1181</v>
      </c>
      <c r="T976" s="341"/>
    </row>
    <row r="977" spans="1:44" x14ac:dyDescent="0.2">
      <c r="A977" s="33"/>
      <c r="B977" s="47">
        <f>B978</f>
        <v>62647</v>
      </c>
      <c r="C977" s="26"/>
      <c r="D977" s="28"/>
      <c r="E977" s="26" t="s">
        <v>194</v>
      </c>
      <c r="F977" s="171"/>
      <c r="G977" s="171"/>
      <c r="H977" s="171"/>
      <c r="I977" s="177"/>
      <c r="J977" s="177"/>
      <c r="K977" s="184"/>
      <c r="L977" s="185"/>
      <c r="M977" s="185"/>
      <c r="N977" s="185"/>
      <c r="O977" s="185"/>
      <c r="P977" s="182"/>
      <c r="Q977" s="182"/>
      <c r="R977" s="186"/>
      <c r="S977" s="186"/>
      <c r="T977" s="187"/>
    </row>
    <row r="978" spans="1:44" x14ac:dyDescent="0.2">
      <c r="A978" s="33" t="s">
        <v>879</v>
      </c>
      <c r="B978" s="330">
        <v>62647</v>
      </c>
      <c r="C978" s="330">
        <f t="shared" ref="C978:C993" si="168">B978+($F978*$G978)-1</f>
        <v>62648</v>
      </c>
      <c r="D978" s="333" t="s">
        <v>895</v>
      </c>
      <c r="E978" s="339" t="s">
        <v>2018</v>
      </c>
      <c r="F978" s="330">
        <v>32</v>
      </c>
      <c r="G978" s="346">
        <f t="shared" ref="G978:G990" si="169">1/16</f>
        <v>6.25E-2</v>
      </c>
      <c r="H978" s="330"/>
      <c r="I978" s="333">
        <f t="shared" ref="I978:I993" si="170">F978*2*G978</f>
        <v>4</v>
      </c>
      <c r="J978" s="333">
        <f t="shared" ref="J978:J993" si="171">C978-B978+1</f>
        <v>2</v>
      </c>
      <c r="K978" s="334" t="s">
        <v>796</v>
      </c>
      <c r="L978" s="335" t="s">
        <v>234</v>
      </c>
      <c r="M978" s="335"/>
      <c r="N978" s="335"/>
      <c r="O978" s="11"/>
      <c r="P978" s="336"/>
      <c r="Q978" s="336"/>
      <c r="R978" s="11"/>
      <c r="S978" s="11" t="s">
        <v>1181</v>
      </c>
      <c r="T978" s="341"/>
    </row>
    <row r="979" spans="1:44" x14ac:dyDescent="0.2">
      <c r="A979" s="33" t="s">
        <v>879</v>
      </c>
      <c r="B979" s="330">
        <f t="shared" ref="B979:B993" si="172">C978+1</f>
        <v>62649</v>
      </c>
      <c r="C979" s="330">
        <f t="shared" si="168"/>
        <v>62650</v>
      </c>
      <c r="D979" s="333" t="s">
        <v>895</v>
      </c>
      <c r="E979" s="339" t="s">
        <v>2035</v>
      </c>
      <c r="F979" s="330">
        <v>32</v>
      </c>
      <c r="G979" s="346">
        <f t="shared" si="169"/>
        <v>6.25E-2</v>
      </c>
      <c r="H979" s="330"/>
      <c r="I979" s="333">
        <f t="shared" si="170"/>
        <v>4</v>
      </c>
      <c r="J979" s="333">
        <f t="shared" si="171"/>
        <v>2</v>
      </c>
      <c r="K979" s="334" t="s">
        <v>796</v>
      </c>
      <c r="L979" s="335" t="s">
        <v>234</v>
      </c>
      <c r="M979" s="335"/>
      <c r="N979" s="335"/>
      <c r="O979" s="11"/>
      <c r="P979" s="336"/>
      <c r="Q979" s="336"/>
      <c r="R979" s="11"/>
      <c r="S979" s="11" t="s">
        <v>1181</v>
      </c>
      <c r="T979" s="341"/>
    </row>
    <row r="980" spans="1:44" x14ac:dyDescent="0.2">
      <c r="A980" s="33" t="s">
        <v>879</v>
      </c>
      <c r="B980" s="330">
        <f t="shared" si="172"/>
        <v>62651</v>
      </c>
      <c r="C980" s="330">
        <f t="shared" si="168"/>
        <v>62652</v>
      </c>
      <c r="D980" s="333" t="s">
        <v>895</v>
      </c>
      <c r="E980" s="339" t="s">
        <v>2053</v>
      </c>
      <c r="F980" s="330">
        <v>32</v>
      </c>
      <c r="G980" s="346">
        <f t="shared" si="169"/>
        <v>6.25E-2</v>
      </c>
      <c r="H980" s="330"/>
      <c r="I980" s="333">
        <f t="shared" si="170"/>
        <v>4</v>
      </c>
      <c r="J980" s="333">
        <f t="shared" si="171"/>
        <v>2</v>
      </c>
      <c r="K980" s="334" t="s">
        <v>796</v>
      </c>
      <c r="L980" s="335" t="s">
        <v>234</v>
      </c>
      <c r="M980" s="335"/>
      <c r="N980" s="335"/>
      <c r="O980" s="11"/>
      <c r="P980" s="336"/>
      <c r="Q980" s="336"/>
      <c r="R980" s="11"/>
      <c r="S980" s="11" t="s">
        <v>1181</v>
      </c>
      <c r="T980" s="341"/>
    </row>
    <row r="981" spans="1:44" x14ac:dyDescent="0.2">
      <c r="A981" s="33" t="s">
        <v>879</v>
      </c>
      <c r="B981" s="330">
        <f t="shared" si="172"/>
        <v>62653</v>
      </c>
      <c r="C981" s="330">
        <f t="shared" si="168"/>
        <v>62654</v>
      </c>
      <c r="D981" s="333" t="s">
        <v>895</v>
      </c>
      <c r="E981" s="339" t="s">
        <v>2070</v>
      </c>
      <c r="F981" s="330">
        <v>32</v>
      </c>
      <c r="G981" s="346">
        <f t="shared" si="169"/>
        <v>6.25E-2</v>
      </c>
      <c r="H981" s="330"/>
      <c r="I981" s="333">
        <f t="shared" si="170"/>
        <v>4</v>
      </c>
      <c r="J981" s="333">
        <f t="shared" si="171"/>
        <v>2</v>
      </c>
      <c r="K981" s="334" t="s">
        <v>796</v>
      </c>
      <c r="L981" s="335" t="s">
        <v>234</v>
      </c>
      <c r="M981" s="335"/>
      <c r="N981" s="335"/>
      <c r="O981" s="11"/>
      <c r="P981" s="336"/>
      <c r="Q981" s="336"/>
      <c r="R981" s="11"/>
      <c r="S981" s="11" t="s">
        <v>1181</v>
      </c>
      <c r="T981" s="341"/>
    </row>
    <row r="982" spans="1:44" ht="12" customHeight="1" x14ac:dyDescent="0.2">
      <c r="A982" s="33" t="s">
        <v>879</v>
      </c>
      <c r="B982" s="330">
        <f t="shared" si="172"/>
        <v>62655</v>
      </c>
      <c r="C982" s="330">
        <f t="shared" si="168"/>
        <v>62656</v>
      </c>
      <c r="D982" s="333" t="s">
        <v>895</v>
      </c>
      <c r="E982" s="339" t="s">
        <v>2087</v>
      </c>
      <c r="F982" s="330">
        <v>32</v>
      </c>
      <c r="G982" s="346">
        <f t="shared" si="169"/>
        <v>6.25E-2</v>
      </c>
      <c r="H982" s="330"/>
      <c r="I982" s="333">
        <f t="shared" si="170"/>
        <v>4</v>
      </c>
      <c r="J982" s="333">
        <f t="shared" si="171"/>
        <v>2</v>
      </c>
      <c r="K982" s="334" t="s">
        <v>796</v>
      </c>
      <c r="L982" s="335" t="s">
        <v>234</v>
      </c>
      <c r="M982" s="335"/>
      <c r="N982" s="335"/>
      <c r="O982" s="11"/>
      <c r="P982" s="336"/>
      <c r="Q982" s="336"/>
      <c r="R982" s="11"/>
      <c r="S982" s="11" t="s">
        <v>1181</v>
      </c>
      <c r="T982" s="341"/>
    </row>
    <row r="983" spans="1:44" x14ac:dyDescent="0.2">
      <c r="A983" s="33" t="s">
        <v>879</v>
      </c>
      <c r="B983" s="330">
        <f t="shared" si="172"/>
        <v>62657</v>
      </c>
      <c r="C983" s="330">
        <f t="shared" si="168"/>
        <v>62658</v>
      </c>
      <c r="D983" s="333" t="s">
        <v>895</v>
      </c>
      <c r="E983" s="339" t="s">
        <v>2104</v>
      </c>
      <c r="F983" s="330">
        <v>32</v>
      </c>
      <c r="G983" s="346">
        <f t="shared" si="169"/>
        <v>6.25E-2</v>
      </c>
      <c r="H983" s="330"/>
      <c r="I983" s="333">
        <f t="shared" si="170"/>
        <v>4</v>
      </c>
      <c r="J983" s="333">
        <f t="shared" si="171"/>
        <v>2</v>
      </c>
      <c r="K983" s="334" t="s">
        <v>796</v>
      </c>
      <c r="L983" s="335" t="s">
        <v>234</v>
      </c>
      <c r="M983" s="335"/>
      <c r="N983" s="335"/>
      <c r="O983" s="11"/>
      <c r="P983" s="336"/>
      <c r="Q983" s="336"/>
      <c r="R983" s="11"/>
      <c r="S983" s="11" t="s">
        <v>1181</v>
      </c>
      <c r="T983" s="341"/>
    </row>
    <row r="984" spans="1:44" x14ac:dyDescent="0.2">
      <c r="A984" s="33" t="s">
        <v>879</v>
      </c>
      <c r="B984" s="330">
        <f t="shared" si="172"/>
        <v>62659</v>
      </c>
      <c r="C984" s="330">
        <f t="shared" si="168"/>
        <v>62660</v>
      </c>
      <c r="D984" s="333" t="s">
        <v>895</v>
      </c>
      <c r="E984" s="339" t="s">
        <v>2129</v>
      </c>
      <c r="F984" s="330">
        <v>32</v>
      </c>
      <c r="G984" s="346">
        <f t="shared" si="169"/>
        <v>6.25E-2</v>
      </c>
      <c r="H984" s="330"/>
      <c r="I984" s="333">
        <f t="shared" si="170"/>
        <v>4</v>
      </c>
      <c r="J984" s="333">
        <f t="shared" si="171"/>
        <v>2</v>
      </c>
      <c r="K984" s="334" t="s">
        <v>796</v>
      </c>
      <c r="L984" s="335" t="s">
        <v>234</v>
      </c>
      <c r="M984" s="335"/>
      <c r="N984" s="335"/>
      <c r="O984" s="11"/>
      <c r="P984" s="336"/>
      <c r="Q984" s="336"/>
      <c r="R984" s="11"/>
      <c r="S984" s="11" t="s">
        <v>1181</v>
      </c>
      <c r="T984" s="341"/>
    </row>
    <row r="985" spans="1:44" x14ac:dyDescent="0.2">
      <c r="A985" s="33" t="s">
        <v>879</v>
      </c>
      <c r="B985" s="330">
        <f t="shared" si="172"/>
        <v>62661</v>
      </c>
      <c r="C985" s="330">
        <f t="shared" si="168"/>
        <v>62662</v>
      </c>
      <c r="D985" s="333" t="s">
        <v>895</v>
      </c>
      <c r="E985" s="339" t="s">
        <v>2154</v>
      </c>
      <c r="F985" s="330">
        <v>32</v>
      </c>
      <c r="G985" s="346">
        <f t="shared" si="169"/>
        <v>6.25E-2</v>
      </c>
      <c r="H985" s="330"/>
      <c r="I985" s="333">
        <f t="shared" si="170"/>
        <v>4</v>
      </c>
      <c r="J985" s="333">
        <f t="shared" si="171"/>
        <v>2</v>
      </c>
      <c r="K985" s="334" t="s">
        <v>796</v>
      </c>
      <c r="L985" s="335" t="s">
        <v>234</v>
      </c>
      <c r="M985" s="335"/>
      <c r="N985" s="335"/>
      <c r="O985" s="11"/>
      <c r="P985" s="336"/>
      <c r="Q985" s="336"/>
      <c r="R985" s="11"/>
      <c r="S985" s="11" t="s">
        <v>1181</v>
      </c>
      <c r="T985" s="341"/>
      <c r="V985" s="14"/>
      <c r="W985" s="172"/>
      <c r="X985" s="172"/>
      <c r="Y985" s="172"/>
      <c r="Z985" s="172"/>
      <c r="AA985" s="172"/>
      <c r="AB985" s="172"/>
      <c r="AC985" s="172"/>
      <c r="AD985" s="172"/>
      <c r="AE985" s="172"/>
      <c r="AF985" s="172"/>
      <c r="AG985" s="172"/>
      <c r="AH985" s="172"/>
      <c r="AI985" s="172"/>
      <c r="AJ985" s="172"/>
      <c r="AK985" s="172"/>
      <c r="AL985" s="172"/>
      <c r="AM985" s="172"/>
      <c r="AN985" s="172"/>
      <c r="AO985" s="172"/>
      <c r="AP985" s="172"/>
      <c r="AQ985" s="172"/>
      <c r="AR985" s="172"/>
    </row>
    <row r="986" spans="1:44" x14ac:dyDescent="0.2">
      <c r="A986" s="33" t="s">
        <v>879</v>
      </c>
      <c r="B986" s="330">
        <f t="shared" si="172"/>
        <v>62663</v>
      </c>
      <c r="C986" s="330">
        <f t="shared" si="168"/>
        <v>62664</v>
      </c>
      <c r="D986" s="333" t="s">
        <v>895</v>
      </c>
      <c r="E986" s="339" t="s">
        <v>2179</v>
      </c>
      <c r="F986" s="330">
        <v>32</v>
      </c>
      <c r="G986" s="346">
        <f t="shared" si="169"/>
        <v>6.25E-2</v>
      </c>
      <c r="H986" s="330"/>
      <c r="I986" s="333">
        <f t="shared" si="170"/>
        <v>4</v>
      </c>
      <c r="J986" s="333">
        <f t="shared" si="171"/>
        <v>2</v>
      </c>
      <c r="K986" s="334" t="s">
        <v>796</v>
      </c>
      <c r="L986" s="335" t="s">
        <v>234</v>
      </c>
      <c r="M986" s="335"/>
      <c r="N986" s="335"/>
      <c r="O986" s="11"/>
      <c r="P986" s="336"/>
      <c r="Q986" s="336"/>
      <c r="R986" s="11"/>
      <c r="S986" s="11" t="s">
        <v>1181</v>
      </c>
      <c r="T986" s="341"/>
      <c r="V986" s="14"/>
      <c r="W986" s="172"/>
      <c r="X986" s="172"/>
      <c r="Y986" s="172"/>
      <c r="Z986" s="172"/>
      <c r="AA986" s="172"/>
      <c r="AB986" s="172"/>
      <c r="AC986" s="172"/>
      <c r="AD986" s="172"/>
      <c r="AE986" s="172"/>
      <c r="AF986" s="172"/>
      <c r="AG986" s="172"/>
      <c r="AH986" s="172"/>
      <c r="AI986" s="172"/>
      <c r="AJ986" s="172"/>
      <c r="AK986" s="172"/>
      <c r="AL986" s="172"/>
      <c r="AM986" s="172"/>
      <c r="AN986" s="172"/>
      <c r="AO986" s="172"/>
      <c r="AP986" s="172"/>
      <c r="AQ986" s="172"/>
      <c r="AR986" s="172"/>
    </row>
    <row r="987" spans="1:44" x14ac:dyDescent="0.2">
      <c r="A987" s="33" t="s">
        <v>879</v>
      </c>
      <c r="B987" s="330">
        <f t="shared" si="172"/>
        <v>62665</v>
      </c>
      <c r="C987" s="330">
        <f t="shared" si="168"/>
        <v>62666</v>
      </c>
      <c r="D987" s="333" t="s">
        <v>895</v>
      </c>
      <c r="E987" s="339" t="s">
        <v>2204</v>
      </c>
      <c r="F987" s="330">
        <v>32</v>
      </c>
      <c r="G987" s="346">
        <f t="shared" si="169"/>
        <v>6.25E-2</v>
      </c>
      <c r="H987" s="330"/>
      <c r="I987" s="333">
        <f t="shared" si="170"/>
        <v>4</v>
      </c>
      <c r="J987" s="333">
        <f t="shared" si="171"/>
        <v>2</v>
      </c>
      <c r="K987" s="334" t="s">
        <v>796</v>
      </c>
      <c r="L987" s="335" t="s">
        <v>234</v>
      </c>
      <c r="M987" s="335"/>
      <c r="N987" s="335"/>
      <c r="O987" s="11"/>
      <c r="P987" s="336"/>
      <c r="Q987" s="336"/>
      <c r="R987" s="11"/>
      <c r="S987" s="11" t="s">
        <v>1181</v>
      </c>
      <c r="T987" s="341"/>
      <c r="V987" s="14"/>
      <c r="W987" s="172"/>
      <c r="X987" s="172"/>
      <c r="Y987" s="172"/>
      <c r="Z987" s="172"/>
      <c r="AA987" s="172"/>
      <c r="AB987" s="172"/>
      <c r="AC987" s="172"/>
      <c r="AD987" s="172"/>
      <c r="AE987" s="259"/>
      <c r="AF987" s="259"/>
      <c r="AG987" s="259"/>
      <c r="AH987" s="259"/>
      <c r="AI987" s="259"/>
      <c r="AJ987" s="259"/>
      <c r="AK987" s="259"/>
      <c r="AL987" s="259"/>
      <c r="AM987" s="172"/>
      <c r="AN987" s="172"/>
      <c r="AO987" s="172"/>
      <c r="AP987" s="172"/>
      <c r="AQ987" s="172"/>
      <c r="AR987" s="172"/>
    </row>
    <row r="988" spans="1:44" x14ac:dyDescent="0.2">
      <c r="A988" s="33" t="s">
        <v>879</v>
      </c>
      <c r="B988" s="330">
        <f t="shared" si="172"/>
        <v>62667</v>
      </c>
      <c r="C988" s="330">
        <f t="shared" si="168"/>
        <v>62668</v>
      </c>
      <c r="D988" s="333" t="s">
        <v>895</v>
      </c>
      <c r="E988" s="339" t="s">
        <v>2279</v>
      </c>
      <c r="F988" s="330">
        <v>32</v>
      </c>
      <c r="G988" s="346">
        <f t="shared" si="169"/>
        <v>6.25E-2</v>
      </c>
      <c r="H988" s="330"/>
      <c r="I988" s="333">
        <f t="shared" si="170"/>
        <v>4</v>
      </c>
      <c r="J988" s="333">
        <f t="shared" si="171"/>
        <v>2</v>
      </c>
      <c r="K988" s="334" t="s">
        <v>796</v>
      </c>
      <c r="L988" s="335" t="s">
        <v>234</v>
      </c>
      <c r="M988" s="335"/>
      <c r="N988" s="335"/>
      <c r="O988" s="11"/>
      <c r="P988" s="336"/>
      <c r="Q988" s="336"/>
      <c r="R988" s="11"/>
      <c r="S988" s="11" t="s">
        <v>1181</v>
      </c>
      <c r="T988" s="341"/>
      <c r="V988" s="154"/>
      <c r="W988" s="205"/>
      <c r="X988" s="205"/>
      <c r="Y988" s="205"/>
      <c r="Z988" s="205"/>
      <c r="AA988" s="205"/>
      <c r="AB988" s="205"/>
      <c r="AC988" s="205"/>
      <c r="AD988" s="205"/>
      <c r="AE988" s="205"/>
      <c r="AF988" s="205"/>
      <c r="AG988" s="205"/>
      <c r="AH988" s="205"/>
      <c r="AI988" s="205"/>
      <c r="AJ988" s="205"/>
      <c r="AK988" s="205"/>
      <c r="AL988" s="205"/>
      <c r="AM988" s="172"/>
      <c r="AN988" s="172"/>
      <c r="AO988" s="172"/>
      <c r="AP988" s="172"/>
      <c r="AQ988" s="172"/>
      <c r="AR988" s="172"/>
    </row>
    <row r="989" spans="1:44" x14ac:dyDescent="0.2">
      <c r="A989" s="33" t="s">
        <v>879</v>
      </c>
      <c r="B989" s="330">
        <f t="shared" si="172"/>
        <v>62669</v>
      </c>
      <c r="C989" s="330">
        <f t="shared" si="168"/>
        <v>62670</v>
      </c>
      <c r="D989" s="333" t="s">
        <v>895</v>
      </c>
      <c r="E989" s="339" t="s">
        <v>2294</v>
      </c>
      <c r="F989" s="330">
        <v>32</v>
      </c>
      <c r="G989" s="346">
        <f t="shared" si="169"/>
        <v>6.25E-2</v>
      </c>
      <c r="H989" s="330"/>
      <c r="I989" s="333">
        <f t="shared" si="170"/>
        <v>4</v>
      </c>
      <c r="J989" s="333">
        <f t="shared" si="171"/>
        <v>2</v>
      </c>
      <c r="K989" s="334" t="s">
        <v>796</v>
      </c>
      <c r="L989" s="335" t="s">
        <v>234</v>
      </c>
      <c r="M989" s="335"/>
      <c r="N989" s="335"/>
      <c r="O989" s="11"/>
      <c r="P989" s="336"/>
      <c r="Q989" s="336"/>
      <c r="R989" s="11"/>
      <c r="S989" s="11" t="s">
        <v>1181</v>
      </c>
      <c r="T989" s="341"/>
      <c r="V989" s="154"/>
      <c r="W989" s="205"/>
      <c r="X989" s="205"/>
      <c r="Y989" s="205"/>
      <c r="Z989" s="205"/>
      <c r="AA989" s="205"/>
      <c r="AB989" s="205"/>
      <c r="AC989" s="205"/>
      <c r="AD989" s="205"/>
      <c r="AE989" s="205"/>
      <c r="AF989" s="205"/>
      <c r="AG989" s="205"/>
      <c r="AH989" s="205"/>
      <c r="AI989" s="205"/>
      <c r="AJ989" s="205"/>
      <c r="AK989" s="205"/>
      <c r="AL989" s="205"/>
      <c r="AM989" s="172"/>
      <c r="AN989" s="172"/>
      <c r="AO989" s="172"/>
      <c r="AP989" s="172"/>
      <c r="AQ989" s="172"/>
      <c r="AR989" s="172"/>
    </row>
    <row r="990" spans="1:44" x14ac:dyDescent="0.2">
      <c r="A990" s="33" t="s">
        <v>879</v>
      </c>
      <c r="B990" s="330">
        <f t="shared" si="172"/>
        <v>62671</v>
      </c>
      <c r="C990" s="330">
        <f t="shared" si="168"/>
        <v>62672</v>
      </c>
      <c r="D990" s="333" t="s">
        <v>895</v>
      </c>
      <c r="E990" s="339" t="s">
        <v>2309</v>
      </c>
      <c r="F990" s="330">
        <v>32</v>
      </c>
      <c r="G990" s="346">
        <f t="shared" si="169"/>
        <v>6.25E-2</v>
      </c>
      <c r="H990" s="330"/>
      <c r="I990" s="333">
        <f t="shared" si="170"/>
        <v>4</v>
      </c>
      <c r="J990" s="333">
        <f t="shared" si="171"/>
        <v>2</v>
      </c>
      <c r="K990" s="334" t="s">
        <v>796</v>
      </c>
      <c r="L990" s="335" t="s">
        <v>234</v>
      </c>
      <c r="M990" s="335"/>
      <c r="N990" s="335"/>
      <c r="O990" s="11"/>
      <c r="P990" s="336"/>
      <c r="Q990" s="336"/>
      <c r="R990" s="11"/>
      <c r="S990" s="11" t="s">
        <v>1181</v>
      </c>
      <c r="T990" s="341"/>
    </row>
    <row r="991" spans="1:44" x14ac:dyDescent="0.2">
      <c r="A991" s="33" t="s">
        <v>879</v>
      </c>
      <c r="B991" s="330">
        <f t="shared" si="172"/>
        <v>62673</v>
      </c>
      <c r="C991" s="330">
        <f t="shared" si="168"/>
        <v>62674</v>
      </c>
      <c r="D991" s="333" t="s">
        <v>895</v>
      </c>
      <c r="E991" s="339" t="s">
        <v>2324</v>
      </c>
      <c r="F991" s="330">
        <v>32</v>
      </c>
      <c r="G991" s="346">
        <f>1/16</f>
        <v>6.25E-2</v>
      </c>
      <c r="H991" s="330"/>
      <c r="I991" s="333">
        <f t="shared" si="170"/>
        <v>4</v>
      </c>
      <c r="J991" s="333">
        <f t="shared" si="171"/>
        <v>2</v>
      </c>
      <c r="K991" s="334" t="s">
        <v>796</v>
      </c>
      <c r="L991" s="335" t="s">
        <v>234</v>
      </c>
      <c r="M991" s="335"/>
      <c r="N991" s="335"/>
      <c r="O991" s="11"/>
      <c r="P991" s="336"/>
      <c r="Q991" s="336"/>
      <c r="R991" s="11"/>
      <c r="S991" s="11" t="s">
        <v>1181</v>
      </c>
      <c r="T991" s="341"/>
    </row>
    <row r="992" spans="1:44" x14ac:dyDescent="0.2">
      <c r="A992" s="33" t="s">
        <v>879</v>
      </c>
      <c r="B992" s="330">
        <f t="shared" si="172"/>
        <v>62675</v>
      </c>
      <c r="C992" s="330">
        <f t="shared" si="168"/>
        <v>62676</v>
      </c>
      <c r="D992" s="333" t="s">
        <v>895</v>
      </c>
      <c r="E992" s="339" t="s">
        <v>2339</v>
      </c>
      <c r="F992" s="330">
        <v>32</v>
      </c>
      <c r="G992" s="346">
        <f>1/16</f>
        <v>6.25E-2</v>
      </c>
      <c r="H992" s="330"/>
      <c r="I992" s="333">
        <f t="shared" si="170"/>
        <v>4</v>
      </c>
      <c r="J992" s="333">
        <f t="shared" si="171"/>
        <v>2</v>
      </c>
      <c r="K992" s="334" t="s">
        <v>796</v>
      </c>
      <c r="L992" s="335" t="s">
        <v>234</v>
      </c>
      <c r="M992" s="335"/>
      <c r="N992" s="335"/>
      <c r="O992" s="11"/>
      <c r="P992" s="336"/>
      <c r="Q992" s="336"/>
      <c r="R992" s="11"/>
      <c r="S992" s="11" t="s">
        <v>1181</v>
      </c>
      <c r="T992" s="341"/>
    </row>
    <row r="993" spans="1:20" x14ac:dyDescent="0.2">
      <c r="A993" s="33" t="s">
        <v>879</v>
      </c>
      <c r="B993" s="330">
        <f t="shared" si="172"/>
        <v>62677</v>
      </c>
      <c r="C993" s="330">
        <f t="shared" si="168"/>
        <v>62678</v>
      </c>
      <c r="D993" s="333" t="s">
        <v>895</v>
      </c>
      <c r="E993" s="339" t="s">
        <v>2354</v>
      </c>
      <c r="F993" s="330">
        <v>32</v>
      </c>
      <c r="G993" s="346">
        <f>1/16</f>
        <v>6.25E-2</v>
      </c>
      <c r="H993" s="330"/>
      <c r="I993" s="333">
        <f t="shared" si="170"/>
        <v>4</v>
      </c>
      <c r="J993" s="333">
        <f t="shared" si="171"/>
        <v>2</v>
      </c>
      <c r="K993" s="334" t="s">
        <v>796</v>
      </c>
      <c r="L993" s="335" t="s">
        <v>234</v>
      </c>
      <c r="M993" s="335"/>
      <c r="N993" s="335"/>
      <c r="O993" s="11"/>
      <c r="P993" s="340"/>
      <c r="Q993" s="340"/>
      <c r="R993" s="11"/>
      <c r="S993" s="11" t="s">
        <v>1181</v>
      </c>
      <c r="T993" s="341"/>
    </row>
    <row r="994" spans="1:20" x14ac:dyDescent="0.2">
      <c r="A994" s="33"/>
      <c r="B994" s="330"/>
      <c r="C994" s="330"/>
      <c r="D994" s="333"/>
      <c r="E994" s="339"/>
      <c r="F994" s="330"/>
      <c r="G994" s="346"/>
      <c r="H994" s="330"/>
      <c r="I994" s="333"/>
      <c r="J994" s="333"/>
      <c r="K994" s="334"/>
      <c r="L994" s="335"/>
      <c r="M994" s="335"/>
      <c r="N994" s="335"/>
      <c r="O994" s="11"/>
      <c r="P994" s="340"/>
      <c r="Q994" s="340"/>
      <c r="R994" s="11"/>
      <c r="S994" s="11"/>
      <c r="T994" s="341"/>
    </row>
    <row r="995" spans="1:20" x14ac:dyDescent="0.2">
      <c r="A995" s="38"/>
      <c r="B995" s="38"/>
      <c r="C995" s="38"/>
      <c r="D995" s="130"/>
      <c r="E995" s="39"/>
      <c r="F995" s="38">
        <f>SUM(F329:F557)</f>
        <v>1013</v>
      </c>
      <c r="G995" s="38">
        <f>SUM(G329:G557)</f>
        <v>201</v>
      </c>
      <c r="H995" s="38"/>
      <c r="I995" s="38">
        <f>SUM(I329:I557)</f>
        <v>2026</v>
      </c>
      <c r="J995" s="38">
        <f>SUM(J329:J557)</f>
        <v>1013</v>
      </c>
      <c r="K995" s="201" t="s">
        <v>481</v>
      </c>
      <c r="L995" s="41"/>
      <c r="M995" s="40"/>
      <c r="N995" s="40"/>
      <c r="O995" s="41"/>
      <c r="P995" s="127"/>
      <c r="Q995" s="127"/>
      <c r="R995" s="147"/>
      <c r="S995" s="147"/>
      <c r="T995" s="159"/>
    </row>
    <row r="996" spans="1:20" x14ac:dyDescent="0.2">
      <c r="A996" s="190"/>
      <c r="B996" s="190"/>
      <c r="C996" s="190"/>
      <c r="D996" s="191"/>
      <c r="E996" s="38"/>
      <c r="F996" s="190"/>
      <c r="G996" s="190"/>
      <c r="H996" s="190"/>
      <c r="I996" s="191"/>
      <c r="J996" s="191"/>
      <c r="K996" s="192"/>
      <c r="L996" s="192"/>
      <c r="M996" s="192"/>
      <c r="N996" s="192"/>
      <c r="O996" s="193"/>
      <c r="P996" s="192"/>
      <c r="Q996" s="192"/>
      <c r="R996" s="194"/>
      <c r="S996" s="194"/>
      <c r="T996" s="195"/>
    </row>
    <row r="997" spans="1:20" x14ac:dyDescent="0.2">
      <c r="A997" s="190"/>
      <c r="B997" s="190"/>
      <c r="C997" s="190"/>
      <c r="D997" s="191"/>
      <c r="E997" s="38"/>
      <c r="F997" s="190"/>
      <c r="G997" s="190"/>
      <c r="H997" s="190"/>
      <c r="I997" s="191"/>
      <c r="J997" s="191"/>
      <c r="K997" s="192"/>
      <c r="L997" s="192"/>
      <c r="M997" s="192"/>
      <c r="N997" s="192"/>
      <c r="O997" s="193"/>
      <c r="P997" s="192"/>
      <c r="Q997" s="192"/>
      <c r="R997" s="194"/>
      <c r="S997" s="194"/>
      <c r="T997" s="195"/>
    </row>
    <row r="998" spans="1:20" ht="11.25" customHeight="1" x14ac:dyDescent="0.2">
      <c r="A998" s="471" t="s">
        <v>1450</v>
      </c>
      <c r="B998" s="471"/>
      <c r="C998" s="471"/>
      <c r="D998" s="471"/>
      <c r="E998" s="471"/>
      <c r="F998" s="471"/>
      <c r="G998" s="471"/>
      <c r="H998" s="471"/>
      <c r="I998" s="471"/>
      <c r="J998" s="471"/>
      <c r="K998" s="471"/>
      <c r="L998" s="471"/>
      <c r="M998" s="471"/>
      <c r="N998" s="471"/>
      <c r="O998" s="471"/>
      <c r="P998" s="471"/>
      <c r="Q998" s="471"/>
      <c r="R998" s="471"/>
      <c r="S998" s="471"/>
      <c r="T998" s="471"/>
    </row>
    <row r="999" spans="1:20" ht="11.25" customHeight="1" x14ac:dyDescent="0.2">
      <c r="A999" s="471"/>
      <c r="B999" s="471"/>
      <c r="C999" s="471"/>
      <c r="D999" s="471"/>
      <c r="E999" s="471"/>
      <c r="F999" s="471"/>
      <c r="G999" s="471"/>
      <c r="H999" s="471"/>
      <c r="I999" s="471"/>
      <c r="J999" s="471"/>
      <c r="K999" s="471"/>
      <c r="L999" s="471"/>
      <c r="M999" s="471"/>
      <c r="N999" s="471"/>
      <c r="O999" s="471"/>
      <c r="P999" s="471"/>
      <c r="Q999" s="471"/>
      <c r="R999" s="471"/>
      <c r="S999" s="471"/>
      <c r="T999" s="471"/>
    </row>
    <row r="1000" spans="1:20" x14ac:dyDescent="0.2">
      <c r="A1000" s="33"/>
      <c r="B1000" s="36"/>
      <c r="C1000" s="36"/>
      <c r="D1000" s="37"/>
      <c r="E1000" s="33" t="s">
        <v>899</v>
      </c>
      <c r="F1000" s="33"/>
      <c r="G1000" s="36"/>
      <c r="H1000" s="36"/>
      <c r="I1000" s="37"/>
      <c r="J1000" s="37"/>
      <c r="K1000" s="34"/>
      <c r="L1000" s="35"/>
      <c r="M1000" s="34"/>
      <c r="N1000" s="34"/>
      <c r="O1000" s="35"/>
      <c r="P1000" s="120"/>
      <c r="Q1000" s="120"/>
      <c r="R1000" s="150"/>
      <c r="S1000" s="150"/>
      <c r="T1000" s="161"/>
    </row>
    <row r="1001" spans="1:20" x14ac:dyDescent="0.2">
      <c r="A1001" s="33"/>
      <c r="B1001" s="47">
        <f>B1002</f>
        <v>20001</v>
      </c>
      <c r="C1001" s="26"/>
      <c r="D1001" s="28"/>
      <c r="E1001" s="26" t="s">
        <v>963</v>
      </c>
      <c r="F1001" s="26"/>
      <c r="G1001" s="26"/>
      <c r="H1001" s="26"/>
      <c r="I1001" s="28"/>
      <c r="J1001" s="28"/>
      <c r="K1001" s="27"/>
      <c r="L1001" s="50"/>
      <c r="M1001" s="50"/>
      <c r="N1001" s="50"/>
      <c r="O1001" s="50"/>
      <c r="R1001" s="146"/>
      <c r="S1001" s="146"/>
      <c r="T1001" s="158"/>
    </row>
    <row r="1002" spans="1:20" x14ac:dyDescent="0.2">
      <c r="A1002" s="33" t="s">
        <v>880</v>
      </c>
      <c r="B1002" s="7">
        <v>20001</v>
      </c>
      <c r="C1002" s="7">
        <f t="shared" ref="C1002:C1013" si="173">B1002+($F1002*$G1002)-1</f>
        <v>20016</v>
      </c>
      <c r="D1002" s="9" t="s">
        <v>895</v>
      </c>
      <c r="E1002" s="8" t="s">
        <v>964</v>
      </c>
      <c r="F1002" s="7">
        <v>16</v>
      </c>
      <c r="G1002" s="7">
        <v>1</v>
      </c>
      <c r="H1002" s="7"/>
      <c r="I1002" s="9">
        <f t="shared" ref="I1002:I1010" si="174">F1002*G1002*2</f>
        <v>32</v>
      </c>
      <c r="J1002" s="9">
        <f t="shared" ref="J1002:J1010" si="175">C1002-B1002+1</f>
        <v>16</v>
      </c>
      <c r="K1002" s="232" t="s">
        <v>988</v>
      </c>
      <c r="L1002" s="11" t="s">
        <v>797</v>
      </c>
      <c r="M1002" s="11"/>
      <c r="N1002" s="11"/>
      <c r="O1002" s="11"/>
      <c r="P1002" s="10"/>
      <c r="Q1002" s="10"/>
      <c r="R1002" s="11"/>
      <c r="S1002" s="11" t="s">
        <v>1181</v>
      </c>
      <c r="T1002" s="157"/>
    </row>
    <row r="1003" spans="1:20" x14ac:dyDescent="0.2">
      <c r="A1003" s="33" t="s">
        <v>880</v>
      </c>
      <c r="B1003" s="7">
        <f t="shared" ref="B1003:B1009" si="176">C1002+1</f>
        <v>20017</v>
      </c>
      <c r="C1003" s="7">
        <f t="shared" si="173"/>
        <v>20032</v>
      </c>
      <c r="D1003" s="9" t="s">
        <v>895</v>
      </c>
      <c r="E1003" s="8" t="s">
        <v>965</v>
      </c>
      <c r="F1003" s="7">
        <v>16</v>
      </c>
      <c r="G1003" s="7">
        <v>1</v>
      </c>
      <c r="H1003" s="7"/>
      <c r="I1003" s="9">
        <f t="shared" si="174"/>
        <v>32</v>
      </c>
      <c r="J1003" s="9">
        <f t="shared" si="175"/>
        <v>16</v>
      </c>
      <c r="K1003" s="231" t="s">
        <v>1008</v>
      </c>
      <c r="L1003" s="11" t="s">
        <v>797</v>
      </c>
      <c r="M1003" s="11"/>
      <c r="N1003" s="11"/>
      <c r="O1003" s="11"/>
      <c r="P1003" s="121"/>
      <c r="Q1003" s="121"/>
      <c r="R1003" s="11"/>
      <c r="S1003" s="11" t="s">
        <v>1181</v>
      </c>
      <c r="T1003" s="157"/>
    </row>
    <row r="1004" spans="1:20" x14ac:dyDescent="0.2">
      <c r="A1004" s="33" t="s">
        <v>880</v>
      </c>
      <c r="B1004" s="7">
        <f t="shared" si="176"/>
        <v>20033</v>
      </c>
      <c r="C1004" s="7">
        <f t="shared" si="173"/>
        <v>20048</v>
      </c>
      <c r="D1004" s="9" t="s">
        <v>895</v>
      </c>
      <c r="E1004" s="8" t="s">
        <v>966</v>
      </c>
      <c r="F1004" s="7">
        <v>16</v>
      </c>
      <c r="G1004" s="7">
        <v>1</v>
      </c>
      <c r="H1004" s="7"/>
      <c r="I1004" s="9">
        <f t="shared" si="174"/>
        <v>32</v>
      </c>
      <c r="J1004" s="9">
        <f t="shared" si="175"/>
        <v>16</v>
      </c>
      <c r="K1004" s="57" t="s">
        <v>1009</v>
      </c>
      <c r="L1004" s="11" t="s">
        <v>797</v>
      </c>
      <c r="M1004" s="11"/>
      <c r="N1004" s="11"/>
      <c r="O1004" s="11"/>
      <c r="P1004" s="121"/>
      <c r="Q1004" s="121"/>
      <c r="R1004" s="11"/>
      <c r="S1004" s="11" t="s">
        <v>1181</v>
      </c>
      <c r="T1004" s="157"/>
    </row>
    <row r="1005" spans="1:20" x14ac:dyDescent="0.2">
      <c r="A1005" s="33" t="s">
        <v>880</v>
      </c>
      <c r="B1005" s="7">
        <f t="shared" si="176"/>
        <v>20049</v>
      </c>
      <c r="C1005" s="7">
        <f>B1005+($F1005*$G1005)-1</f>
        <v>20080</v>
      </c>
      <c r="D1005" s="9" t="s">
        <v>895</v>
      </c>
      <c r="E1005" s="8" t="s">
        <v>1232</v>
      </c>
      <c r="F1005" s="7">
        <v>32</v>
      </c>
      <c r="G1005" s="7">
        <v>1</v>
      </c>
      <c r="H1005" s="7"/>
      <c r="I1005" s="9">
        <f t="shared" si="174"/>
        <v>64</v>
      </c>
      <c r="J1005" s="9">
        <f t="shared" si="175"/>
        <v>32</v>
      </c>
      <c r="K1005" s="57" t="s">
        <v>1155</v>
      </c>
      <c r="L1005" s="11" t="s">
        <v>797</v>
      </c>
      <c r="M1005" s="11"/>
      <c r="N1005" s="11"/>
      <c r="O1005" s="11"/>
      <c r="P1005" s="10"/>
      <c r="Q1005" s="10"/>
      <c r="R1005" s="11"/>
      <c r="S1005" s="11" t="s">
        <v>1181</v>
      </c>
      <c r="T1005" s="157"/>
    </row>
    <row r="1006" spans="1:20" x14ac:dyDescent="0.2">
      <c r="A1006" s="33" t="s">
        <v>880</v>
      </c>
      <c r="B1006" s="7">
        <f t="shared" si="176"/>
        <v>20081</v>
      </c>
      <c r="C1006" s="7">
        <f>B1006+($F1006*$G1006)-1</f>
        <v>20112</v>
      </c>
      <c r="D1006" s="9" t="s">
        <v>895</v>
      </c>
      <c r="E1006" s="8" t="s">
        <v>1233</v>
      </c>
      <c r="F1006" s="7">
        <v>32</v>
      </c>
      <c r="G1006" s="7">
        <v>1</v>
      </c>
      <c r="H1006" s="7"/>
      <c r="I1006" s="9">
        <f t="shared" si="174"/>
        <v>64</v>
      </c>
      <c r="J1006" s="9">
        <f t="shared" si="175"/>
        <v>32</v>
      </c>
      <c r="K1006" s="57" t="s">
        <v>1433</v>
      </c>
      <c r="L1006" s="11" t="s">
        <v>797</v>
      </c>
      <c r="M1006" s="11"/>
      <c r="N1006" s="11"/>
      <c r="O1006" s="11"/>
      <c r="P1006" s="10"/>
      <c r="Q1006" s="10"/>
      <c r="R1006" s="11"/>
      <c r="S1006" s="11" t="s">
        <v>1181</v>
      </c>
      <c r="T1006" s="157"/>
    </row>
    <row r="1007" spans="1:20" x14ac:dyDescent="0.2">
      <c r="A1007" s="33" t="s">
        <v>880</v>
      </c>
      <c r="B1007" s="7">
        <f t="shared" si="176"/>
        <v>20113</v>
      </c>
      <c r="C1007" s="7">
        <f t="shared" si="173"/>
        <v>20128</v>
      </c>
      <c r="D1007" s="9" t="s">
        <v>895</v>
      </c>
      <c r="E1007" s="8" t="s">
        <v>967</v>
      </c>
      <c r="F1007" s="7">
        <v>16</v>
      </c>
      <c r="G1007" s="7">
        <v>1</v>
      </c>
      <c r="H1007" s="7"/>
      <c r="I1007" s="9">
        <f t="shared" si="174"/>
        <v>32</v>
      </c>
      <c r="J1007" s="9">
        <f t="shared" si="175"/>
        <v>16</v>
      </c>
      <c r="K1007" s="57" t="s">
        <v>1010</v>
      </c>
      <c r="L1007" s="11" t="s">
        <v>797</v>
      </c>
      <c r="M1007" s="11"/>
      <c r="N1007" s="11"/>
      <c r="O1007" s="11"/>
      <c r="P1007" s="121"/>
      <c r="Q1007" s="121"/>
      <c r="R1007" s="11"/>
      <c r="S1007" s="11" t="s">
        <v>1181</v>
      </c>
      <c r="T1007" s="157"/>
    </row>
    <row r="1008" spans="1:20" x14ac:dyDescent="0.2">
      <c r="A1008" s="33" t="s">
        <v>880</v>
      </c>
      <c r="B1008" s="7">
        <f t="shared" si="176"/>
        <v>20129</v>
      </c>
      <c r="C1008" s="7">
        <f t="shared" si="173"/>
        <v>20144</v>
      </c>
      <c r="D1008" s="9" t="s">
        <v>895</v>
      </c>
      <c r="E1008" s="8" t="s">
        <v>968</v>
      </c>
      <c r="F1008" s="7">
        <v>16</v>
      </c>
      <c r="G1008" s="7">
        <v>1</v>
      </c>
      <c r="H1008" s="7"/>
      <c r="I1008" s="9">
        <f t="shared" si="174"/>
        <v>32</v>
      </c>
      <c r="J1008" s="9">
        <f t="shared" si="175"/>
        <v>16</v>
      </c>
      <c r="K1008" s="57" t="s">
        <v>1011</v>
      </c>
      <c r="L1008" s="11" t="s">
        <v>797</v>
      </c>
      <c r="M1008" s="11"/>
      <c r="N1008" s="11"/>
      <c r="O1008" s="11"/>
      <c r="P1008" s="10"/>
      <c r="Q1008" s="10"/>
      <c r="R1008" s="11"/>
      <c r="S1008" s="11" t="s">
        <v>1181</v>
      </c>
      <c r="T1008" s="157"/>
    </row>
    <row r="1009" spans="1:20" x14ac:dyDescent="0.2">
      <c r="A1009" s="33" t="s">
        <v>880</v>
      </c>
      <c r="B1009" s="7">
        <f t="shared" si="176"/>
        <v>20145</v>
      </c>
      <c r="C1009" s="7">
        <f>B1009+($F1009*$G1009)-1</f>
        <v>20160</v>
      </c>
      <c r="D1009" s="9" t="s">
        <v>895</v>
      </c>
      <c r="E1009" s="8" t="s">
        <v>1231</v>
      </c>
      <c r="F1009" s="7">
        <v>16</v>
      </c>
      <c r="G1009" s="7">
        <v>1</v>
      </c>
      <c r="H1009" s="7"/>
      <c r="I1009" s="9">
        <f t="shared" si="174"/>
        <v>32</v>
      </c>
      <c r="J1009" s="9">
        <f t="shared" si="175"/>
        <v>16</v>
      </c>
      <c r="K1009" s="57" t="s">
        <v>1011</v>
      </c>
      <c r="L1009" s="11" t="s">
        <v>797</v>
      </c>
      <c r="M1009" s="11"/>
      <c r="N1009" s="11"/>
      <c r="O1009" s="11"/>
      <c r="P1009" s="10"/>
      <c r="Q1009" s="10"/>
      <c r="R1009" s="11"/>
      <c r="S1009" s="11" t="s">
        <v>1181</v>
      </c>
      <c r="T1009" s="157"/>
    </row>
    <row r="1010" spans="1:20" x14ac:dyDescent="0.2">
      <c r="A1010" s="33" t="s">
        <v>880</v>
      </c>
      <c r="B1010" s="7">
        <f>C1009+1</f>
        <v>20161</v>
      </c>
      <c r="C1010" s="7">
        <f>B1010+($F1010*$G1010)-1</f>
        <v>20176</v>
      </c>
      <c r="D1010" s="9" t="s">
        <v>895</v>
      </c>
      <c r="E1010" s="8" t="s">
        <v>1400</v>
      </c>
      <c r="F1010" s="7">
        <v>16</v>
      </c>
      <c r="G1010" s="7">
        <v>1</v>
      </c>
      <c r="H1010" s="7"/>
      <c r="I1010" s="9">
        <f t="shared" si="174"/>
        <v>32</v>
      </c>
      <c r="J1010" s="9">
        <f t="shared" si="175"/>
        <v>16</v>
      </c>
      <c r="K1010" s="1" t="s">
        <v>1435</v>
      </c>
      <c r="L1010" s="11" t="s">
        <v>797</v>
      </c>
      <c r="M1010" s="11"/>
      <c r="N1010" s="11"/>
      <c r="O1010" s="11"/>
      <c r="P1010" s="10"/>
      <c r="Q1010" s="10"/>
      <c r="R1010" s="11"/>
      <c r="S1010" s="11" t="s">
        <v>1181</v>
      </c>
      <c r="T1010" s="157"/>
    </row>
    <row r="1011" spans="1:20" x14ac:dyDescent="0.2">
      <c r="A1011" s="33"/>
      <c r="B1011" s="47">
        <f>B1012</f>
        <v>20301</v>
      </c>
      <c r="C1011" s="26"/>
      <c r="D1011" s="28"/>
      <c r="E1011" s="26" t="s">
        <v>283</v>
      </c>
      <c r="F1011" s="26"/>
      <c r="G1011" s="26"/>
      <c r="H1011" s="26"/>
      <c r="I1011" s="28"/>
      <c r="J1011" s="28"/>
      <c r="K1011" s="27"/>
      <c r="L1011" s="50"/>
      <c r="M1011" s="50"/>
      <c r="N1011" s="50"/>
      <c r="O1011" s="50"/>
      <c r="R1011" s="146"/>
      <c r="S1011" s="146"/>
      <c r="T1011" s="158"/>
    </row>
    <row r="1012" spans="1:20" x14ac:dyDescent="0.2">
      <c r="A1012" s="33" t="s">
        <v>880</v>
      </c>
      <c r="B1012" s="7">
        <v>20301</v>
      </c>
      <c r="C1012" s="7">
        <f t="shared" si="173"/>
        <v>20556</v>
      </c>
      <c r="D1012" s="9" t="s">
        <v>895</v>
      </c>
      <c r="E1012" s="8" t="s">
        <v>969</v>
      </c>
      <c r="F1012" s="7">
        <v>256</v>
      </c>
      <c r="G1012" s="7">
        <v>1</v>
      </c>
      <c r="H1012" s="7"/>
      <c r="I1012" s="9">
        <f t="shared" ref="I1012:I1036" si="177">F1012*G1012*2</f>
        <v>512</v>
      </c>
      <c r="J1012" s="9">
        <f t="shared" ref="J1012:J1036" si="178">C1012-B1012+1</f>
        <v>256</v>
      </c>
      <c r="K1012" s="239" t="s">
        <v>1515</v>
      </c>
      <c r="L1012" s="11" t="s">
        <v>797</v>
      </c>
      <c r="M1012" s="11"/>
      <c r="N1012" s="11"/>
      <c r="O1012" s="11"/>
      <c r="P1012" s="10"/>
      <c r="Q1012" s="10"/>
      <c r="R1012" s="11"/>
      <c r="S1012" s="11" t="s">
        <v>1181</v>
      </c>
      <c r="T1012" s="157"/>
    </row>
    <row r="1013" spans="1:20" x14ac:dyDescent="0.2">
      <c r="A1013" s="33" t="s">
        <v>880</v>
      </c>
      <c r="B1013" s="7">
        <f t="shared" ref="B1013:B1018" si="179">C1012+1</f>
        <v>20557</v>
      </c>
      <c r="C1013" s="7">
        <f t="shared" si="173"/>
        <v>20812</v>
      </c>
      <c r="D1013" s="9" t="s">
        <v>895</v>
      </c>
      <c r="E1013" s="8" t="s">
        <v>970</v>
      </c>
      <c r="F1013" s="7">
        <v>256</v>
      </c>
      <c r="G1013" s="7">
        <v>1</v>
      </c>
      <c r="H1013" s="7"/>
      <c r="I1013" s="9">
        <f t="shared" si="177"/>
        <v>512</v>
      </c>
      <c r="J1013" s="9">
        <f t="shared" si="178"/>
        <v>256</v>
      </c>
      <c r="K1013" s="240" t="s">
        <v>1516</v>
      </c>
      <c r="L1013" s="11" t="s">
        <v>797</v>
      </c>
      <c r="M1013" s="11"/>
      <c r="N1013" s="11"/>
      <c r="O1013" s="11"/>
      <c r="P1013" s="10"/>
      <c r="Q1013" s="10"/>
      <c r="R1013" s="11"/>
      <c r="S1013" s="11" t="s">
        <v>1181</v>
      </c>
      <c r="T1013" s="157"/>
    </row>
    <row r="1014" spans="1:20" x14ac:dyDescent="0.2">
      <c r="A1014" s="33" t="s">
        <v>880</v>
      </c>
      <c r="B1014" s="7">
        <f t="shared" si="179"/>
        <v>20813</v>
      </c>
      <c r="C1014" s="7">
        <f t="shared" ref="C1014:C1034" si="180">B1014+($F1014*$G1014)-1</f>
        <v>21068</v>
      </c>
      <c r="D1014" s="9" t="s">
        <v>895</v>
      </c>
      <c r="E1014" s="8" t="s">
        <v>479</v>
      </c>
      <c r="F1014" s="7">
        <v>256</v>
      </c>
      <c r="G1014" s="7">
        <v>1</v>
      </c>
      <c r="H1014" s="7"/>
      <c r="I1014" s="9">
        <f t="shared" si="177"/>
        <v>512</v>
      </c>
      <c r="J1014" s="9">
        <f t="shared" si="178"/>
        <v>256</v>
      </c>
      <c r="K1014" s="210" t="s">
        <v>658</v>
      </c>
      <c r="L1014" s="11" t="s">
        <v>797</v>
      </c>
      <c r="M1014" s="11"/>
      <c r="N1014" s="11"/>
      <c r="O1014" s="11"/>
      <c r="P1014" s="10"/>
      <c r="Q1014" s="10"/>
      <c r="R1014" s="11"/>
      <c r="S1014" s="11" t="s">
        <v>1181</v>
      </c>
      <c r="T1014" s="157"/>
    </row>
    <row r="1015" spans="1:20" x14ac:dyDescent="0.2">
      <c r="A1015" s="33" t="s">
        <v>880</v>
      </c>
      <c r="B1015" s="7">
        <f t="shared" si="179"/>
        <v>21069</v>
      </c>
      <c r="C1015" s="7">
        <f t="shared" si="180"/>
        <v>21324</v>
      </c>
      <c r="D1015" s="9" t="s">
        <v>895</v>
      </c>
      <c r="E1015" s="8" t="s">
        <v>478</v>
      </c>
      <c r="F1015" s="7">
        <v>256</v>
      </c>
      <c r="G1015" s="7">
        <v>1</v>
      </c>
      <c r="H1015" s="7"/>
      <c r="I1015" s="9">
        <f t="shared" si="177"/>
        <v>512</v>
      </c>
      <c r="J1015" s="9">
        <f t="shared" si="178"/>
        <v>256</v>
      </c>
      <c r="K1015" s="1" t="s">
        <v>1125</v>
      </c>
      <c r="L1015" s="11" t="s">
        <v>797</v>
      </c>
      <c r="M1015" s="11"/>
      <c r="N1015" s="11"/>
      <c r="O1015" s="11"/>
      <c r="P1015" s="121"/>
      <c r="Q1015" s="121"/>
      <c r="R1015" s="11"/>
      <c r="S1015" s="11" t="s">
        <v>1181</v>
      </c>
      <c r="T1015" s="117"/>
    </row>
    <row r="1016" spans="1:20" x14ac:dyDescent="0.2">
      <c r="A1016" s="33" t="s">
        <v>880</v>
      </c>
      <c r="B1016" s="7">
        <f t="shared" si="179"/>
        <v>21325</v>
      </c>
      <c r="C1016" s="7">
        <f t="shared" si="180"/>
        <v>21580</v>
      </c>
      <c r="D1016" s="9" t="s">
        <v>895</v>
      </c>
      <c r="E1016" s="8" t="s">
        <v>1100</v>
      </c>
      <c r="F1016" s="7">
        <v>256</v>
      </c>
      <c r="G1016" s="7">
        <v>1</v>
      </c>
      <c r="H1016" s="7"/>
      <c r="I1016" s="9">
        <f t="shared" si="177"/>
        <v>512</v>
      </c>
      <c r="J1016" s="9">
        <f t="shared" si="178"/>
        <v>256</v>
      </c>
      <c r="K1016" s="165" t="s">
        <v>1969</v>
      </c>
      <c r="L1016" s="11" t="s">
        <v>797</v>
      </c>
      <c r="M1016" s="11"/>
      <c r="N1016" s="11"/>
      <c r="O1016" s="11"/>
      <c r="P1016" s="121"/>
      <c r="Q1016" s="121"/>
      <c r="R1016" s="11"/>
      <c r="S1016" s="11" t="s">
        <v>1181</v>
      </c>
      <c r="T1016" s="117"/>
    </row>
    <row r="1017" spans="1:20" x14ac:dyDescent="0.2">
      <c r="A1017" s="33" t="s">
        <v>880</v>
      </c>
      <c r="B1017" s="7">
        <f t="shared" si="179"/>
        <v>21581</v>
      </c>
      <c r="C1017" s="7">
        <f t="shared" si="180"/>
        <v>21836</v>
      </c>
      <c r="D1017" s="9" t="s">
        <v>895</v>
      </c>
      <c r="E1017" s="8" t="s">
        <v>1101</v>
      </c>
      <c r="F1017" s="7">
        <v>256</v>
      </c>
      <c r="G1017" s="7">
        <v>1</v>
      </c>
      <c r="H1017" s="7"/>
      <c r="I1017" s="9">
        <f t="shared" si="177"/>
        <v>512</v>
      </c>
      <c r="J1017" s="9">
        <f t="shared" si="178"/>
        <v>256</v>
      </c>
      <c r="K1017" s="165" t="s">
        <v>1970</v>
      </c>
      <c r="L1017" s="11" t="s">
        <v>797</v>
      </c>
      <c r="M1017" s="11"/>
      <c r="N1017" s="11"/>
      <c r="O1017" s="11"/>
      <c r="P1017" s="121"/>
      <c r="Q1017" s="121"/>
      <c r="R1017" s="11"/>
      <c r="S1017" s="11" t="s">
        <v>1181</v>
      </c>
      <c r="T1017" s="117"/>
    </row>
    <row r="1018" spans="1:20" x14ac:dyDescent="0.2">
      <c r="A1018" s="33" t="s">
        <v>880</v>
      </c>
      <c r="B1018" s="7">
        <f t="shared" si="179"/>
        <v>21837</v>
      </c>
      <c r="C1018" s="7">
        <f t="shared" si="180"/>
        <v>22092</v>
      </c>
      <c r="D1018" s="168" t="s">
        <v>895</v>
      </c>
      <c r="E1018" s="179" t="s">
        <v>1093</v>
      </c>
      <c r="F1018" s="7">
        <v>256</v>
      </c>
      <c r="G1018" s="7">
        <v>1</v>
      </c>
      <c r="H1018" s="7"/>
      <c r="I1018" s="9">
        <f t="shared" si="177"/>
        <v>512</v>
      </c>
      <c r="J1018" s="9">
        <f t="shared" si="178"/>
        <v>256</v>
      </c>
      <c r="K1018" s="165" t="s">
        <v>1517</v>
      </c>
      <c r="L1018" s="11" t="s">
        <v>797</v>
      </c>
      <c r="M1018" s="11"/>
      <c r="N1018" s="11"/>
      <c r="O1018" s="11"/>
      <c r="P1018" s="136"/>
      <c r="Q1018" s="136"/>
      <c r="R1018" s="11"/>
      <c r="S1018" s="11" t="s">
        <v>1181</v>
      </c>
      <c r="T1018" s="117"/>
    </row>
    <row r="1019" spans="1:20" x14ac:dyDescent="0.2">
      <c r="A1019" s="33" t="s">
        <v>880</v>
      </c>
      <c r="B1019" s="7">
        <f>C1018+1</f>
        <v>22093</v>
      </c>
      <c r="C1019" s="7">
        <f t="shared" si="180"/>
        <v>22348</v>
      </c>
      <c r="D1019" s="168" t="s">
        <v>895</v>
      </c>
      <c r="E1019" s="179" t="s">
        <v>1094</v>
      </c>
      <c r="F1019" s="7">
        <v>256</v>
      </c>
      <c r="G1019" s="7">
        <v>1</v>
      </c>
      <c r="H1019" s="7"/>
      <c r="I1019" s="9">
        <f t="shared" si="177"/>
        <v>512</v>
      </c>
      <c r="J1019" s="9">
        <f t="shared" si="178"/>
        <v>256</v>
      </c>
      <c r="K1019" s="165" t="s">
        <v>1518</v>
      </c>
      <c r="L1019" s="11" t="s">
        <v>797</v>
      </c>
      <c r="M1019" s="11"/>
      <c r="N1019" s="11"/>
      <c r="O1019" s="11"/>
      <c r="P1019" s="136"/>
      <c r="Q1019" s="136"/>
      <c r="R1019" s="11"/>
      <c r="S1019" s="11" t="s">
        <v>1181</v>
      </c>
      <c r="T1019" s="117"/>
    </row>
    <row r="1020" spans="1:20" x14ac:dyDescent="0.2">
      <c r="A1020" s="33" t="s">
        <v>880</v>
      </c>
      <c r="B1020" s="7">
        <f t="shared" ref="B1020:B1035" si="181">C1019+1</f>
        <v>22349</v>
      </c>
      <c r="C1020" s="7">
        <f t="shared" si="180"/>
        <v>22604</v>
      </c>
      <c r="D1020" s="168" t="s">
        <v>895</v>
      </c>
      <c r="E1020" s="273" t="s">
        <v>1234</v>
      </c>
      <c r="F1020" s="7">
        <v>256</v>
      </c>
      <c r="G1020" s="7">
        <v>1</v>
      </c>
      <c r="H1020" s="7"/>
      <c r="I1020" s="9">
        <f t="shared" si="177"/>
        <v>512</v>
      </c>
      <c r="J1020" s="9">
        <f t="shared" si="178"/>
        <v>256</v>
      </c>
      <c r="K1020" s="266" t="s">
        <v>1162</v>
      </c>
      <c r="L1020" s="11" t="s">
        <v>797</v>
      </c>
      <c r="M1020" s="11"/>
      <c r="N1020" s="11"/>
      <c r="O1020" s="11"/>
      <c r="P1020" s="136"/>
      <c r="Q1020" s="136"/>
      <c r="R1020" s="11"/>
      <c r="S1020" s="11" t="s">
        <v>1181</v>
      </c>
      <c r="T1020" s="117"/>
    </row>
    <row r="1021" spans="1:20" x14ac:dyDescent="0.2">
      <c r="A1021" s="33" t="s">
        <v>880</v>
      </c>
      <c r="B1021" s="7">
        <f t="shared" si="181"/>
        <v>22605</v>
      </c>
      <c r="C1021" s="7">
        <f t="shared" si="180"/>
        <v>22860</v>
      </c>
      <c r="D1021" s="168" t="s">
        <v>895</v>
      </c>
      <c r="E1021" s="273" t="s">
        <v>1247</v>
      </c>
      <c r="F1021" s="7">
        <v>256</v>
      </c>
      <c r="G1021" s="7">
        <v>1</v>
      </c>
      <c r="H1021" s="7"/>
      <c r="I1021" s="9">
        <f t="shared" si="177"/>
        <v>512</v>
      </c>
      <c r="J1021" s="9">
        <f t="shared" si="178"/>
        <v>256</v>
      </c>
      <c r="K1021" s="266" t="s">
        <v>1163</v>
      </c>
      <c r="L1021" s="11" t="s">
        <v>797</v>
      </c>
      <c r="M1021" s="11"/>
      <c r="N1021" s="11"/>
      <c r="O1021" s="11"/>
      <c r="P1021" s="136"/>
      <c r="Q1021" s="136"/>
      <c r="R1021" s="11"/>
      <c r="S1021" s="11" t="s">
        <v>1181</v>
      </c>
      <c r="T1021" s="117"/>
    </row>
    <row r="1022" spans="1:20" x14ac:dyDescent="0.2">
      <c r="A1022" s="33" t="s">
        <v>880</v>
      </c>
      <c r="B1022" s="7">
        <f t="shared" si="181"/>
        <v>22861</v>
      </c>
      <c r="C1022" s="7">
        <f t="shared" si="180"/>
        <v>23116</v>
      </c>
      <c r="D1022" s="168" t="s">
        <v>895</v>
      </c>
      <c r="E1022" s="273" t="s">
        <v>1235</v>
      </c>
      <c r="F1022" s="7">
        <v>256</v>
      </c>
      <c r="G1022" s="7">
        <v>1</v>
      </c>
      <c r="H1022" s="7"/>
      <c r="I1022" s="9">
        <f t="shared" si="177"/>
        <v>512</v>
      </c>
      <c r="J1022" s="9">
        <f t="shared" si="178"/>
        <v>256</v>
      </c>
      <c r="K1022" s="266" t="s">
        <v>1164</v>
      </c>
      <c r="L1022" s="11" t="s">
        <v>797</v>
      </c>
      <c r="M1022" s="11"/>
      <c r="N1022" s="11"/>
      <c r="O1022" s="11"/>
      <c r="P1022" s="136"/>
      <c r="Q1022" s="136"/>
      <c r="R1022" s="11"/>
      <c r="S1022" s="11" t="s">
        <v>1181</v>
      </c>
      <c r="T1022" s="117"/>
    </row>
    <row r="1023" spans="1:20" x14ac:dyDescent="0.2">
      <c r="A1023" s="33" t="s">
        <v>880</v>
      </c>
      <c r="B1023" s="7">
        <f t="shared" si="181"/>
        <v>23117</v>
      </c>
      <c r="C1023" s="7">
        <f t="shared" si="180"/>
        <v>23372</v>
      </c>
      <c r="D1023" s="168" t="s">
        <v>895</v>
      </c>
      <c r="E1023" s="273" t="s">
        <v>1236</v>
      </c>
      <c r="F1023" s="7">
        <v>256</v>
      </c>
      <c r="G1023" s="7">
        <v>1</v>
      </c>
      <c r="H1023" s="7"/>
      <c r="I1023" s="9">
        <f t="shared" si="177"/>
        <v>512</v>
      </c>
      <c r="J1023" s="9">
        <f t="shared" si="178"/>
        <v>256</v>
      </c>
      <c r="K1023" s="266" t="s">
        <v>1165</v>
      </c>
      <c r="L1023" s="11" t="s">
        <v>797</v>
      </c>
      <c r="M1023" s="11"/>
      <c r="N1023" s="11"/>
      <c r="O1023" s="11"/>
      <c r="P1023" s="136"/>
      <c r="Q1023" s="136"/>
      <c r="R1023" s="11"/>
      <c r="S1023" s="11" t="s">
        <v>1181</v>
      </c>
      <c r="T1023" s="117"/>
    </row>
    <row r="1024" spans="1:20" x14ac:dyDescent="0.2">
      <c r="A1024" s="33" t="s">
        <v>880</v>
      </c>
      <c r="B1024" s="7">
        <f t="shared" si="181"/>
        <v>23373</v>
      </c>
      <c r="C1024" s="7">
        <f t="shared" si="180"/>
        <v>23628</v>
      </c>
      <c r="D1024" s="168" t="s">
        <v>895</v>
      </c>
      <c r="E1024" s="273" t="s">
        <v>1237</v>
      </c>
      <c r="F1024" s="7">
        <v>256</v>
      </c>
      <c r="G1024" s="7">
        <v>1</v>
      </c>
      <c r="H1024" s="7"/>
      <c r="I1024" s="9">
        <f t="shared" si="177"/>
        <v>512</v>
      </c>
      <c r="J1024" s="9">
        <f t="shared" si="178"/>
        <v>256</v>
      </c>
      <c r="K1024" s="266" t="s">
        <v>1169</v>
      </c>
      <c r="L1024" s="11" t="s">
        <v>797</v>
      </c>
      <c r="M1024" s="11"/>
      <c r="N1024" s="11"/>
      <c r="O1024" s="11"/>
      <c r="P1024" s="136"/>
      <c r="Q1024" s="136"/>
      <c r="R1024" s="11"/>
      <c r="S1024" s="11" t="s">
        <v>1181</v>
      </c>
      <c r="T1024" s="117"/>
    </row>
    <row r="1025" spans="1:20" x14ac:dyDescent="0.2">
      <c r="A1025" s="33" t="s">
        <v>880</v>
      </c>
      <c r="B1025" s="7">
        <f t="shared" si="181"/>
        <v>23629</v>
      </c>
      <c r="C1025" s="7">
        <f t="shared" si="180"/>
        <v>23884</v>
      </c>
      <c r="D1025" s="168" t="s">
        <v>895</v>
      </c>
      <c r="E1025" s="273" t="s">
        <v>1238</v>
      </c>
      <c r="F1025" s="7">
        <v>256</v>
      </c>
      <c r="G1025" s="7">
        <v>1</v>
      </c>
      <c r="H1025" s="7"/>
      <c r="I1025" s="9">
        <f t="shared" si="177"/>
        <v>512</v>
      </c>
      <c r="J1025" s="9">
        <f t="shared" si="178"/>
        <v>256</v>
      </c>
      <c r="K1025" s="266" t="s">
        <v>1166</v>
      </c>
      <c r="L1025" s="11" t="s">
        <v>797</v>
      </c>
      <c r="M1025" s="11"/>
      <c r="N1025" s="11"/>
      <c r="O1025" s="11"/>
      <c r="P1025" s="136"/>
      <c r="Q1025" s="136"/>
      <c r="R1025" s="11"/>
      <c r="S1025" s="11" t="s">
        <v>1181</v>
      </c>
      <c r="T1025" s="117"/>
    </row>
    <row r="1026" spans="1:20" x14ac:dyDescent="0.2">
      <c r="A1026" s="33" t="s">
        <v>880</v>
      </c>
      <c r="B1026" s="7">
        <f t="shared" si="181"/>
        <v>23885</v>
      </c>
      <c r="C1026" s="7">
        <f t="shared" si="180"/>
        <v>24140</v>
      </c>
      <c r="D1026" s="168" t="s">
        <v>895</v>
      </c>
      <c r="E1026" s="273" t="s">
        <v>1239</v>
      </c>
      <c r="F1026" s="7">
        <v>256</v>
      </c>
      <c r="G1026" s="7">
        <v>1</v>
      </c>
      <c r="H1026" s="7"/>
      <c r="I1026" s="9">
        <f t="shared" si="177"/>
        <v>512</v>
      </c>
      <c r="J1026" s="9">
        <f t="shared" si="178"/>
        <v>256</v>
      </c>
      <c r="K1026" s="266" t="s">
        <v>1167</v>
      </c>
      <c r="L1026" s="11" t="s">
        <v>797</v>
      </c>
      <c r="M1026" s="11"/>
      <c r="N1026" s="11"/>
      <c r="O1026" s="11"/>
      <c r="P1026" s="136"/>
      <c r="Q1026" s="136"/>
      <c r="R1026" s="11"/>
      <c r="S1026" s="11" t="s">
        <v>1181</v>
      </c>
      <c r="T1026" s="117"/>
    </row>
    <row r="1027" spans="1:20" x14ac:dyDescent="0.2">
      <c r="A1027" s="33" t="s">
        <v>880</v>
      </c>
      <c r="B1027" s="7">
        <f t="shared" si="181"/>
        <v>24141</v>
      </c>
      <c r="C1027" s="7">
        <f t="shared" si="180"/>
        <v>24396</v>
      </c>
      <c r="D1027" s="168" t="s">
        <v>895</v>
      </c>
      <c r="E1027" s="273" t="s">
        <v>1240</v>
      </c>
      <c r="F1027" s="7">
        <v>256</v>
      </c>
      <c r="G1027" s="7">
        <v>1</v>
      </c>
      <c r="H1027" s="7"/>
      <c r="I1027" s="9">
        <f t="shared" si="177"/>
        <v>512</v>
      </c>
      <c r="J1027" s="9">
        <f t="shared" si="178"/>
        <v>256</v>
      </c>
      <c r="K1027" s="266" t="s">
        <v>1168</v>
      </c>
      <c r="L1027" s="11" t="s">
        <v>797</v>
      </c>
      <c r="M1027" s="11"/>
      <c r="N1027" s="11"/>
      <c r="O1027" s="11"/>
      <c r="P1027" s="136"/>
      <c r="Q1027" s="136"/>
      <c r="R1027" s="11"/>
      <c r="S1027" s="11" t="s">
        <v>1181</v>
      </c>
      <c r="T1027" s="117"/>
    </row>
    <row r="1028" spans="1:20" x14ac:dyDescent="0.2">
      <c r="A1028" s="33" t="s">
        <v>880</v>
      </c>
      <c r="B1028" s="7">
        <f t="shared" si="181"/>
        <v>24397</v>
      </c>
      <c r="C1028" s="7">
        <f t="shared" si="180"/>
        <v>24652</v>
      </c>
      <c r="D1028" s="168" t="s">
        <v>895</v>
      </c>
      <c r="E1028" s="273" t="s">
        <v>1241</v>
      </c>
      <c r="F1028" s="7">
        <v>256</v>
      </c>
      <c r="G1028" s="7">
        <v>1</v>
      </c>
      <c r="H1028" s="7"/>
      <c r="I1028" s="9">
        <f t="shared" si="177"/>
        <v>512</v>
      </c>
      <c r="J1028" s="9">
        <f t="shared" si="178"/>
        <v>256</v>
      </c>
      <c r="K1028" s="266" t="s">
        <v>1170</v>
      </c>
      <c r="L1028" s="11" t="s">
        <v>797</v>
      </c>
      <c r="M1028" s="11"/>
      <c r="N1028" s="11"/>
      <c r="O1028" s="11"/>
      <c r="P1028" s="136"/>
      <c r="Q1028" s="136"/>
      <c r="R1028" s="11"/>
      <c r="S1028" s="11" t="s">
        <v>1181</v>
      </c>
      <c r="T1028" s="117"/>
    </row>
    <row r="1029" spans="1:20" x14ac:dyDescent="0.2">
      <c r="A1029" s="33" t="s">
        <v>880</v>
      </c>
      <c r="B1029" s="7">
        <f t="shared" si="181"/>
        <v>24653</v>
      </c>
      <c r="C1029" s="7">
        <f t="shared" si="180"/>
        <v>24908</v>
      </c>
      <c r="D1029" s="168" t="s">
        <v>895</v>
      </c>
      <c r="E1029" s="273" t="s">
        <v>1242</v>
      </c>
      <c r="F1029" s="7">
        <v>256</v>
      </c>
      <c r="G1029" s="7">
        <v>1</v>
      </c>
      <c r="H1029" s="7"/>
      <c r="I1029" s="9">
        <f t="shared" si="177"/>
        <v>512</v>
      </c>
      <c r="J1029" s="9">
        <f t="shared" si="178"/>
        <v>256</v>
      </c>
      <c r="K1029" s="266" t="s">
        <v>1171</v>
      </c>
      <c r="L1029" s="11" t="s">
        <v>797</v>
      </c>
      <c r="M1029" s="11"/>
      <c r="N1029" s="11"/>
      <c r="O1029" s="11"/>
      <c r="P1029" s="136"/>
      <c r="Q1029" s="136"/>
      <c r="R1029" s="11"/>
      <c r="S1029" s="11" t="s">
        <v>1181</v>
      </c>
      <c r="T1029" s="117"/>
    </row>
    <row r="1030" spans="1:20" x14ac:dyDescent="0.2">
      <c r="A1030" s="33" t="s">
        <v>880</v>
      </c>
      <c r="B1030" s="7">
        <f t="shared" si="181"/>
        <v>24909</v>
      </c>
      <c r="C1030" s="7">
        <f t="shared" si="180"/>
        <v>25164</v>
      </c>
      <c r="D1030" s="168" t="s">
        <v>895</v>
      </c>
      <c r="E1030" s="273" t="s">
        <v>1747</v>
      </c>
      <c r="F1030" s="7">
        <v>256</v>
      </c>
      <c r="G1030" s="7">
        <v>1</v>
      </c>
      <c r="H1030" s="7"/>
      <c r="I1030" s="9">
        <f t="shared" si="177"/>
        <v>512</v>
      </c>
      <c r="J1030" s="9">
        <f t="shared" si="178"/>
        <v>256</v>
      </c>
      <c r="K1030" s="266" t="s">
        <v>1172</v>
      </c>
      <c r="L1030" s="11" t="s">
        <v>797</v>
      </c>
      <c r="M1030" s="11"/>
      <c r="N1030" s="11"/>
      <c r="O1030" s="11"/>
      <c r="P1030" s="136"/>
      <c r="Q1030" s="136"/>
      <c r="R1030" s="11"/>
      <c r="S1030" s="11" t="s">
        <v>1181</v>
      </c>
      <c r="T1030" s="117"/>
    </row>
    <row r="1031" spans="1:20" x14ac:dyDescent="0.2">
      <c r="A1031" s="33" t="s">
        <v>880</v>
      </c>
      <c r="B1031" s="7">
        <f t="shared" si="181"/>
        <v>25165</v>
      </c>
      <c r="C1031" s="7">
        <f t="shared" si="180"/>
        <v>25420</v>
      </c>
      <c r="D1031" s="168" t="s">
        <v>895</v>
      </c>
      <c r="E1031" s="273" t="s">
        <v>1748</v>
      </c>
      <c r="F1031" s="7">
        <v>256</v>
      </c>
      <c r="G1031" s="7">
        <v>1</v>
      </c>
      <c r="H1031" s="7"/>
      <c r="I1031" s="9">
        <f t="shared" si="177"/>
        <v>512</v>
      </c>
      <c r="J1031" s="9">
        <f t="shared" si="178"/>
        <v>256</v>
      </c>
      <c r="K1031" s="266" t="s">
        <v>1174</v>
      </c>
      <c r="L1031" s="11" t="s">
        <v>797</v>
      </c>
      <c r="M1031" s="11"/>
      <c r="N1031" s="11"/>
      <c r="O1031" s="11"/>
      <c r="P1031" s="136"/>
      <c r="Q1031" s="136"/>
      <c r="R1031" s="11"/>
      <c r="S1031" s="11" t="s">
        <v>1181</v>
      </c>
      <c r="T1031" s="117"/>
    </row>
    <row r="1032" spans="1:20" x14ac:dyDescent="0.2">
      <c r="A1032" s="33" t="s">
        <v>880</v>
      </c>
      <c r="B1032" s="7">
        <f t="shared" si="181"/>
        <v>25421</v>
      </c>
      <c r="C1032" s="7">
        <f t="shared" si="180"/>
        <v>25676</v>
      </c>
      <c r="D1032" s="168" t="s">
        <v>895</v>
      </c>
      <c r="E1032" s="273" t="s">
        <v>1749</v>
      </c>
      <c r="F1032" s="7">
        <v>256</v>
      </c>
      <c r="G1032" s="7">
        <v>1</v>
      </c>
      <c r="H1032" s="7"/>
      <c r="I1032" s="9">
        <f t="shared" si="177"/>
        <v>512</v>
      </c>
      <c r="J1032" s="9">
        <f t="shared" si="178"/>
        <v>256</v>
      </c>
      <c r="K1032" s="266" t="s">
        <v>1173</v>
      </c>
      <c r="L1032" s="11" t="s">
        <v>797</v>
      </c>
      <c r="M1032" s="11"/>
      <c r="N1032" s="11"/>
      <c r="O1032" s="11"/>
      <c r="P1032" s="136"/>
      <c r="Q1032" s="136"/>
      <c r="R1032" s="11"/>
      <c r="S1032" s="11" t="s">
        <v>1181</v>
      </c>
      <c r="T1032" s="117"/>
    </row>
    <row r="1033" spans="1:20" x14ac:dyDescent="0.2">
      <c r="A1033" s="33" t="s">
        <v>880</v>
      </c>
      <c r="B1033" s="7">
        <f t="shared" si="181"/>
        <v>25677</v>
      </c>
      <c r="C1033" s="7">
        <f t="shared" si="180"/>
        <v>25932</v>
      </c>
      <c r="D1033" s="168" t="s">
        <v>895</v>
      </c>
      <c r="E1033" s="273" t="s">
        <v>1750</v>
      </c>
      <c r="F1033" s="7">
        <v>256</v>
      </c>
      <c r="G1033" s="7">
        <v>1</v>
      </c>
      <c r="H1033" s="7"/>
      <c r="I1033" s="9">
        <f t="shared" si="177"/>
        <v>512</v>
      </c>
      <c r="J1033" s="9">
        <f t="shared" si="178"/>
        <v>256</v>
      </c>
      <c r="K1033" s="266" t="s">
        <v>1175</v>
      </c>
      <c r="L1033" s="11" t="s">
        <v>797</v>
      </c>
      <c r="M1033" s="11"/>
      <c r="N1033" s="11"/>
      <c r="O1033" s="11"/>
      <c r="P1033" s="136"/>
      <c r="Q1033" s="136"/>
      <c r="R1033" s="11"/>
      <c r="S1033" s="11" t="s">
        <v>1181</v>
      </c>
      <c r="T1033" s="117"/>
    </row>
    <row r="1034" spans="1:20" x14ac:dyDescent="0.2">
      <c r="A1034" s="33" t="s">
        <v>880</v>
      </c>
      <c r="B1034" s="7">
        <f t="shared" si="181"/>
        <v>25933</v>
      </c>
      <c r="C1034" s="7">
        <f t="shared" si="180"/>
        <v>26188</v>
      </c>
      <c r="D1034" s="168" t="s">
        <v>895</v>
      </c>
      <c r="E1034" s="273" t="s">
        <v>1751</v>
      </c>
      <c r="F1034" s="7">
        <v>256</v>
      </c>
      <c r="G1034" s="7">
        <v>1</v>
      </c>
      <c r="H1034" s="7"/>
      <c r="I1034" s="9">
        <f t="shared" si="177"/>
        <v>512</v>
      </c>
      <c r="J1034" s="9">
        <f t="shared" si="178"/>
        <v>256</v>
      </c>
      <c r="K1034" s="266" t="s">
        <v>1176</v>
      </c>
      <c r="L1034" s="11" t="s">
        <v>797</v>
      </c>
      <c r="M1034" s="11"/>
      <c r="N1034" s="11"/>
      <c r="O1034" s="11"/>
      <c r="P1034" s="136"/>
      <c r="Q1034" s="136"/>
      <c r="R1034" s="11"/>
      <c r="S1034" s="11" t="s">
        <v>1181</v>
      </c>
      <c r="T1034" s="117"/>
    </row>
    <row r="1035" spans="1:20" x14ac:dyDescent="0.2">
      <c r="A1035" s="33" t="s">
        <v>880</v>
      </c>
      <c r="B1035" s="7">
        <f t="shared" si="181"/>
        <v>26189</v>
      </c>
      <c r="C1035" s="7">
        <f>B1035+($F1035*$G1035)-1</f>
        <v>26444</v>
      </c>
      <c r="D1035" s="168" t="s">
        <v>895</v>
      </c>
      <c r="E1035" s="179" t="s">
        <v>1064</v>
      </c>
      <c r="F1035" s="7">
        <v>256</v>
      </c>
      <c r="G1035" s="7">
        <v>1</v>
      </c>
      <c r="H1035" s="7"/>
      <c r="I1035" s="9">
        <f t="shared" si="177"/>
        <v>512</v>
      </c>
      <c r="J1035" s="9">
        <f t="shared" si="178"/>
        <v>256</v>
      </c>
      <c r="K1035" s="165" t="s">
        <v>1939</v>
      </c>
      <c r="L1035" s="11" t="s">
        <v>793</v>
      </c>
      <c r="M1035" s="11"/>
      <c r="N1035" s="11"/>
      <c r="O1035" s="11"/>
      <c r="P1035" s="136"/>
      <c r="Q1035" s="136"/>
      <c r="R1035" s="11"/>
      <c r="S1035" s="11" t="s">
        <v>1181</v>
      </c>
      <c r="T1035" s="117"/>
    </row>
    <row r="1036" spans="1:20" x14ac:dyDescent="0.2">
      <c r="A1036" s="33" t="s">
        <v>880</v>
      </c>
      <c r="B1036" s="7">
        <f>C1035+1</f>
        <v>26445</v>
      </c>
      <c r="C1036" s="7">
        <f>B1036+($F1036*$G1036)-1</f>
        <v>26700</v>
      </c>
      <c r="D1036" s="168" t="s">
        <v>895</v>
      </c>
      <c r="E1036" s="179" t="s">
        <v>1065</v>
      </c>
      <c r="F1036" s="7">
        <v>256</v>
      </c>
      <c r="G1036" s="7">
        <v>1</v>
      </c>
      <c r="H1036" s="7"/>
      <c r="I1036" s="9">
        <f t="shared" si="177"/>
        <v>512</v>
      </c>
      <c r="J1036" s="9">
        <f t="shared" si="178"/>
        <v>256</v>
      </c>
      <c r="K1036" s="165" t="s">
        <v>1940</v>
      </c>
      <c r="L1036" s="11" t="s">
        <v>793</v>
      </c>
      <c r="M1036" s="11"/>
      <c r="N1036" s="11"/>
      <c r="O1036" s="11"/>
      <c r="P1036" s="136"/>
      <c r="Q1036" s="136"/>
      <c r="R1036" s="11"/>
      <c r="S1036" s="11" t="s">
        <v>1181</v>
      </c>
      <c r="T1036" s="117"/>
    </row>
    <row r="1037" spans="1:20" x14ac:dyDescent="0.2">
      <c r="A1037" s="33" t="s">
        <v>880</v>
      </c>
      <c r="B1037" s="47">
        <f>B1038</f>
        <v>26801</v>
      </c>
      <c r="C1037" s="26"/>
      <c r="D1037" s="28"/>
      <c r="E1037" s="26" t="s">
        <v>382</v>
      </c>
      <c r="F1037" s="26"/>
      <c r="G1037" s="26"/>
      <c r="H1037" s="26"/>
      <c r="I1037" s="28"/>
      <c r="J1037" s="28"/>
      <c r="K1037" s="28"/>
      <c r="L1037" s="50"/>
      <c r="M1037" s="50"/>
      <c r="N1037" s="50"/>
      <c r="O1037" s="50"/>
      <c r="P1037" s="121"/>
      <c r="Q1037" s="121"/>
      <c r="R1037" s="146"/>
      <c r="S1037" s="146"/>
      <c r="T1037" s="158"/>
    </row>
    <row r="1038" spans="1:20" x14ac:dyDescent="0.2">
      <c r="A1038" s="33" t="s">
        <v>880</v>
      </c>
      <c r="B1038" s="7">
        <v>26801</v>
      </c>
      <c r="C1038" s="7">
        <f t="shared" ref="C1038:C1044" si="182">B1038+($F1038*$G1038)-1</f>
        <v>27056</v>
      </c>
      <c r="D1038" s="9" t="s">
        <v>895</v>
      </c>
      <c r="E1038" s="8" t="s">
        <v>480</v>
      </c>
      <c r="F1038" s="7">
        <v>256</v>
      </c>
      <c r="G1038" s="7">
        <v>1</v>
      </c>
      <c r="H1038" s="7"/>
      <c r="I1038" s="9">
        <f t="shared" ref="I1038:I1045" si="183">F1038*G1038*2</f>
        <v>512</v>
      </c>
      <c r="J1038" s="9">
        <f t="shared" ref="J1038:J1045" si="184">C1038-B1038+1</f>
        <v>256</v>
      </c>
      <c r="K1038" s="268" t="s">
        <v>1190</v>
      </c>
      <c r="L1038" s="11" t="s">
        <v>797</v>
      </c>
      <c r="M1038" s="11"/>
      <c r="N1038" s="11"/>
      <c r="O1038" s="11"/>
      <c r="P1038" s="10"/>
      <c r="Q1038" s="10"/>
      <c r="R1038" s="11"/>
      <c r="S1038" s="11" t="s">
        <v>1181</v>
      </c>
      <c r="T1038" s="157"/>
    </row>
    <row r="1039" spans="1:20" x14ac:dyDescent="0.2">
      <c r="A1039" s="33" t="s">
        <v>880</v>
      </c>
      <c r="B1039" s="7">
        <f t="shared" ref="B1039:B1044" si="185">C1038+1</f>
        <v>27057</v>
      </c>
      <c r="C1039" s="7">
        <f t="shared" si="182"/>
        <v>27312</v>
      </c>
      <c r="D1039" s="9" t="s">
        <v>895</v>
      </c>
      <c r="E1039" s="8" t="s">
        <v>46</v>
      </c>
      <c r="F1039" s="7">
        <v>256</v>
      </c>
      <c r="G1039" s="7">
        <v>1</v>
      </c>
      <c r="H1039" s="7"/>
      <c r="I1039" s="9">
        <f t="shared" si="183"/>
        <v>512</v>
      </c>
      <c r="J1039" s="9">
        <f t="shared" si="184"/>
        <v>256</v>
      </c>
      <c r="K1039" s="268" t="s">
        <v>1191</v>
      </c>
      <c r="L1039" s="11" t="s">
        <v>797</v>
      </c>
      <c r="M1039" s="11"/>
      <c r="N1039" s="11"/>
      <c r="O1039" s="11"/>
      <c r="P1039" s="121"/>
      <c r="Q1039" s="121"/>
      <c r="R1039" s="11"/>
      <c r="S1039" s="11" t="s">
        <v>1181</v>
      </c>
      <c r="T1039" s="157"/>
    </row>
    <row r="1040" spans="1:20" x14ac:dyDescent="0.2">
      <c r="A1040" s="33" t="s">
        <v>880</v>
      </c>
      <c r="B1040" s="7">
        <f t="shared" si="185"/>
        <v>27313</v>
      </c>
      <c r="C1040" s="7">
        <f t="shared" si="182"/>
        <v>27568</v>
      </c>
      <c r="D1040" s="9" t="s">
        <v>895</v>
      </c>
      <c r="E1040" s="8" t="s">
        <v>47</v>
      </c>
      <c r="F1040" s="7">
        <v>256</v>
      </c>
      <c r="G1040" s="7">
        <v>1</v>
      </c>
      <c r="H1040" s="7"/>
      <c r="I1040" s="9">
        <f t="shared" si="183"/>
        <v>512</v>
      </c>
      <c r="J1040" s="9">
        <f t="shared" si="184"/>
        <v>256</v>
      </c>
      <c r="K1040" s="268" t="s">
        <v>1192</v>
      </c>
      <c r="L1040" s="11" t="s">
        <v>797</v>
      </c>
      <c r="M1040" s="11"/>
      <c r="N1040" s="11"/>
      <c r="O1040" s="11"/>
      <c r="P1040" s="121"/>
      <c r="Q1040" s="121"/>
      <c r="R1040" s="11"/>
      <c r="S1040" s="11" t="s">
        <v>1181</v>
      </c>
      <c r="T1040" s="157"/>
    </row>
    <row r="1041" spans="1:20" x14ac:dyDescent="0.2">
      <c r="A1041" s="33" t="s">
        <v>880</v>
      </c>
      <c r="B1041" s="7">
        <f t="shared" si="185"/>
        <v>27569</v>
      </c>
      <c r="C1041" s="7">
        <f t="shared" si="182"/>
        <v>27824</v>
      </c>
      <c r="D1041" s="9" t="s">
        <v>895</v>
      </c>
      <c r="E1041" s="8" t="s">
        <v>1243</v>
      </c>
      <c r="F1041" s="7">
        <v>256</v>
      </c>
      <c r="G1041" s="7">
        <v>1</v>
      </c>
      <c r="H1041" s="7"/>
      <c r="I1041" s="9">
        <f t="shared" si="183"/>
        <v>512</v>
      </c>
      <c r="J1041" s="9">
        <f t="shared" si="184"/>
        <v>256</v>
      </c>
      <c r="K1041" s="268" t="s">
        <v>1193</v>
      </c>
      <c r="L1041" s="11" t="s">
        <v>797</v>
      </c>
      <c r="M1041" s="11"/>
      <c r="N1041" s="11"/>
      <c r="O1041" s="11"/>
      <c r="P1041" s="10"/>
      <c r="Q1041" s="10"/>
      <c r="R1041" s="11"/>
      <c r="S1041" s="11" t="s">
        <v>1181</v>
      </c>
      <c r="T1041" s="157"/>
    </row>
    <row r="1042" spans="1:20" x14ac:dyDescent="0.2">
      <c r="A1042" s="33" t="s">
        <v>880</v>
      </c>
      <c r="B1042" s="7">
        <f>C1041+1</f>
        <v>27825</v>
      </c>
      <c r="C1042" s="7">
        <f>B1042+($F1042*$G1042)-1</f>
        <v>28080</v>
      </c>
      <c r="D1042" s="9" t="s">
        <v>895</v>
      </c>
      <c r="E1042" s="8" t="s">
        <v>1244</v>
      </c>
      <c r="F1042" s="7">
        <v>256</v>
      </c>
      <c r="G1042" s="7">
        <v>1</v>
      </c>
      <c r="H1042" s="7"/>
      <c r="I1042" s="9">
        <f t="shared" si="183"/>
        <v>512</v>
      </c>
      <c r="J1042" s="9">
        <f t="shared" si="184"/>
        <v>256</v>
      </c>
      <c r="K1042" s="268" t="s">
        <v>1197</v>
      </c>
      <c r="L1042" s="11" t="s">
        <v>797</v>
      </c>
      <c r="M1042" s="11"/>
      <c r="N1042" s="11"/>
      <c r="O1042" s="11"/>
      <c r="P1042" s="10"/>
      <c r="Q1042" s="10"/>
      <c r="R1042" s="11"/>
      <c r="S1042" s="11" t="s">
        <v>1181</v>
      </c>
      <c r="T1042" s="157"/>
    </row>
    <row r="1043" spans="1:20" x14ac:dyDescent="0.2">
      <c r="A1043" s="33" t="s">
        <v>880</v>
      </c>
      <c r="B1043" s="7">
        <f>C1042+1</f>
        <v>28081</v>
      </c>
      <c r="C1043" s="7">
        <f t="shared" si="182"/>
        <v>28336</v>
      </c>
      <c r="D1043" s="9" t="s">
        <v>895</v>
      </c>
      <c r="E1043" s="8" t="s">
        <v>1102</v>
      </c>
      <c r="F1043" s="7">
        <v>256</v>
      </c>
      <c r="G1043" s="7">
        <v>1</v>
      </c>
      <c r="H1043" s="7"/>
      <c r="I1043" s="9">
        <f t="shared" si="183"/>
        <v>512</v>
      </c>
      <c r="J1043" s="9">
        <f t="shared" si="184"/>
        <v>256</v>
      </c>
      <c r="K1043" s="7" t="s">
        <v>1211</v>
      </c>
      <c r="L1043" s="11" t="s">
        <v>797</v>
      </c>
      <c r="M1043" s="11"/>
      <c r="N1043" s="11"/>
      <c r="O1043" s="11"/>
      <c r="P1043" s="10"/>
      <c r="Q1043" s="10"/>
      <c r="R1043" s="11"/>
      <c r="S1043" s="11" t="s">
        <v>1181</v>
      </c>
      <c r="T1043" s="157"/>
    </row>
    <row r="1044" spans="1:20" x14ac:dyDescent="0.2">
      <c r="A1044" s="33" t="s">
        <v>880</v>
      </c>
      <c r="B1044" s="7">
        <f t="shared" si="185"/>
        <v>28337</v>
      </c>
      <c r="C1044" s="7">
        <f t="shared" si="182"/>
        <v>28592</v>
      </c>
      <c r="D1044" s="9" t="s">
        <v>895</v>
      </c>
      <c r="E1044" s="8" t="s">
        <v>383</v>
      </c>
      <c r="F1044" s="7">
        <v>256</v>
      </c>
      <c r="G1044" s="7">
        <v>1</v>
      </c>
      <c r="H1044" s="7"/>
      <c r="I1044" s="9">
        <f t="shared" si="183"/>
        <v>512</v>
      </c>
      <c r="J1044" s="9">
        <f t="shared" si="184"/>
        <v>256</v>
      </c>
      <c r="K1044" s="268" t="s">
        <v>1520</v>
      </c>
      <c r="L1044" s="11" t="s">
        <v>797</v>
      </c>
      <c r="M1044" s="11"/>
      <c r="N1044" s="11"/>
      <c r="O1044" s="11"/>
      <c r="P1044" s="10"/>
      <c r="Q1044" s="10"/>
      <c r="R1044" s="11"/>
      <c r="S1044" s="11" t="s">
        <v>1181</v>
      </c>
      <c r="T1044" s="157"/>
    </row>
    <row r="1045" spans="1:20" x14ac:dyDescent="0.2">
      <c r="A1045" s="33"/>
      <c r="B1045" s="7">
        <f>C1044+1</f>
        <v>28593</v>
      </c>
      <c r="C1045" s="7">
        <f>B1045+($F1045*$G1045)-1</f>
        <v>28848</v>
      </c>
      <c r="D1045" s="9" t="s">
        <v>895</v>
      </c>
      <c r="E1045" s="8" t="s">
        <v>1447</v>
      </c>
      <c r="F1045" s="7">
        <v>256</v>
      </c>
      <c r="G1045" s="7">
        <v>1</v>
      </c>
      <c r="H1045" s="7"/>
      <c r="I1045" s="9">
        <f t="shared" si="183"/>
        <v>512</v>
      </c>
      <c r="J1045" s="9">
        <f t="shared" si="184"/>
        <v>256</v>
      </c>
      <c r="K1045" s="172" t="s">
        <v>1519</v>
      </c>
      <c r="L1045" s="11" t="s">
        <v>797</v>
      </c>
      <c r="M1045" s="11"/>
      <c r="N1045" s="10"/>
      <c r="O1045" s="11"/>
      <c r="P1045" s="120"/>
      <c r="Q1045" s="120"/>
      <c r="R1045" s="11"/>
      <c r="S1045" s="11" t="s">
        <v>1181</v>
      </c>
      <c r="T1045" s="117"/>
    </row>
    <row r="1046" spans="1:20" x14ac:dyDescent="0.2">
      <c r="A1046" s="33"/>
      <c r="B1046" s="47">
        <f>B1047</f>
        <v>30001</v>
      </c>
      <c r="C1046" s="26"/>
      <c r="D1046" s="28"/>
      <c r="E1046" s="26" t="s">
        <v>497</v>
      </c>
      <c r="F1046" s="26"/>
      <c r="G1046" s="26"/>
      <c r="H1046" s="26"/>
      <c r="I1046" s="28"/>
      <c r="J1046" s="28"/>
      <c r="K1046" s="27"/>
      <c r="L1046" s="50"/>
      <c r="M1046" s="50"/>
      <c r="N1046" s="50"/>
      <c r="O1046" s="50"/>
      <c r="P1046" s="123"/>
      <c r="R1046" s="146"/>
      <c r="S1046" s="146"/>
      <c r="T1046" s="158"/>
    </row>
    <row r="1047" spans="1:20" x14ac:dyDescent="0.2">
      <c r="A1047" s="33" t="s">
        <v>880</v>
      </c>
      <c r="B1047" s="7">
        <v>30001</v>
      </c>
      <c r="C1047" s="7">
        <f t="shared" ref="C1047:C1062" si="186">B1047+($F1047*$G1047)-1</f>
        <v>30024</v>
      </c>
      <c r="D1047" s="9" t="s">
        <v>895</v>
      </c>
      <c r="E1047" s="8" t="s">
        <v>307</v>
      </c>
      <c r="F1047" s="7">
        <v>24</v>
      </c>
      <c r="G1047" s="7">
        <v>1</v>
      </c>
      <c r="H1047" s="7"/>
      <c r="I1047" s="9">
        <f t="shared" ref="I1047:I1062" si="187">F1047*G1047*2</f>
        <v>48</v>
      </c>
      <c r="J1047" s="9">
        <f t="shared" ref="J1047:J1062" si="188">C1047-B1047+1</f>
        <v>24</v>
      </c>
      <c r="K1047" s="57" t="s">
        <v>656</v>
      </c>
      <c r="L1047" s="11" t="s">
        <v>797</v>
      </c>
      <c r="M1047" s="11"/>
      <c r="N1047" s="11"/>
      <c r="O1047" s="11"/>
      <c r="P1047" s="121"/>
      <c r="Q1047" s="121"/>
      <c r="R1047" s="11"/>
      <c r="S1047" s="11" t="s">
        <v>1181</v>
      </c>
      <c r="T1047" s="157"/>
    </row>
    <row r="1048" spans="1:20" x14ac:dyDescent="0.2">
      <c r="A1048" s="33" t="s">
        <v>880</v>
      </c>
      <c r="B1048" s="7">
        <f t="shared" ref="B1048:B1062" si="189">C1047+1</f>
        <v>30025</v>
      </c>
      <c r="C1048" s="7">
        <f t="shared" si="186"/>
        <v>30048</v>
      </c>
      <c r="D1048" s="9" t="s">
        <v>895</v>
      </c>
      <c r="E1048" s="8" t="s">
        <v>308</v>
      </c>
      <c r="F1048" s="7">
        <v>24</v>
      </c>
      <c r="G1048" s="7">
        <v>1</v>
      </c>
      <c r="H1048" s="7"/>
      <c r="I1048" s="9">
        <f t="shared" si="187"/>
        <v>48</v>
      </c>
      <c r="J1048" s="9">
        <f t="shared" si="188"/>
        <v>24</v>
      </c>
      <c r="K1048" s="57" t="s">
        <v>656</v>
      </c>
      <c r="L1048" s="11" t="s">
        <v>797</v>
      </c>
      <c r="M1048" s="11"/>
      <c r="N1048" s="11"/>
      <c r="O1048" s="11"/>
      <c r="P1048" s="121"/>
      <c r="Q1048" s="121"/>
      <c r="R1048" s="11"/>
      <c r="S1048" s="11" t="s">
        <v>1181</v>
      </c>
      <c r="T1048" s="157"/>
    </row>
    <row r="1049" spans="1:20" x14ac:dyDescent="0.2">
      <c r="A1049" s="33" t="s">
        <v>880</v>
      </c>
      <c r="B1049" s="7">
        <f t="shared" si="189"/>
        <v>30049</v>
      </c>
      <c r="C1049" s="7">
        <f t="shared" si="186"/>
        <v>30072</v>
      </c>
      <c r="D1049" s="9" t="s">
        <v>895</v>
      </c>
      <c r="E1049" s="8" t="s">
        <v>309</v>
      </c>
      <c r="F1049" s="7">
        <v>24</v>
      </c>
      <c r="G1049" s="7">
        <v>1</v>
      </c>
      <c r="H1049" s="7"/>
      <c r="I1049" s="9">
        <f t="shared" si="187"/>
        <v>48</v>
      </c>
      <c r="J1049" s="9">
        <f t="shared" si="188"/>
        <v>24</v>
      </c>
      <c r="K1049" s="57" t="s">
        <v>656</v>
      </c>
      <c r="L1049" s="11" t="s">
        <v>797</v>
      </c>
      <c r="M1049" s="11"/>
      <c r="N1049" s="11"/>
      <c r="O1049" s="11"/>
      <c r="P1049" s="121"/>
      <c r="Q1049" s="121"/>
      <c r="R1049" s="11"/>
      <c r="S1049" s="11" t="s">
        <v>1181</v>
      </c>
      <c r="T1049" s="157"/>
    </row>
    <row r="1050" spans="1:20" x14ac:dyDescent="0.2">
      <c r="A1050" s="33" t="s">
        <v>880</v>
      </c>
      <c r="B1050" s="7">
        <f t="shared" si="189"/>
        <v>30073</v>
      </c>
      <c r="C1050" s="7">
        <f t="shared" si="186"/>
        <v>30096</v>
      </c>
      <c r="D1050" s="9" t="s">
        <v>895</v>
      </c>
      <c r="E1050" s="8" t="s">
        <v>310</v>
      </c>
      <c r="F1050" s="7">
        <v>24</v>
      </c>
      <c r="G1050" s="7">
        <v>1</v>
      </c>
      <c r="H1050" s="7"/>
      <c r="I1050" s="9">
        <f t="shared" si="187"/>
        <v>48</v>
      </c>
      <c r="J1050" s="9">
        <f t="shared" si="188"/>
        <v>24</v>
      </c>
      <c r="K1050" s="57" t="s">
        <v>656</v>
      </c>
      <c r="L1050" s="11" t="s">
        <v>797</v>
      </c>
      <c r="M1050" s="11"/>
      <c r="N1050" s="11"/>
      <c r="O1050" s="11"/>
      <c r="P1050" s="121"/>
      <c r="Q1050" s="121"/>
      <c r="R1050" s="11"/>
      <c r="S1050" s="11" t="s">
        <v>1181</v>
      </c>
      <c r="T1050" s="157"/>
    </row>
    <row r="1051" spans="1:20" x14ac:dyDescent="0.2">
      <c r="A1051" s="33" t="s">
        <v>880</v>
      </c>
      <c r="B1051" s="7">
        <f t="shared" si="189"/>
        <v>30097</v>
      </c>
      <c r="C1051" s="7">
        <f t="shared" si="186"/>
        <v>30120</v>
      </c>
      <c r="D1051" s="9" t="s">
        <v>895</v>
      </c>
      <c r="E1051" s="8" t="s">
        <v>311</v>
      </c>
      <c r="F1051" s="7">
        <v>24</v>
      </c>
      <c r="G1051" s="7">
        <v>1</v>
      </c>
      <c r="H1051" s="7"/>
      <c r="I1051" s="9">
        <f t="shared" si="187"/>
        <v>48</v>
      </c>
      <c r="J1051" s="9">
        <f t="shared" si="188"/>
        <v>24</v>
      </c>
      <c r="K1051" s="57" t="s">
        <v>656</v>
      </c>
      <c r="L1051" s="11" t="s">
        <v>797</v>
      </c>
      <c r="M1051" s="11"/>
      <c r="N1051" s="11"/>
      <c r="O1051" s="11"/>
      <c r="P1051" s="121"/>
      <c r="Q1051" s="121"/>
      <c r="R1051" s="11"/>
      <c r="S1051" s="11" t="s">
        <v>1181</v>
      </c>
      <c r="T1051" s="157"/>
    </row>
    <row r="1052" spans="1:20" x14ac:dyDescent="0.2">
      <c r="A1052" s="33" t="s">
        <v>880</v>
      </c>
      <c r="B1052" s="7">
        <f t="shared" si="189"/>
        <v>30121</v>
      </c>
      <c r="C1052" s="7">
        <f t="shared" si="186"/>
        <v>30144</v>
      </c>
      <c r="D1052" s="9" t="s">
        <v>895</v>
      </c>
      <c r="E1052" s="8" t="s">
        <v>312</v>
      </c>
      <c r="F1052" s="7">
        <v>24</v>
      </c>
      <c r="G1052" s="7">
        <v>1</v>
      </c>
      <c r="H1052" s="7"/>
      <c r="I1052" s="9">
        <f t="shared" si="187"/>
        <v>48</v>
      </c>
      <c r="J1052" s="9">
        <f t="shared" si="188"/>
        <v>24</v>
      </c>
      <c r="K1052" s="57" t="s">
        <v>656</v>
      </c>
      <c r="L1052" s="11" t="s">
        <v>797</v>
      </c>
      <c r="M1052" s="11"/>
      <c r="N1052" s="11"/>
      <c r="O1052" s="11"/>
      <c r="P1052" s="121"/>
      <c r="Q1052" s="121"/>
      <c r="R1052" s="11"/>
      <c r="S1052" s="11" t="s">
        <v>1181</v>
      </c>
      <c r="T1052" s="157"/>
    </row>
    <row r="1053" spans="1:20" x14ac:dyDescent="0.2">
      <c r="A1053" s="33" t="s">
        <v>880</v>
      </c>
      <c r="B1053" s="7">
        <f t="shared" si="189"/>
        <v>30145</v>
      </c>
      <c r="C1053" s="7">
        <f t="shared" si="186"/>
        <v>30168</v>
      </c>
      <c r="D1053" s="9" t="s">
        <v>895</v>
      </c>
      <c r="E1053" s="8" t="s">
        <v>313</v>
      </c>
      <c r="F1053" s="7">
        <v>24</v>
      </c>
      <c r="G1053" s="7">
        <v>1</v>
      </c>
      <c r="H1053" s="7"/>
      <c r="I1053" s="9">
        <f t="shared" si="187"/>
        <v>48</v>
      </c>
      <c r="J1053" s="9">
        <f t="shared" si="188"/>
        <v>24</v>
      </c>
      <c r="K1053" s="57" t="s">
        <v>656</v>
      </c>
      <c r="L1053" s="11" t="s">
        <v>797</v>
      </c>
      <c r="M1053" s="11"/>
      <c r="N1053" s="11"/>
      <c r="O1053" s="11"/>
      <c r="P1053" s="121"/>
      <c r="Q1053" s="121"/>
      <c r="R1053" s="11"/>
      <c r="S1053" s="11" t="s">
        <v>1181</v>
      </c>
      <c r="T1053" s="157"/>
    </row>
    <row r="1054" spans="1:20" x14ac:dyDescent="0.2">
      <c r="A1054" s="33" t="s">
        <v>880</v>
      </c>
      <c r="B1054" s="7">
        <f t="shared" si="189"/>
        <v>30169</v>
      </c>
      <c r="C1054" s="7">
        <f t="shared" si="186"/>
        <v>30192</v>
      </c>
      <c r="D1054" s="9" t="s">
        <v>895</v>
      </c>
      <c r="E1054" s="8" t="s">
        <v>683</v>
      </c>
      <c r="F1054" s="7">
        <v>24</v>
      </c>
      <c r="G1054" s="7">
        <v>1</v>
      </c>
      <c r="H1054" s="7"/>
      <c r="I1054" s="9">
        <f t="shared" si="187"/>
        <v>48</v>
      </c>
      <c r="J1054" s="9">
        <f t="shared" si="188"/>
        <v>24</v>
      </c>
      <c r="K1054" s="57" t="s">
        <v>656</v>
      </c>
      <c r="L1054" s="11" t="s">
        <v>797</v>
      </c>
      <c r="M1054" s="11"/>
      <c r="N1054" s="11"/>
      <c r="O1054" s="11"/>
      <c r="P1054" s="121"/>
      <c r="Q1054" s="121"/>
      <c r="R1054" s="11"/>
      <c r="S1054" s="11" t="s">
        <v>1181</v>
      </c>
      <c r="T1054" s="157"/>
    </row>
    <row r="1055" spans="1:20" x14ac:dyDescent="0.2">
      <c r="A1055" s="33" t="s">
        <v>880</v>
      </c>
      <c r="B1055" s="7">
        <f t="shared" si="189"/>
        <v>30193</v>
      </c>
      <c r="C1055" s="7">
        <f t="shared" si="186"/>
        <v>30216</v>
      </c>
      <c r="D1055" s="9" t="s">
        <v>895</v>
      </c>
      <c r="E1055" s="8" t="s">
        <v>244</v>
      </c>
      <c r="F1055" s="7">
        <v>24</v>
      </c>
      <c r="G1055" s="7">
        <v>1</v>
      </c>
      <c r="H1055" s="7"/>
      <c r="I1055" s="9">
        <f t="shared" si="187"/>
        <v>48</v>
      </c>
      <c r="J1055" s="9">
        <f t="shared" si="188"/>
        <v>24</v>
      </c>
      <c r="K1055" s="57" t="s">
        <v>656</v>
      </c>
      <c r="L1055" s="11" t="s">
        <v>797</v>
      </c>
      <c r="M1055" s="11"/>
      <c r="N1055" s="11"/>
      <c r="O1055" s="11"/>
      <c r="P1055" s="121"/>
      <c r="Q1055" s="121"/>
      <c r="R1055" s="11"/>
      <c r="S1055" s="11" t="s">
        <v>1181</v>
      </c>
      <c r="T1055" s="157"/>
    </row>
    <row r="1056" spans="1:20" x14ac:dyDescent="0.2">
      <c r="A1056" s="33" t="s">
        <v>880</v>
      </c>
      <c r="B1056" s="7">
        <f t="shared" si="189"/>
        <v>30217</v>
      </c>
      <c r="C1056" s="7">
        <f t="shared" si="186"/>
        <v>30240</v>
      </c>
      <c r="D1056" s="9" t="s">
        <v>895</v>
      </c>
      <c r="E1056" s="8" t="s">
        <v>245</v>
      </c>
      <c r="F1056" s="7">
        <v>24</v>
      </c>
      <c r="G1056" s="7">
        <v>1</v>
      </c>
      <c r="H1056" s="7"/>
      <c r="I1056" s="9">
        <f t="shared" si="187"/>
        <v>48</v>
      </c>
      <c r="J1056" s="9">
        <f t="shared" si="188"/>
        <v>24</v>
      </c>
      <c r="K1056" s="57" t="s">
        <v>656</v>
      </c>
      <c r="L1056" s="11" t="s">
        <v>797</v>
      </c>
      <c r="M1056" s="11"/>
      <c r="N1056" s="11"/>
      <c r="O1056" s="11"/>
      <c r="P1056" s="121"/>
      <c r="Q1056" s="121"/>
      <c r="R1056" s="11"/>
      <c r="S1056" s="11" t="s">
        <v>1181</v>
      </c>
      <c r="T1056" s="157"/>
    </row>
    <row r="1057" spans="1:20" x14ac:dyDescent="0.2">
      <c r="A1057" s="33" t="s">
        <v>880</v>
      </c>
      <c r="B1057" s="7">
        <f t="shared" si="189"/>
        <v>30241</v>
      </c>
      <c r="C1057" s="7">
        <f t="shared" si="186"/>
        <v>30264</v>
      </c>
      <c r="D1057" s="9" t="s">
        <v>895</v>
      </c>
      <c r="E1057" s="8" t="s">
        <v>849</v>
      </c>
      <c r="F1057" s="7">
        <v>24</v>
      </c>
      <c r="G1057" s="7">
        <v>1</v>
      </c>
      <c r="H1057" s="7"/>
      <c r="I1057" s="9">
        <f t="shared" si="187"/>
        <v>48</v>
      </c>
      <c r="J1057" s="9">
        <f t="shared" si="188"/>
        <v>24</v>
      </c>
      <c r="K1057" s="57" t="s">
        <v>656</v>
      </c>
      <c r="L1057" s="11" t="s">
        <v>797</v>
      </c>
      <c r="M1057" s="11"/>
      <c r="N1057" s="11"/>
      <c r="O1057" s="11"/>
      <c r="P1057" s="121"/>
      <c r="Q1057" s="121"/>
      <c r="R1057" s="11"/>
      <c r="S1057" s="11" t="s">
        <v>1181</v>
      </c>
      <c r="T1057" s="157"/>
    </row>
    <row r="1058" spans="1:20" x14ac:dyDescent="0.2">
      <c r="A1058" s="33" t="s">
        <v>880</v>
      </c>
      <c r="B1058" s="7">
        <f t="shared" si="189"/>
        <v>30265</v>
      </c>
      <c r="C1058" s="7">
        <f t="shared" si="186"/>
        <v>30288</v>
      </c>
      <c r="D1058" s="9" t="s">
        <v>895</v>
      </c>
      <c r="E1058" s="8" t="s">
        <v>850</v>
      </c>
      <c r="F1058" s="7">
        <v>24</v>
      </c>
      <c r="G1058" s="7">
        <v>1</v>
      </c>
      <c r="H1058" s="7"/>
      <c r="I1058" s="9">
        <f t="shared" si="187"/>
        <v>48</v>
      </c>
      <c r="J1058" s="9">
        <f t="shared" si="188"/>
        <v>24</v>
      </c>
      <c r="K1058" s="57" t="s">
        <v>656</v>
      </c>
      <c r="L1058" s="11" t="s">
        <v>797</v>
      </c>
      <c r="M1058" s="11"/>
      <c r="N1058" s="11"/>
      <c r="O1058" s="11"/>
      <c r="P1058" s="121"/>
      <c r="Q1058" s="121"/>
      <c r="R1058" s="11"/>
      <c r="S1058" s="11" t="s">
        <v>1181</v>
      </c>
      <c r="T1058" s="157"/>
    </row>
    <row r="1059" spans="1:20" x14ac:dyDescent="0.2">
      <c r="A1059" s="33" t="s">
        <v>880</v>
      </c>
      <c r="B1059" s="7">
        <f t="shared" si="189"/>
        <v>30289</v>
      </c>
      <c r="C1059" s="7">
        <f t="shared" si="186"/>
        <v>30312</v>
      </c>
      <c r="D1059" s="9" t="s">
        <v>895</v>
      </c>
      <c r="E1059" s="8" t="s">
        <v>851</v>
      </c>
      <c r="F1059" s="7">
        <v>24</v>
      </c>
      <c r="G1059" s="7">
        <v>1</v>
      </c>
      <c r="H1059" s="7"/>
      <c r="I1059" s="9">
        <f t="shared" si="187"/>
        <v>48</v>
      </c>
      <c r="J1059" s="9">
        <f t="shared" si="188"/>
        <v>24</v>
      </c>
      <c r="K1059" s="57" t="s">
        <v>656</v>
      </c>
      <c r="L1059" s="11" t="s">
        <v>797</v>
      </c>
      <c r="M1059" s="11"/>
      <c r="N1059" s="11"/>
      <c r="O1059" s="11"/>
      <c r="P1059" s="121"/>
      <c r="Q1059" s="121"/>
      <c r="R1059" s="11"/>
      <c r="S1059" s="11" t="s">
        <v>1181</v>
      </c>
      <c r="T1059" s="157"/>
    </row>
    <row r="1060" spans="1:20" x14ac:dyDescent="0.2">
      <c r="A1060" s="33" t="s">
        <v>880</v>
      </c>
      <c r="B1060" s="7">
        <f t="shared" si="189"/>
        <v>30313</v>
      </c>
      <c r="C1060" s="7">
        <f t="shared" si="186"/>
        <v>30336</v>
      </c>
      <c r="D1060" s="9" t="s">
        <v>895</v>
      </c>
      <c r="E1060" s="8" t="s">
        <v>852</v>
      </c>
      <c r="F1060" s="7">
        <v>24</v>
      </c>
      <c r="G1060" s="7">
        <v>1</v>
      </c>
      <c r="H1060" s="7"/>
      <c r="I1060" s="9">
        <f t="shared" si="187"/>
        <v>48</v>
      </c>
      <c r="J1060" s="9">
        <f t="shared" si="188"/>
        <v>24</v>
      </c>
      <c r="K1060" s="57" t="s">
        <v>656</v>
      </c>
      <c r="L1060" s="11" t="s">
        <v>797</v>
      </c>
      <c r="M1060" s="11"/>
      <c r="N1060" s="11"/>
      <c r="O1060" s="11"/>
      <c r="P1060" s="121"/>
      <c r="Q1060" s="121"/>
      <c r="R1060" s="11"/>
      <c r="S1060" s="11" t="s">
        <v>1181</v>
      </c>
      <c r="T1060" s="157"/>
    </row>
    <row r="1061" spans="1:20" x14ac:dyDescent="0.2">
      <c r="A1061" s="33" t="s">
        <v>880</v>
      </c>
      <c r="B1061" s="7">
        <f t="shared" si="189"/>
        <v>30337</v>
      </c>
      <c r="C1061" s="7">
        <f t="shared" si="186"/>
        <v>30360</v>
      </c>
      <c r="D1061" s="9" t="s">
        <v>895</v>
      </c>
      <c r="E1061" s="8" t="s">
        <v>853</v>
      </c>
      <c r="F1061" s="7">
        <v>24</v>
      </c>
      <c r="G1061" s="7">
        <v>1</v>
      </c>
      <c r="H1061" s="7"/>
      <c r="I1061" s="9">
        <f t="shared" si="187"/>
        <v>48</v>
      </c>
      <c r="J1061" s="9">
        <f t="shared" si="188"/>
        <v>24</v>
      </c>
      <c r="K1061" s="57" t="s">
        <v>656</v>
      </c>
      <c r="L1061" s="11" t="s">
        <v>797</v>
      </c>
      <c r="M1061" s="11"/>
      <c r="N1061" s="11"/>
      <c r="O1061" s="11"/>
      <c r="P1061" s="121"/>
      <c r="Q1061" s="121"/>
      <c r="R1061" s="11"/>
      <c r="S1061" s="11" t="s">
        <v>1181</v>
      </c>
      <c r="T1061" s="157"/>
    </row>
    <row r="1062" spans="1:20" x14ac:dyDescent="0.2">
      <c r="A1062" s="33" t="s">
        <v>880</v>
      </c>
      <c r="B1062" s="7">
        <f t="shared" si="189"/>
        <v>30361</v>
      </c>
      <c r="C1062" s="7">
        <f t="shared" si="186"/>
        <v>30384</v>
      </c>
      <c r="D1062" s="9" t="s">
        <v>895</v>
      </c>
      <c r="E1062" s="8" t="s">
        <v>854</v>
      </c>
      <c r="F1062" s="7">
        <v>24</v>
      </c>
      <c r="G1062" s="7">
        <v>1</v>
      </c>
      <c r="H1062" s="7"/>
      <c r="I1062" s="9">
        <f t="shared" si="187"/>
        <v>48</v>
      </c>
      <c r="J1062" s="9">
        <f t="shared" si="188"/>
        <v>24</v>
      </c>
      <c r="K1062" s="57" t="s">
        <v>656</v>
      </c>
      <c r="L1062" s="11" t="s">
        <v>797</v>
      </c>
      <c r="M1062" s="11"/>
      <c r="N1062" s="11"/>
      <c r="O1062" s="11"/>
      <c r="P1062" s="121"/>
      <c r="Q1062" s="121"/>
      <c r="R1062" s="11"/>
      <c r="S1062" s="11" t="s">
        <v>1181</v>
      </c>
      <c r="T1062" s="157"/>
    </row>
    <row r="1063" spans="1:20" x14ac:dyDescent="0.2">
      <c r="A1063" s="33"/>
      <c r="B1063" s="47">
        <f>B1064</f>
        <v>30401</v>
      </c>
      <c r="C1063" s="30"/>
      <c r="D1063" s="31"/>
      <c r="E1063" s="26" t="s">
        <v>960</v>
      </c>
      <c r="F1063" s="169"/>
      <c r="G1063" s="169"/>
      <c r="H1063" s="169"/>
      <c r="I1063" s="170"/>
      <c r="J1063" s="170"/>
      <c r="K1063" s="176"/>
      <c r="L1063" s="32"/>
      <c r="M1063" s="32"/>
      <c r="N1063" s="32"/>
      <c r="O1063" s="32"/>
      <c r="P1063" s="19"/>
      <c r="Q1063" s="19"/>
      <c r="R1063" s="143"/>
      <c r="S1063" s="143"/>
      <c r="T1063" s="156"/>
    </row>
    <row r="1064" spans="1:20" x14ac:dyDescent="0.2">
      <c r="A1064" s="33" t="s">
        <v>880</v>
      </c>
      <c r="B1064" s="7">
        <v>30401</v>
      </c>
      <c r="C1064" s="7">
        <f t="shared" ref="C1064:C1079" si="190">B1064+($F1064*$G1064)-1</f>
        <v>30448</v>
      </c>
      <c r="D1064" s="9" t="s">
        <v>895</v>
      </c>
      <c r="E1064" s="8" t="s">
        <v>2019</v>
      </c>
      <c r="F1064" s="7">
        <v>24</v>
      </c>
      <c r="G1064" s="7">
        <v>2</v>
      </c>
      <c r="H1064" s="7"/>
      <c r="I1064" s="9">
        <f t="shared" ref="I1064:I1079" si="191">F1064*G1064*2</f>
        <v>96</v>
      </c>
      <c r="J1064" s="9">
        <f t="shared" ref="J1064:J1079" si="192">C1064-B1064+1</f>
        <v>48</v>
      </c>
      <c r="K1064" s="94" t="s">
        <v>1436</v>
      </c>
      <c r="L1064" s="11" t="s">
        <v>1081</v>
      </c>
      <c r="M1064" s="11"/>
      <c r="N1064" s="11"/>
      <c r="O1064" s="11"/>
      <c r="P1064" s="10"/>
      <c r="Q1064" s="10"/>
      <c r="R1064" s="11"/>
      <c r="S1064" s="11" t="s">
        <v>1181</v>
      </c>
      <c r="T1064" s="157"/>
    </row>
    <row r="1065" spans="1:20" x14ac:dyDescent="0.2">
      <c r="A1065" s="33" t="s">
        <v>880</v>
      </c>
      <c r="B1065" s="7">
        <f t="shared" ref="B1065:B1079" si="193">C1064+1</f>
        <v>30449</v>
      </c>
      <c r="C1065" s="7">
        <f t="shared" si="190"/>
        <v>30496</v>
      </c>
      <c r="D1065" s="9" t="s">
        <v>895</v>
      </c>
      <c r="E1065" s="8" t="s">
        <v>2036</v>
      </c>
      <c r="F1065" s="7">
        <v>24</v>
      </c>
      <c r="G1065" s="7">
        <v>2</v>
      </c>
      <c r="H1065" s="7"/>
      <c r="I1065" s="9">
        <f t="shared" si="191"/>
        <v>96</v>
      </c>
      <c r="J1065" s="9">
        <f t="shared" si="192"/>
        <v>48</v>
      </c>
      <c r="K1065" s="94" t="s">
        <v>1436</v>
      </c>
      <c r="L1065" s="11" t="s">
        <v>1081</v>
      </c>
      <c r="M1065" s="11"/>
      <c r="N1065" s="11"/>
      <c r="O1065" s="11"/>
      <c r="P1065" s="10"/>
      <c r="Q1065" s="10"/>
      <c r="R1065" s="11"/>
      <c r="S1065" s="11" t="s">
        <v>1181</v>
      </c>
      <c r="T1065" s="157"/>
    </row>
    <row r="1066" spans="1:20" x14ac:dyDescent="0.2">
      <c r="A1066" s="33" t="s">
        <v>880</v>
      </c>
      <c r="B1066" s="7">
        <f t="shared" si="193"/>
        <v>30497</v>
      </c>
      <c r="C1066" s="7">
        <f t="shared" si="190"/>
        <v>30544</v>
      </c>
      <c r="D1066" s="9" t="s">
        <v>895</v>
      </c>
      <c r="E1066" s="8" t="s">
        <v>2054</v>
      </c>
      <c r="F1066" s="7">
        <v>24</v>
      </c>
      <c r="G1066" s="7">
        <v>2</v>
      </c>
      <c r="H1066" s="7"/>
      <c r="I1066" s="9">
        <f t="shared" si="191"/>
        <v>96</v>
      </c>
      <c r="J1066" s="9">
        <f t="shared" si="192"/>
        <v>48</v>
      </c>
      <c r="K1066" s="94" t="s">
        <v>1436</v>
      </c>
      <c r="L1066" s="11" t="s">
        <v>1081</v>
      </c>
      <c r="M1066" s="11"/>
      <c r="N1066" s="11"/>
      <c r="O1066" s="11"/>
      <c r="P1066" s="10"/>
      <c r="Q1066" s="10"/>
      <c r="R1066" s="11"/>
      <c r="S1066" s="11" t="s">
        <v>1181</v>
      </c>
      <c r="T1066" s="157"/>
    </row>
    <row r="1067" spans="1:20" x14ac:dyDescent="0.2">
      <c r="A1067" s="33" t="s">
        <v>880</v>
      </c>
      <c r="B1067" s="7">
        <f t="shared" si="193"/>
        <v>30545</v>
      </c>
      <c r="C1067" s="7">
        <f t="shared" si="190"/>
        <v>30592</v>
      </c>
      <c r="D1067" s="9" t="s">
        <v>895</v>
      </c>
      <c r="E1067" s="8" t="s">
        <v>2071</v>
      </c>
      <c r="F1067" s="7">
        <v>24</v>
      </c>
      <c r="G1067" s="7">
        <v>2</v>
      </c>
      <c r="H1067" s="7"/>
      <c r="I1067" s="9">
        <f t="shared" si="191"/>
        <v>96</v>
      </c>
      <c r="J1067" s="9">
        <f t="shared" si="192"/>
        <v>48</v>
      </c>
      <c r="K1067" s="94" t="s">
        <v>1436</v>
      </c>
      <c r="L1067" s="11" t="s">
        <v>1081</v>
      </c>
      <c r="M1067" s="11"/>
      <c r="N1067" s="11"/>
      <c r="O1067" s="11"/>
      <c r="P1067" s="10"/>
      <c r="Q1067" s="10"/>
      <c r="R1067" s="11"/>
      <c r="S1067" s="11" t="s">
        <v>1181</v>
      </c>
      <c r="T1067" s="157"/>
    </row>
    <row r="1068" spans="1:20" x14ac:dyDescent="0.2">
      <c r="A1068" s="33" t="s">
        <v>880</v>
      </c>
      <c r="B1068" s="7">
        <f t="shared" si="193"/>
        <v>30593</v>
      </c>
      <c r="C1068" s="7">
        <f t="shared" si="190"/>
        <v>30640</v>
      </c>
      <c r="D1068" s="9" t="s">
        <v>895</v>
      </c>
      <c r="E1068" s="8" t="s">
        <v>2088</v>
      </c>
      <c r="F1068" s="7">
        <v>24</v>
      </c>
      <c r="G1068" s="7">
        <v>2</v>
      </c>
      <c r="H1068" s="7"/>
      <c r="I1068" s="9">
        <f t="shared" si="191"/>
        <v>96</v>
      </c>
      <c r="J1068" s="9">
        <f t="shared" si="192"/>
        <v>48</v>
      </c>
      <c r="K1068" s="94" t="s">
        <v>1436</v>
      </c>
      <c r="L1068" s="11" t="s">
        <v>1081</v>
      </c>
      <c r="M1068" s="11"/>
      <c r="N1068" s="11"/>
      <c r="O1068" s="11"/>
      <c r="P1068" s="10"/>
      <c r="Q1068" s="10"/>
      <c r="R1068" s="11"/>
      <c r="S1068" s="11" t="s">
        <v>1181</v>
      </c>
      <c r="T1068" s="157"/>
    </row>
    <row r="1069" spans="1:20" x14ac:dyDescent="0.2">
      <c r="A1069" s="33" t="s">
        <v>880</v>
      </c>
      <c r="B1069" s="7">
        <f t="shared" si="193"/>
        <v>30641</v>
      </c>
      <c r="C1069" s="7">
        <f t="shared" si="190"/>
        <v>30688</v>
      </c>
      <c r="D1069" s="9" t="s">
        <v>895</v>
      </c>
      <c r="E1069" s="8" t="s">
        <v>2105</v>
      </c>
      <c r="F1069" s="7">
        <v>24</v>
      </c>
      <c r="G1069" s="7">
        <v>2</v>
      </c>
      <c r="H1069" s="7"/>
      <c r="I1069" s="9">
        <f t="shared" si="191"/>
        <v>96</v>
      </c>
      <c r="J1069" s="9">
        <f t="shared" si="192"/>
        <v>48</v>
      </c>
      <c r="K1069" s="94" t="s">
        <v>1436</v>
      </c>
      <c r="L1069" s="11" t="s">
        <v>1081</v>
      </c>
      <c r="M1069" s="11"/>
      <c r="N1069" s="11"/>
      <c r="O1069" s="11"/>
      <c r="P1069" s="10"/>
      <c r="Q1069" s="10"/>
      <c r="R1069" s="11"/>
      <c r="S1069" s="11" t="s">
        <v>1181</v>
      </c>
      <c r="T1069" s="157"/>
    </row>
    <row r="1070" spans="1:20" x14ac:dyDescent="0.2">
      <c r="A1070" s="33" t="s">
        <v>880</v>
      </c>
      <c r="B1070" s="7">
        <f t="shared" si="193"/>
        <v>30689</v>
      </c>
      <c r="C1070" s="7">
        <f t="shared" si="190"/>
        <v>30736</v>
      </c>
      <c r="D1070" s="9" t="s">
        <v>895</v>
      </c>
      <c r="E1070" s="8" t="s">
        <v>2130</v>
      </c>
      <c r="F1070" s="7">
        <v>24</v>
      </c>
      <c r="G1070" s="7">
        <v>2</v>
      </c>
      <c r="H1070" s="7"/>
      <c r="I1070" s="9">
        <f t="shared" si="191"/>
        <v>96</v>
      </c>
      <c r="J1070" s="9">
        <f t="shared" si="192"/>
        <v>48</v>
      </c>
      <c r="K1070" s="94" t="s">
        <v>1436</v>
      </c>
      <c r="L1070" s="11" t="s">
        <v>1081</v>
      </c>
      <c r="M1070" s="11"/>
      <c r="N1070" s="11"/>
      <c r="O1070" s="11"/>
      <c r="P1070" s="10"/>
      <c r="Q1070" s="10"/>
      <c r="R1070" s="11"/>
      <c r="S1070" s="11" t="s">
        <v>1181</v>
      </c>
      <c r="T1070" s="157"/>
    </row>
    <row r="1071" spans="1:20" x14ac:dyDescent="0.2">
      <c r="A1071" s="33" t="s">
        <v>880</v>
      </c>
      <c r="B1071" s="7">
        <f t="shared" si="193"/>
        <v>30737</v>
      </c>
      <c r="C1071" s="7">
        <f t="shared" si="190"/>
        <v>30784</v>
      </c>
      <c r="D1071" s="9" t="s">
        <v>895</v>
      </c>
      <c r="E1071" s="8" t="s">
        <v>2155</v>
      </c>
      <c r="F1071" s="7">
        <v>24</v>
      </c>
      <c r="G1071" s="7">
        <v>2</v>
      </c>
      <c r="H1071" s="7"/>
      <c r="I1071" s="9">
        <f t="shared" si="191"/>
        <v>96</v>
      </c>
      <c r="J1071" s="9">
        <f t="shared" si="192"/>
        <v>48</v>
      </c>
      <c r="K1071" s="94" t="s">
        <v>1436</v>
      </c>
      <c r="L1071" s="11" t="s">
        <v>1081</v>
      </c>
      <c r="M1071" s="11"/>
      <c r="N1071" s="11"/>
      <c r="O1071" s="11"/>
      <c r="P1071" s="10"/>
      <c r="Q1071" s="10"/>
      <c r="R1071" s="11"/>
      <c r="S1071" s="11" t="s">
        <v>1181</v>
      </c>
      <c r="T1071" s="157"/>
    </row>
    <row r="1072" spans="1:20" x14ac:dyDescent="0.2">
      <c r="A1072" s="33" t="s">
        <v>880</v>
      </c>
      <c r="B1072" s="7">
        <f t="shared" si="193"/>
        <v>30785</v>
      </c>
      <c r="C1072" s="7">
        <f t="shared" si="190"/>
        <v>30832</v>
      </c>
      <c r="D1072" s="9" t="s">
        <v>895</v>
      </c>
      <c r="E1072" s="8" t="s">
        <v>2180</v>
      </c>
      <c r="F1072" s="7">
        <v>24</v>
      </c>
      <c r="G1072" s="7">
        <v>2</v>
      </c>
      <c r="H1072" s="7"/>
      <c r="I1072" s="9">
        <f t="shared" si="191"/>
        <v>96</v>
      </c>
      <c r="J1072" s="9">
        <f t="shared" si="192"/>
        <v>48</v>
      </c>
      <c r="K1072" s="94" t="s">
        <v>1436</v>
      </c>
      <c r="L1072" s="11" t="s">
        <v>1081</v>
      </c>
      <c r="M1072" s="11"/>
      <c r="N1072" s="11"/>
      <c r="O1072" s="11"/>
      <c r="P1072" s="10"/>
      <c r="Q1072" s="10"/>
      <c r="R1072" s="11"/>
      <c r="S1072" s="11" t="s">
        <v>1181</v>
      </c>
      <c r="T1072" s="157"/>
    </row>
    <row r="1073" spans="1:20" x14ac:dyDescent="0.2">
      <c r="A1073" s="33" t="s">
        <v>880</v>
      </c>
      <c r="B1073" s="7">
        <f t="shared" si="193"/>
        <v>30833</v>
      </c>
      <c r="C1073" s="7">
        <f t="shared" si="190"/>
        <v>30880</v>
      </c>
      <c r="D1073" s="9" t="s">
        <v>895</v>
      </c>
      <c r="E1073" s="8" t="s">
        <v>2205</v>
      </c>
      <c r="F1073" s="7">
        <v>24</v>
      </c>
      <c r="G1073" s="7">
        <v>2</v>
      </c>
      <c r="H1073" s="7"/>
      <c r="I1073" s="9">
        <f t="shared" si="191"/>
        <v>96</v>
      </c>
      <c r="J1073" s="9">
        <f t="shared" si="192"/>
        <v>48</v>
      </c>
      <c r="K1073" s="94" t="s">
        <v>1436</v>
      </c>
      <c r="L1073" s="11" t="s">
        <v>1081</v>
      </c>
      <c r="M1073" s="11"/>
      <c r="N1073" s="11"/>
      <c r="O1073" s="11"/>
      <c r="P1073" s="10"/>
      <c r="Q1073" s="10"/>
      <c r="R1073" s="11"/>
      <c r="S1073" s="11" t="s">
        <v>1181</v>
      </c>
      <c r="T1073" s="157"/>
    </row>
    <row r="1074" spans="1:20" x14ac:dyDescent="0.2">
      <c r="A1074" s="33" t="s">
        <v>880</v>
      </c>
      <c r="B1074" s="7">
        <f t="shared" si="193"/>
        <v>30881</v>
      </c>
      <c r="C1074" s="7">
        <f t="shared" si="190"/>
        <v>30928</v>
      </c>
      <c r="D1074" s="9" t="s">
        <v>895</v>
      </c>
      <c r="E1074" s="8" t="s">
        <v>2280</v>
      </c>
      <c r="F1074" s="7">
        <v>24</v>
      </c>
      <c r="G1074" s="7">
        <v>2</v>
      </c>
      <c r="H1074" s="7"/>
      <c r="I1074" s="9">
        <f t="shared" si="191"/>
        <v>96</v>
      </c>
      <c r="J1074" s="9">
        <f t="shared" si="192"/>
        <v>48</v>
      </c>
      <c r="K1074" s="94" t="s">
        <v>1436</v>
      </c>
      <c r="L1074" s="11" t="s">
        <v>1081</v>
      </c>
      <c r="M1074" s="11"/>
      <c r="N1074" s="11"/>
      <c r="O1074" s="11"/>
      <c r="P1074" s="10"/>
      <c r="Q1074" s="10"/>
      <c r="R1074" s="11"/>
      <c r="S1074" s="11" t="s">
        <v>1181</v>
      </c>
      <c r="T1074" s="157"/>
    </row>
    <row r="1075" spans="1:20" x14ac:dyDescent="0.2">
      <c r="A1075" s="33" t="s">
        <v>880</v>
      </c>
      <c r="B1075" s="7">
        <f t="shared" si="193"/>
        <v>30929</v>
      </c>
      <c r="C1075" s="7">
        <f t="shared" si="190"/>
        <v>30976</v>
      </c>
      <c r="D1075" s="9" t="s">
        <v>895</v>
      </c>
      <c r="E1075" s="8" t="s">
        <v>2295</v>
      </c>
      <c r="F1075" s="7">
        <v>24</v>
      </c>
      <c r="G1075" s="7">
        <v>2</v>
      </c>
      <c r="H1075" s="7"/>
      <c r="I1075" s="9">
        <f t="shared" si="191"/>
        <v>96</v>
      </c>
      <c r="J1075" s="9">
        <f t="shared" si="192"/>
        <v>48</v>
      </c>
      <c r="K1075" s="94" t="s">
        <v>1436</v>
      </c>
      <c r="L1075" s="11" t="s">
        <v>1081</v>
      </c>
      <c r="M1075" s="11"/>
      <c r="N1075" s="11"/>
      <c r="O1075" s="11"/>
      <c r="P1075" s="10"/>
      <c r="Q1075" s="10"/>
      <c r="R1075" s="11"/>
      <c r="S1075" s="11" t="s">
        <v>1181</v>
      </c>
      <c r="T1075" s="157"/>
    </row>
    <row r="1076" spans="1:20" x14ac:dyDescent="0.2">
      <c r="A1076" s="33" t="s">
        <v>880</v>
      </c>
      <c r="B1076" s="7">
        <f t="shared" si="193"/>
        <v>30977</v>
      </c>
      <c r="C1076" s="7">
        <f t="shared" si="190"/>
        <v>31024</v>
      </c>
      <c r="D1076" s="9" t="s">
        <v>895</v>
      </c>
      <c r="E1076" s="8" t="s">
        <v>2310</v>
      </c>
      <c r="F1076" s="7">
        <v>24</v>
      </c>
      <c r="G1076" s="7">
        <v>2</v>
      </c>
      <c r="H1076" s="7"/>
      <c r="I1076" s="9">
        <f t="shared" si="191"/>
        <v>96</v>
      </c>
      <c r="J1076" s="9">
        <f t="shared" si="192"/>
        <v>48</v>
      </c>
      <c r="K1076" s="94" t="s">
        <v>1436</v>
      </c>
      <c r="L1076" s="11" t="s">
        <v>1081</v>
      </c>
      <c r="M1076" s="11"/>
      <c r="N1076" s="11"/>
      <c r="O1076" s="11"/>
      <c r="P1076" s="10"/>
      <c r="Q1076" s="10"/>
      <c r="R1076" s="11"/>
      <c r="S1076" s="11" t="s">
        <v>1181</v>
      </c>
      <c r="T1076" s="157"/>
    </row>
    <row r="1077" spans="1:20" x14ac:dyDescent="0.2">
      <c r="A1077" s="33" t="s">
        <v>880</v>
      </c>
      <c r="B1077" s="7">
        <f t="shared" si="193"/>
        <v>31025</v>
      </c>
      <c r="C1077" s="7">
        <f t="shared" si="190"/>
        <v>31072</v>
      </c>
      <c r="D1077" s="9" t="s">
        <v>895</v>
      </c>
      <c r="E1077" s="8" t="s">
        <v>2325</v>
      </c>
      <c r="F1077" s="7">
        <v>24</v>
      </c>
      <c r="G1077" s="7">
        <v>2</v>
      </c>
      <c r="H1077" s="7"/>
      <c r="I1077" s="9">
        <f t="shared" si="191"/>
        <v>96</v>
      </c>
      <c r="J1077" s="9">
        <f t="shared" si="192"/>
        <v>48</v>
      </c>
      <c r="K1077" s="94" t="s">
        <v>1436</v>
      </c>
      <c r="L1077" s="11" t="s">
        <v>1081</v>
      </c>
      <c r="M1077" s="11"/>
      <c r="N1077" s="11"/>
      <c r="O1077" s="11"/>
      <c r="P1077" s="10"/>
      <c r="Q1077" s="10"/>
      <c r="R1077" s="11"/>
      <c r="S1077" s="11" t="s">
        <v>1181</v>
      </c>
      <c r="T1077" s="157"/>
    </row>
    <row r="1078" spans="1:20" x14ac:dyDescent="0.2">
      <c r="A1078" s="33" t="s">
        <v>880</v>
      </c>
      <c r="B1078" s="7">
        <f t="shared" si="193"/>
        <v>31073</v>
      </c>
      <c r="C1078" s="7">
        <f t="shared" si="190"/>
        <v>31120</v>
      </c>
      <c r="D1078" s="9" t="s">
        <v>895</v>
      </c>
      <c r="E1078" s="8" t="s">
        <v>2340</v>
      </c>
      <c r="F1078" s="7">
        <v>24</v>
      </c>
      <c r="G1078" s="7">
        <v>2</v>
      </c>
      <c r="H1078" s="7"/>
      <c r="I1078" s="9">
        <f t="shared" si="191"/>
        <v>96</v>
      </c>
      <c r="J1078" s="9">
        <f t="shared" si="192"/>
        <v>48</v>
      </c>
      <c r="K1078" s="94" t="s">
        <v>1436</v>
      </c>
      <c r="L1078" s="11" t="s">
        <v>1081</v>
      </c>
      <c r="M1078" s="11"/>
      <c r="N1078" s="11"/>
      <c r="O1078" s="11"/>
      <c r="P1078" s="10"/>
      <c r="Q1078" s="10"/>
      <c r="R1078" s="11"/>
      <c r="S1078" s="11" t="s">
        <v>1181</v>
      </c>
      <c r="T1078" s="157"/>
    </row>
    <row r="1079" spans="1:20" x14ac:dyDescent="0.2">
      <c r="A1079" s="33" t="s">
        <v>880</v>
      </c>
      <c r="B1079" s="7">
        <f t="shared" si="193"/>
        <v>31121</v>
      </c>
      <c r="C1079" s="7">
        <f t="shared" si="190"/>
        <v>31168</v>
      </c>
      <c r="D1079" s="9" t="s">
        <v>895</v>
      </c>
      <c r="E1079" s="8" t="s">
        <v>2355</v>
      </c>
      <c r="F1079" s="7">
        <v>24</v>
      </c>
      <c r="G1079" s="7">
        <v>2</v>
      </c>
      <c r="H1079" s="7"/>
      <c r="I1079" s="9">
        <f t="shared" si="191"/>
        <v>96</v>
      </c>
      <c r="J1079" s="9">
        <f t="shared" si="192"/>
        <v>48</v>
      </c>
      <c r="K1079" s="94" t="s">
        <v>1436</v>
      </c>
      <c r="L1079" s="11" t="s">
        <v>1081</v>
      </c>
      <c r="M1079" s="11"/>
      <c r="N1079" s="11"/>
      <c r="O1079" s="11"/>
      <c r="P1079" s="10"/>
      <c r="Q1079" s="10"/>
      <c r="R1079" s="11"/>
      <c r="S1079" s="11" t="s">
        <v>1181</v>
      </c>
      <c r="T1079" s="157"/>
    </row>
    <row r="1080" spans="1:20" x14ac:dyDescent="0.2">
      <c r="A1080" s="33"/>
      <c r="B1080" s="47">
        <f>B1081</f>
        <v>31201</v>
      </c>
      <c r="C1080" s="26"/>
      <c r="D1080" s="28"/>
      <c r="E1080" s="26" t="s">
        <v>961</v>
      </c>
      <c r="F1080" s="26"/>
      <c r="G1080" s="26"/>
      <c r="H1080" s="26"/>
      <c r="I1080" s="28"/>
      <c r="J1080" s="28"/>
      <c r="K1080" s="27"/>
      <c r="L1080" s="50"/>
      <c r="M1080" s="50"/>
      <c r="N1080" s="50"/>
      <c r="O1080" s="50"/>
      <c r="P1080" s="121"/>
      <c r="Q1080" s="121"/>
      <c r="R1080" s="146"/>
      <c r="S1080" s="146"/>
      <c r="T1080" s="158"/>
    </row>
    <row r="1081" spans="1:20" x14ac:dyDescent="0.2">
      <c r="A1081" s="33" t="s">
        <v>880</v>
      </c>
      <c r="B1081" s="7">
        <v>31201</v>
      </c>
      <c r="C1081" s="7">
        <f t="shared" ref="C1081:C1096" si="194">B1081+($F1081*$G1081)-1</f>
        <v>31248</v>
      </c>
      <c r="D1081" s="9" t="s">
        <v>895</v>
      </c>
      <c r="E1081" s="8" t="s">
        <v>2020</v>
      </c>
      <c r="F1081" s="7">
        <v>24</v>
      </c>
      <c r="G1081" s="7">
        <v>2</v>
      </c>
      <c r="H1081" s="7"/>
      <c r="I1081" s="9">
        <f t="shared" ref="I1081:I1096" si="195">F1081*G1081*2</f>
        <v>96</v>
      </c>
      <c r="J1081" s="9">
        <f t="shared" ref="J1081:J1096" si="196">C1081-B1081+1</f>
        <v>48</v>
      </c>
      <c r="K1081" s="94" t="s">
        <v>1436</v>
      </c>
      <c r="L1081" s="11" t="s">
        <v>797</v>
      </c>
      <c r="M1081" s="11"/>
      <c r="N1081" s="11"/>
      <c r="O1081" s="11"/>
      <c r="P1081" s="121"/>
      <c r="Q1081" s="121"/>
      <c r="R1081" s="11"/>
      <c r="S1081" s="11" t="s">
        <v>1181</v>
      </c>
      <c r="T1081" s="157"/>
    </row>
    <row r="1082" spans="1:20" x14ac:dyDescent="0.2">
      <c r="A1082" s="33" t="s">
        <v>880</v>
      </c>
      <c r="B1082" s="7">
        <f t="shared" ref="B1082:B1096" si="197">C1081+1</f>
        <v>31249</v>
      </c>
      <c r="C1082" s="7">
        <f t="shared" si="194"/>
        <v>31296</v>
      </c>
      <c r="D1082" s="9" t="s">
        <v>895</v>
      </c>
      <c r="E1082" s="8" t="s">
        <v>2037</v>
      </c>
      <c r="F1082" s="7">
        <v>24</v>
      </c>
      <c r="G1082" s="7">
        <v>2</v>
      </c>
      <c r="H1082" s="7"/>
      <c r="I1082" s="9">
        <f t="shared" si="195"/>
        <v>96</v>
      </c>
      <c r="J1082" s="9">
        <f t="shared" si="196"/>
        <v>48</v>
      </c>
      <c r="K1082" s="94" t="s">
        <v>1436</v>
      </c>
      <c r="L1082" s="11" t="s">
        <v>797</v>
      </c>
      <c r="M1082" s="11"/>
      <c r="N1082" s="11"/>
      <c r="O1082" s="11"/>
      <c r="P1082" s="121"/>
      <c r="Q1082" s="121"/>
      <c r="R1082" s="11"/>
      <c r="S1082" s="11" t="s">
        <v>1181</v>
      </c>
      <c r="T1082" s="157"/>
    </row>
    <row r="1083" spans="1:20" x14ac:dyDescent="0.2">
      <c r="A1083" s="33" t="s">
        <v>880</v>
      </c>
      <c r="B1083" s="7">
        <f t="shared" si="197"/>
        <v>31297</v>
      </c>
      <c r="C1083" s="7">
        <f t="shared" si="194"/>
        <v>31344</v>
      </c>
      <c r="D1083" s="9" t="s">
        <v>895</v>
      </c>
      <c r="E1083" s="8" t="s">
        <v>2055</v>
      </c>
      <c r="F1083" s="7">
        <v>24</v>
      </c>
      <c r="G1083" s="7">
        <v>2</v>
      </c>
      <c r="H1083" s="7"/>
      <c r="I1083" s="9">
        <f t="shared" si="195"/>
        <v>96</v>
      </c>
      <c r="J1083" s="9">
        <f t="shared" si="196"/>
        <v>48</v>
      </c>
      <c r="K1083" s="94" t="s">
        <v>1436</v>
      </c>
      <c r="L1083" s="11" t="s">
        <v>797</v>
      </c>
      <c r="M1083" s="11"/>
      <c r="N1083" s="11"/>
      <c r="O1083" s="11"/>
      <c r="P1083" s="121"/>
      <c r="Q1083" s="121"/>
      <c r="R1083" s="11"/>
      <c r="S1083" s="11" t="s">
        <v>1181</v>
      </c>
      <c r="T1083" s="157"/>
    </row>
    <row r="1084" spans="1:20" x14ac:dyDescent="0.2">
      <c r="A1084" s="33" t="s">
        <v>880</v>
      </c>
      <c r="B1084" s="7">
        <f t="shared" si="197"/>
        <v>31345</v>
      </c>
      <c r="C1084" s="7">
        <f t="shared" si="194"/>
        <v>31392</v>
      </c>
      <c r="D1084" s="9" t="s">
        <v>895</v>
      </c>
      <c r="E1084" s="8" t="s">
        <v>2072</v>
      </c>
      <c r="F1084" s="7">
        <v>24</v>
      </c>
      <c r="G1084" s="7">
        <v>2</v>
      </c>
      <c r="H1084" s="7"/>
      <c r="I1084" s="9">
        <f t="shared" si="195"/>
        <v>96</v>
      </c>
      <c r="J1084" s="9">
        <f t="shared" si="196"/>
        <v>48</v>
      </c>
      <c r="K1084" s="94" t="s">
        <v>1436</v>
      </c>
      <c r="L1084" s="11" t="s">
        <v>797</v>
      </c>
      <c r="M1084" s="11"/>
      <c r="N1084" s="11"/>
      <c r="O1084" s="11"/>
      <c r="P1084" s="121"/>
      <c r="Q1084" s="121"/>
      <c r="R1084" s="11"/>
      <c r="S1084" s="11" t="s">
        <v>1181</v>
      </c>
      <c r="T1084" s="157"/>
    </row>
    <row r="1085" spans="1:20" x14ac:dyDescent="0.2">
      <c r="A1085" s="33" t="s">
        <v>880</v>
      </c>
      <c r="B1085" s="7">
        <f t="shared" si="197"/>
        <v>31393</v>
      </c>
      <c r="C1085" s="7">
        <f t="shared" si="194"/>
        <v>31440</v>
      </c>
      <c r="D1085" s="9" t="s">
        <v>895</v>
      </c>
      <c r="E1085" s="8" t="s">
        <v>2089</v>
      </c>
      <c r="F1085" s="7">
        <v>24</v>
      </c>
      <c r="G1085" s="7">
        <v>2</v>
      </c>
      <c r="H1085" s="7"/>
      <c r="I1085" s="9">
        <f t="shared" si="195"/>
        <v>96</v>
      </c>
      <c r="J1085" s="9">
        <f t="shared" si="196"/>
        <v>48</v>
      </c>
      <c r="K1085" s="94" t="s">
        <v>1436</v>
      </c>
      <c r="L1085" s="11" t="s">
        <v>797</v>
      </c>
      <c r="M1085" s="11"/>
      <c r="N1085" s="11"/>
      <c r="O1085" s="11"/>
      <c r="P1085" s="121"/>
      <c r="Q1085" s="121"/>
      <c r="R1085" s="11"/>
      <c r="S1085" s="11" t="s">
        <v>1181</v>
      </c>
      <c r="T1085" s="157"/>
    </row>
    <row r="1086" spans="1:20" x14ac:dyDescent="0.2">
      <c r="A1086" s="33" t="s">
        <v>880</v>
      </c>
      <c r="B1086" s="7">
        <f t="shared" si="197"/>
        <v>31441</v>
      </c>
      <c r="C1086" s="7">
        <f t="shared" si="194"/>
        <v>31488</v>
      </c>
      <c r="D1086" s="9" t="s">
        <v>895</v>
      </c>
      <c r="E1086" s="8" t="s">
        <v>2106</v>
      </c>
      <c r="F1086" s="7">
        <v>24</v>
      </c>
      <c r="G1086" s="7">
        <v>2</v>
      </c>
      <c r="H1086" s="7"/>
      <c r="I1086" s="9">
        <f t="shared" si="195"/>
        <v>96</v>
      </c>
      <c r="J1086" s="9">
        <f t="shared" si="196"/>
        <v>48</v>
      </c>
      <c r="K1086" s="94" t="s">
        <v>1436</v>
      </c>
      <c r="L1086" s="11" t="s">
        <v>797</v>
      </c>
      <c r="M1086" s="11"/>
      <c r="N1086" s="11"/>
      <c r="O1086" s="11"/>
      <c r="P1086" s="121"/>
      <c r="Q1086" s="121"/>
      <c r="R1086" s="11"/>
      <c r="S1086" s="11" t="s">
        <v>1181</v>
      </c>
      <c r="T1086" s="157"/>
    </row>
    <row r="1087" spans="1:20" x14ac:dyDescent="0.2">
      <c r="A1087" s="33" t="s">
        <v>880</v>
      </c>
      <c r="B1087" s="7">
        <f t="shared" si="197"/>
        <v>31489</v>
      </c>
      <c r="C1087" s="7">
        <f t="shared" si="194"/>
        <v>31536</v>
      </c>
      <c r="D1087" s="9" t="s">
        <v>895</v>
      </c>
      <c r="E1087" s="8" t="s">
        <v>2131</v>
      </c>
      <c r="F1087" s="7">
        <v>24</v>
      </c>
      <c r="G1087" s="7">
        <v>2</v>
      </c>
      <c r="H1087" s="7"/>
      <c r="I1087" s="9">
        <f t="shared" si="195"/>
        <v>96</v>
      </c>
      <c r="J1087" s="9">
        <f t="shared" si="196"/>
        <v>48</v>
      </c>
      <c r="K1087" s="94" t="s">
        <v>1436</v>
      </c>
      <c r="L1087" s="11" t="s">
        <v>797</v>
      </c>
      <c r="M1087" s="11"/>
      <c r="N1087" s="11"/>
      <c r="O1087" s="11"/>
      <c r="P1087" s="121"/>
      <c r="Q1087" s="121"/>
      <c r="R1087" s="11"/>
      <c r="S1087" s="11" t="s">
        <v>1181</v>
      </c>
      <c r="T1087" s="157"/>
    </row>
    <row r="1088" spans="1:20" x14ac:dyDescent="0.2">
      <c r="A1088" s="33" t="s">
        <v>880</v>
      </c>
      <c r="B1088" s="7">
        <f t="shared" si="197"/>
        <v>31537</v>
      </c>
      <c r="C1088" s="7">
        <f t="shared" si="194"/>
        <v>31584</v>
      </c>
      <c r="D1088" s="9" t="s">
        <v>895</v>
      </c>
      <c r="E1088" s="8" t="s">
        <v>2156</v>
      </c>
      <c r="F1088" s="7">
        <v>24</v>
      </c>
      <c r="G1088" s="7">
        <v>2</v>
      </c>
      <c r="H1088" s="7"/>
      <c r="I1088" s="9">
        <f t="shared" si="195"/>
        <v>96</v>
      </c>
      <c r="J1088" s="9">
        <f t="shared" si="196"/>
        <v>48</v>
      </c>
      <c r="K1088" s="94" t="s">
        <v>1436</v>
      </c>
      <c r="L1088" s="11" t="s">
        <v>797</v>
      </c>
      <c r="M1088" s="11"/>
      <c r="N1088" s="11"/>
      <c r="O1088" s="11"/>
      <c r="P1088" s="121"/>
      <c r="Q1088" s="121"/>
      <c r="R1088" s="11"/>
      <c r="S1088" s="11" t="s">
        <v>1181</v>
      </c>
      <c r="T1088" s="157"/>
    </row>
    <row r="1089" spans="1:20" x14ac:dyDescent="0.2">
      <c r="A1089" s="33" t="s">
        <v>880</v>
      </c>
      <c r="B1089" s="7">
        <f t="shared" si="197"/>
        <v>31585</v>
      </c>
      <c r="C1089" s="7">
        <f t="shared" si="194"/>
        <v>31632</v>
      </c>
      <c r="D1089" s="9" t="s">
        <v>895</v>
      </c>
      <c r="E1089" s="8" t="s">
        <v>2181</v>
      </c>
      <c r="F1089" s="7">
        <v>24</v>
      </c>
      <c r="G1089" s="7">
        <v>2</v>
      </c>
      <c r="H1089" s="7"/>
      <c r="I1089" s="9">
        <f t="shared" si="195"/>
        <v>96</v>
      </c>
      <c r="J1089" s="9">
        <f t="shared" si="196"/>
        <v>48</v>
      </c>
      <c r="K1089" s="94" t="s">
        <v>1436</v>
      </c>
      <c r="L1089" s="11" t="s">
        <v>797</v>
      </c>
      <c r="M1089" s="11"/>
      <c r="N1089" s="11"/>
      <c r="O1089" s="11"/>
      <c r="P1089" s="121"/>
      <c r="Q1089" s="121"/>
      <c r="R1089" s="11"/>
      <c r="S1089" s="11" t="s">
        <v>1181</v>
      </c>
      <c r="T1089" s="157"/>
    </row>
    <row r="1090" spans="1:20" x14ac:dyDescent="0.2">
      <c r="A1090" s="33" t="s">
        <v>880</v>
      </c>
      <c r="B1090" s="7">
        <f t="shared" si="197"/>
        <v>31633</v>
      </c>
      <c r="C1090" s="7">
        <f t="shared" si="194"/>
        <v>31680</v>
      </c>
      <c r="D1090" s="9" t="s">
        <v>895</v>
      </c>
      <c r="E1090" s="8" t="s">
        <v>2206</v>
      </c>
      <c r="F1090" s="7">
        <v>24</v>
      </c>
      <c r="G1090" s="7">
        <v>2</v>
      </c>
      <c r="H1090" s="7"/>
      <c r="I1090" s="9">
        <f t="shared" si="195"/>
        <v>96</v>
      </c>
      <c r="J1090" s="9">
        <f t="shared" si="196"/>
        <v>48</v>
      </c>
      <c r="K1090" s="94" t="s">
        <v>1436</v>
      </c>
      <c r="L1090" s="11" t="s">
        <v>797</v>
      </c>
      <c r="M1090" s="11"/>
      <c r="N1090" s="11"/>
      <c r="O1090" s="11"/>
      <c r="P1090" s="121"/>
      <c r="Q1090" s="121"/>
      <c r="R1090" s="11"/>
      <c r="S1090" s="11" t="s">
        <v>1181</v>
      </c>
      <c r="T1090" s="157"/>
    </row>
    <row r="1091" spans="1:20" x14ac:dyDescent="0.2">
      <c r="A1091" s="33" t="s">
        <v>880</v>
      </c>
      <c r="B1091" s="7">
        <f t="shared" si="197"/>
        <v>31681</v>
      </c>
      <c r="C1091" s="7">
        <f t="shared" si="194"/>
        <v>31728</v>
      </c>
      <c r="D1091" s="9" t="s">
        <v>895</v>
      </c>
      <c r="E1091" s="8" t="s">
        <v>2281</v>
      </c>
      <c r="F1091" s="7">
        <v>24</v>
      </c>
      <c r="G1091" s="7">
        <v>2</v>
      </c>
      <c r="H1091" s="7"/>
      <c r="I1091" s="9">
        <f t="shared" si="195"/>
        <v>96</v>
      </c>
      <c r="J1091" s="9">
        <f t="shared" si="196"/>
        <v>48</v>
      </c>
      <c r="K1091" s="94" t="s">
        <v>1436</v>
      </c>
      <c r="L1091" s="11" t="s">
        <v>797</v>
      </c>
      <c r="M1091" s="11"/>
      <c r="N1091" s="11"/>
      <c r="O1091" s="11"/>
      <c r="P1091" s="121"/>
      <c r="Q1091" s="121"/>
      <c r="R1091" s="11"/>
      <c r="S1091" s="11" t="s">
        <v>1181</v>
      </c>
      <c r="T1091" s="157"/>
    </row>
    <row r="1092" spans="1:20" x14ac:dyDescent="0.2">
      <c r="A1092" s="33" t="s">
        <v>880</v>
      </c>
      <c r="B1092" s="7">
        <f t="shared" si="197"/>
        <v>31729</v>
      </c>
      <c r="C1092" s="7">
        <f t="shared" si="194"/>
        <v>31776</v>
      </c>
      <c r="D1092" s="9" t="s">
        <v>895</v>
      </c>
      <c r="E1092" s="8" t="s">
        <v>2296</v>
      </c>
      <c r="F1092" s="7">
        <v>24</v>
      </c>
      <c r="G1092" s="7">
        <v>2</v>
      </c>
      <c r="H1092" s="7"/>
      <c r="I1092" s="9">
        <f t="shared" si="195"/>
        <v>96</v>
      </c>
      <c r="J1092" s="9">
        <f t="shared" si="196"/>
        <v>48</v>
      </c>
      <c r="K1092" s="94" t="s">
        <v>1436</v>
      </c>
      <c r="L1092" s="11" t="s">
        <v>797</v>
      </c>
      <c r="M1092" s="11"/>
      <c r="N1092" s="11"/>
      <c r="O1092" s="11"/>
      <c r="P1092" s="121"/>
      <c r="Q1092" s="121"/>
      <c r="R1092" s="11"/>
      <c r="S1092" s="11" t="s">
        <v>1181</v>
      </c>
      <c r="T1092" s="157"/>
    </row>
    <row r="1093" spans="1:20" x14ac:dyDescent="0.2">
      <c r="A1093" s="33" t="s">
        <v>880</v>
      </c>
      <c r="B1093" s="7">
        <f t="shared" si="197"/>
        <v>31777</v>
      </c>
      <c r="C1093" s="7">
        <f t="shared" si="194"/>
        <v>31824</v>
      </c>
      <c r="D1093" s="9" t="s">
        <v>895</v>
      </c>
      <c r="E1093" s="8" t="s">
        <v>2311</v>
      </c>
      <c r="F1093" s="7">
        <v>24</v>
      </c>
      <c r="G1093" s="7">
        <v>2</v>
      </c>
      <c r="H1093" s="7"/>
      <c r="I1093" s="9">
        <f t="shared" si="195"/>
        <v>96</v>
      </c>
      <c r="J1093" s="9">
        <f t="shared" si="196"/>
        <v>48</v>
      </c>
      <c r="K1093" s="94" t="s">
        <v>1436</v>
      </c>
      <c r="L1093" s="11" t="s">
        <v>797</v>
      </c>
      <c r="M1093" s="11"/>
      <c r="N1093" s="11"/>
      <c r="O1093" s="11"/>
      <c r="P1093" s="121"/>
      <c r="Q1093" s="121"/>
      <c r="R1093" s="11"/>
      <c r="S1093" s="11" t="s">
        <v>1181</v>
      </c>
      <c r="T1093" s="157"/>
    </row>
    <row r="1094" spans="1:20" x14ac:dyDescent="0.2">
      <c r="A1094" s="33" t="s">
        <v>880</v>
      </c>
      <c r="B1094" s="7">
        <f t="shared" si="197"/>
        <v>31825</v>
      </c>
      <c r="C1094" s="7">
        <f t="shared" si="194"/>
        <v>31872</v>
      </c>
      <c r="D1094" s="9" t="s">
        <v>895</v>
      </c>
      <c r="E1094" s="8" t="s">
        <v>2326</v>
      </c>
      <c r="F1094" s="7">
        <v>24</v>
      </c>
      <c r="G1094" s="7">
        <v>2</v>
      </c>
      <c r="H1094" s="7"/>
      <c r="I1094" s="9">
        <f t="shared" si="195"/>
        <v>96</v>
      </c>
      <c r="J1094" s="9">
        <f t="shared" si="196"/>
        <v>48</v>
      </c>
      <c r="K1094" s="94" t="s">
        <v>1436</v>
      </c>
      <c r="L1094" s="11" t="s">
        <v>797</v>
      </c>
      <c r="M1094" s="11"/>
      <c r="N1094" s="11"/>
      <c r="O1094" s="11"/>
      <c r="P1094" s="121"/>
      <c r="Q1094" s="121"/>
      <c r="R1094" s="11"/>
      <c r="S1094" s="11" t="s">
        <v>1181</v>
      </c>
      <c r="T1094" s="157"/>
    </row>
    <row r="1095" spans="1:20" x14ac:dyDescent="0.2">
      <c r="A1095" s="33" t="s">
        <v>880</v>
      </c>
      <c r="B1095" s="7">
        <f t="shared" si="197"/>
        <v>31873</v>
      </c>
      <c r="C1095" s="7">
        <f t="shared" si="194"/>
        <v>31920</v>
      </c>
      <c r="D1095" s="9" t="s">
        <v>895</v>
      </c>
      <c r="E1095" s="8" t="s">
        <v>2341</v>
      </c>
      <c r="F1095" s="7">
        <v>24</v>
      </c>
      <c r="G1095" s="7">
        <v>2</v>
      </c>
      <c r="H1095" s="7"/>
      <c r="I1095" s="9">
        <f t="shared" si="195"/>
        <v>96</v>
      </c>
      <c r="J1095" s="9">
        <f t="shared" si="196"/>
        <v>48</v>
      </c>
      <c r="K1095" s="94" t="s">
        <v>1436</v>
      </c>
      <c r="L1095" s="11" t="s">
        <v>797</v>
      </c>
      <c r="M1095" s="11"/>
      <c r="N1095" s="11"/>
      <c r="O1095" s="11"/>
      <c r="P1095" s="121"/>
      <c r="Q1095" s="121"/>
      <c r="R1095" s="11"/>
      <c r="S1095" s="11" t="s">
        <v>1181</v>
      </c>
      <c r="T1095" s="157"/>
    </row>
    <row r="1096" spans="1:20" x14ac:dyDescent="0.2">
      <c r="A1096" s="33" t="s">
        <v>880</v>
      </c>
      <c r="B1096" s="7">
        <f t="shared" si="197"/>
        <v>31921</v>
      </c>
      <c r="C1096" s="7">
        <f t="shared" si="194"/>
        <v>31968</v>
      </c>
      <c r="D1096" s="9" t="s">
        <v>895</v>
      </c>
      <c r="E1096" s="8" t="s">
        <v>2356</v>
      </c>
      <c r="F1096" s="7">
        <v>24</v>
      </c>
      <c r="G1096" s="7">
        <v>2</v>
      </c>
      <c r="H1096" s="7"/>
      <c r="I1096" s="9">
        <f t="shared" si="195"/>
        <v>96</v>
      </c>
      <c r="J1096" s="9">
        <f t="shared" si="196"/>
        <v>48</v>
      </c>
      <c r="K1096" s="94" t="s">
        <v>1436</v>
      </c>
      <c r="L1096" s="11" t="s">
        <v>797</v>
      </c>
      <c r="M1096" s="11"/>
      <c r="N1096" s="11"/>
      <c r="O1096" s="11"/>
      <c r="P1096" s="121"/>
      <c r="Q1096" s="121"/>
      <c r="R1096" s="11"/>
      <c r="S1096" s="11" t="s">
        <v>1181</v>
      </c>
      <c r="T1096" s="157"/>
    </row>
    <row r="1097" spans="1:20" x14ac:dyDescent="0.2">
      <c r="A1097" s="33"/>
      <c r="B1097" s="47">
        <f>B1098</f>
        <v>32001</v>
      </c>
      <c r="C1097" s="26"/>
      <c r="D1097" s="28"/>
      <c r="E1097" s="26" t="s">
        <v>962</v>
      </c>
      <c r="F1097" s="171"/>
      <c r="G1097" s="171"/>
      <c r="H1097" s="171"/>
      <c r="I1097" s="177"/>
      <c r="J1097" s="177"/>
      <c r="K1097" s="27"/>
      <c r="L1097" s="50"/>
      <c r="M1097" s="50"/>
      <c r="N1097" s="50"/>
      <c r="O1097" s="50"/>
      <c r="P1097" s="121"/>
      <c r="Q1097" s="121"/>
      <c r="R1097" s="146"/>
      <c r="S1097" s="146"/>
      <c r="T1097" s="158"/>
    </row>
    <row r="1098" spans="1:20" x14ac:dyDescent="0.2">
      <c r="A1098" s="33" t="s">
        <v>880</v>
      </c>
      <c r="B1098" s="7">
        <v>32001</v>
      </c>
      <c r="C1098" s="7">
        <f t="shared" ref="C1098:C1113" si="198">B1098+($F1098*$G1098)-1</f>
        <v>32048</v>
      </c>
      <c r="D1098" s="9" t="s">
        <v>895</v>
      </c>
      <c r="E1098" s="8" t="s">
        <v>551</v>
      </c>
      <c r="F1098" s="7">
        <v>24</v>
      </c>
      <c r="G1098" s="7">
        <v>2</v>
      </c>
      <c r="H1098" s="7"/>
      <c r="I1098" s="9">
        <f t="shared" ref="I1098:I1113" si="199">F1098*G1098*2</f>
        <v>96</v>
      </c>
      <c r="J1098" s="9">
        <f t="shared" ref="J1098:J1113" si="200">C1098-B1098+1</f>
        <v>48</v>
      </c>
      <c r="K1098" s="94" t="s">
        <v>1436</v>
      </c>
      <c r="L1098" s="11" t="s">
        <v>1081</v>
      </c>
      <c r="M1098" s="11"/>
      <c r="N1098" s="11"/>
      <c r="O1098" s="11"/>
      <c r="P1098" s="121"/>
      <c r="Q1098" s="121"/>
      <c r="R1098" s="11"/>
      <c r="S1098" s="11" t="s">
        <v>1181</v>
      </c>
      <c r="T1098" s="157"/>
    </row>
    <row r="1099" spans="1:20" x14ac:dyDescent="0.2">
      <c r="A1099" s="33" t="s">
        <v>880</v>
      </c>
      <c r="B1099" s="7">
        <f t="shared" ref="B1099:B1113" si="201">C1098+1</f>
        <v>32049</v>
      </c>
      <c r="C1099" s="7">
        <f t="shared" si="198"/>
        <v>32096</v>
      </c>
      <c r="D1099" s="9" t="s">
        <v>895</v>
      </c>
      <c r="E1099" s="8" t="s">
        <v>552</v>
      </c>
      <c r="F1099" s="7">
        <v>24</v>
      </c>
      <c r="G1099" s="7">
        <v>2</v>
      </c>
      <c r="H1099" s="7"/>
      <c r="I1099" s="9">
        <f t="shared" si="199"/>
        <v>96</v>
      </c>
      <c r="J1099" s="9">
        <f t="shared" si="200"/>
        <v>48</v>
      </c>
      <c r="K1099" s="94" t="s">
        <v>1436</v>
      </c>
      <c r="L1099" s="11" t="s">
        <v>1081</v>
      </c>
      <c r="M1099" s="11"/>
      <c r="N1099" s="11"/>
      <c r="O1099" s="11"/>
      <c r="P1099" s="121"/>
      <c r="Q1099" s="121"/>
      <c r="R1099" s="11"/>
      <c r="S1099" s="11" t="s">
        <v>1181</v>
      </c>
      <c r="T1099" s="157"/>
    </row>
    <row r="1100" spans="1:20" x14ac:dyDescent="0.2">
      <c r="A1100" s="33" t="s">
        <v>880</v>
      </c>
      <c r="B1100" s="7">
        <f t="shared" si="201"/>
        <v>32097</v>
      </c>
      <c r="C1100" s="7">
        <f t="shared" si="198"/>
        <v>32144</v>
      </c>
      <c r="D1100" s="9" t="s">
        <v>895</v>
      </c>
      <c r="E1100" s="8" t="s">
        <v>553</v>
      </c>
      <c r="F1100" s="7">
        <v>24</v>
      </c>
      <c r="G1100" s="7">
        <v>2</v>
      </c>
      <c r="H1100" s="7"/>
      <c r="I1100" s="9">
        <f t="shared" si="199"/>
        <v>96</v>
      </c>
      <c r="J1100" s="9">
        <f t="shared" si="200"/>
        <v>48</v>
      </c>
      <c r="K1100" s="94" t="s">
        <v>1436</v>
      </c>
      <c r="L1100" s="11" t="s">
        <v>1081</v>
      </c>
      <c r="M1100" s="11"/>
      <c r="N1100" s="11"/>
      <c r="O1100" s="11"/>
      <c r="P1100" s="121"/>
      <c r="Q1100" s="121"/>
      <c r="R1100" s="11"/>
      <c r="S1100" s="11" t="s">
        <v>1181</v>
      </c>
      <c r="T1100" s="157"/>
    </row>
    <row r="1101" spans="1:20" x14ac:dyDescent="0.2">
      <c r="A1101" s="33" t="s">
        <v>880</v>
      </c>
      <c r="B1101" s="7">
        <f t="shared" si="201"/>
        <v>32145</v>
      </c>
      <c r="C1101" s="7">
        <f t="shared" si="198"/>
        <v>32192</v>
      </c>
      <c r="D1101" s="9" t="s">
        <v>895</v>
      </c>
      <c r="E1101" s="8" t="s">
        <v>554</v>
      </c>
      <c r="F1101" s="7">
        <v>24</v>
      </c>
      <c r="G1101" s="7">
        <v>2</v>
      </c>
      <c r="H1101" s="7"/>
      <c r="I1101" s="9">
        <f t="shared" si="199"/>
        <v>96</v>
      </c>
      <c r="J1101" s="9">
        <f t="shared" si="200"/>
        <v>48</v>
      </c>
      <c r="K1101" s="94" t="s">
        <v>1436</v>
      </c>
      <c r="L1101" s="11" t="s">
        <v>1081</v>
      </c>
      <c r="M1101" s="11"/>
      <c r="N1101" s="11"/>
      <c r="O1101" s="11"/>
      <c r="P1101" s="121"/>
      <c r="Q1101" s="121"/>
      <c r="R1101" s="11"/>
      <c r="S1101" s="11" t="s">
        <v>1181</v>
      </c>
      <c r="T1101" s="157"/>
    </row>
    <row r="1102" spans="1:20" x14ac:dyDescent="0.2">
      <c r="A1102" s="33" t="s">
        <v>880</v>
      </c>
      <c r="B1102" s="7">
        <f t="shared" si="201"/>
        <v>32193</v>
      </c>
      <c r="C1102" s="7">
        <f t="shared" si="198"/>
        <v>32240</v>
      </c>
      <c r="D1102" s="9" t="s">
        <v>895</v>
      </c>
      <c r="E1102" s="8" t="s">
        <v>555</v>
      </c>
      <c r="F1102" s="7">
        <v>24</v>
      </c>
      <c r="G1102" s="7">
        <v>2</v>
      </c>
      <c r="H1102" s="7"/>
      <c r="I1102" s="9">
        <f t="shared" si="199"/>
        <v>96</v>
      </c>
      <c r="J1102" s="9">
        <f t="shared" si="200"/>
        <v>48</v>
      </c>
      <c r="K1102" s="94" t="s">
        <v>1436</v>
      </c>
      <c r="L1102" s="11" t="s">
        <v>1081</v>
      </c>
      <c r="M1102" s="11"/>
      <c r="N1102" s="11"/>
      <c r="O1102" s="11"/>
      <c r="P1102" s="121"/>
      <c r="Q1102" s="121"/>
      <c r="R1102" s="11"/>
      <c r="S1102" s="11" t="s">
        <v>1181</v>
      </c>
      <c r="T1102" s="157"/>
    </row>
    <row r="1103" spans="1:20" x14ac:dyDescent="0.2">
      <c r="A1103" s="33" t="s">
        <v>880</v>
      </c>
      <c r="B1103" s="7">
        <f t="shared" si="201"/>
        <v>32241</v>
      </c>
      <c r="C1103" s="7">
        <f t="shared" si="198"/>
        <v>32288</v>
      </c>
      <c r="D1103" s="9" t="s">
        <v>895</v>
      </c>
      <c r="E1103" s="8" t="s">
        <v>556</v>
      </c>
      <c r="F1103" s="7">
        <v>24</v>
      </c>
      <c r="G1103" s="7">
        <v>2</v>
      </c>
      <c r="H1103" s="7"/>
      <c r="I1103" s="9">
        <f t="shared" si="199"/>
        <v>96</v>
      </c>
      <c r="J1103" s="9">
        <f t="shared" si="200"/>
        <v>48</v>
      </c>
      <c r="K1103" s="94" t="s">
        <v>1436</v>
      </c>
      <c r="L1103" s="11" t="s">
        <v>1081</v>
      </c>
      <c r="M1103" s="11"/>
      <c r="N1103" s="11"/>
      <c r="O1103" s="11"/>
      <c r="P1103" s="121"/>
      <c r="Q1103" s="121"/>
      <c r="R1103" s="11"/>
      <c r="S1103" s="11" t="s">
        <v>1181</v>
      </c>
      <c r="T1103" s="157"/>
    </row>
    <row r="1104" spans="1:20" x14ac:dyDescent="0.2">
      <c r="A1104" s="33" t="s">
        <v>880</v>
      </c>
      <c r="B1104" s="7">
        <f t="shared" si="201"/>
        <v>32289</v>
      </c>
      <c r="C1104" s="7">
        <f t="shared" si="198"/>
        <v>32336</v>
      </c>
      <c r="D1104" s="9" t="s">
        <v>895</v>
      </c>
      <c r="E1104" s="8" t="s">
        <v>557</v>
      </c>
      <c r="F1104" s="7">
        <v>24</v>
      </c>
      <c r="G1104" s="7">
        <v>2</v>
      </c>
      <c r="H1104" s="7"/>
      <c r="I1104" s="9">
        <f t="shared" si="199"/>
        <v>96</v>
      </c>
      <c r="J1104" s="9">
        <f t="shared" si="200"/>
        <v>48</v>
      </c>
      <c r="K1104" s="94" t="s">
        <v>1436</v>
      </c>
      <c r="L1104" s="11" t="s">
        <v>1081</v>
      </c>
      <c r="M1104" s="11"/>
      <c r="N1104" s="11"/>
      <c r="O1104" s="11"/>
      <c r="P1104" s="121"/>
      <c r="Q1104" s="121"/>
      <c r="R1104" s="11"/>
      <c r="S1104" s="11" t="s">
        <v>1181</v>
      </c>
      <c r="T1104" s="157"/>
    </row>
    <row r="1105" spans="1:20" x14ac:dyDescent="0.2">
      <c r="A1105" s="33" t="s">
        <v>880</v>
      </c>
      <c r="B1105" s="7">
        <f t="shared" si="201"/>
        <v>32337</v>
      </c>
      <c r="C1105" s="7">
        <f t="shared" si="198"/>
        <v>32384</v>
      </c>
      <c r="D1105" s="9" t="s">
        <v>895</v>
      </c>
      <c r="E1105" s="8" t="s">
        <v>558</v>
      </c>
      <c r="F1105" s="7">
        <v>24</v>
      </c>
      <c r="G1105" s="7">
        <v>2</v>
      </c>
      <c r="H1105" s="7"/>
      <c r="I1105" s="9">
        <f t="shared" si="199"/>
        <v>96</v>
      </c>
      <c r="J1105" s="9">
        <f t="shared" si="200"/>
        <v>48</v>
      </c>
      <c r="K1105" s="94" t="s">
        <v>1436</v>
      </c>
      <c r="L1105" s="11" t="s">
        <v>1081</v>
      </c>
      <c r="M1105" s="11"/>
      <c r="N1105" s="11"/>
      <c r="O1105" s="11"/>
      <c r="P1105" s="121"/>
      <c r="Q1105" s="121"/>
      <c r="R1105" s="11"/>
      <c r="S1105" s="11" t="s">
        <v>1181</v>
      </c>
      <c r="T1105" s="157"/>
    </row>
    <row r="1106" spans="1:20" x14ac:dyDescent="0.2">
      <c r="A1106" s="33" t="s">
        <v>880</v>
      </c>
      <c r="B1106" s="7">
        <f t="shared" si="201"/>
        <v>32385</v>
      </c>
      <c r="C1106" s="7">
        <f t="shared" si="198"/>
        <v>32432</v>
      </c>
      <c r="D1106" s="9" t="s">
        <v>895</v>
      </c>
      <c r="E1106" s="8" t="s">
        <v>559</v>
      </c>
      <c r="F1106" s="7">
        <v>24</v>
      </c>
      <c r="G1106" s="7">
        <v>2</v>
      </c>
      <c r="H1106" s="7"/>
      <c r="I1106" s="9">
        <f t="shared" si="199"/>
        <v>96</v>
      </c>
      <c r="J1106" s="9">
        <f t="shared" si="200"/>
        <v>48</v>
      </c>
      <c r="K1106" s="94" t="s">
        <v>1436</v>
      </c>
      <c r="L1106" s="11" t="s">
        <v>1081</v>
      </c>
      <c r="M1106" s="11"/>
      <c r="N1106" s="11"/>
      <c r="O1106" s="11"/>
      <c r="P1106" s="121"/>
      <c r="Q1106" s="121"/>
      <c r="R1106" s="11"/>
      <c r="S1106" s="11" t="s">
        <v>1181</v>
      </c>
      <c r="T1106" s="157"/>
    </row>
    <row r="1107" spans="1:20" x14ac:dyDescent="0.2">
      <c r="A1107" s="33" t="s">
        <v>880</v>
      </c>
      <c r="B1107" s="7">
        <f t="shared" si="201"/>
        <v>32433</v>
      </c>
      <c r="C1107" s="7">
        <f t="shared" si="198"/>
        <v>32480</v>
      </c>
      <c r="D1107" s="9" t="s">
        <v>895</v>
      </c>
      <c r="E1107" s="8" t="s">
        <v>560</v>
      </c>
      <c r="F1107" s="7">
        <v>24</v>
      </c>
      <c r="G1107" s="7">
        <v>2</v>
      </c>
      <c r="H1107" s="7"/>
      <c r="I1107" s="9">
        <f t="shared" si="199"/>
        <v>96</v>
      </c>
      <c r="J1107" s="9">
        <f t="shared" si="200"/>
        <v>48</v>
      </c>
      <c r="K1107" s="94" t="s">
        <v>1436</v>
      </c>
      <c r="L1107" s="11" t="s">
        <v>1081</v>
      </c>
      <c r="M1107" s="11"/>
      <c r="N1107" s="11"/>
      <c r="O1107" s="11"/>
      <c r="P1107" s="121"/>
      <c r="Q1107" s="121"/>
      <c r="R1107" s="11"/>
      <c r="S1107" s="11" t="s">
        <v>1181</v>
      </c>
      <c r="T1107" s="157"/>
    </row>
    <row r="1108" spans="1:20" x14ac:dyDescent="0.2">
      <c r="A1108" s="33" t="s">
        <v>880</v>
      </c>
      <c r="B1108" s="7">
        <f t="shared" si="201"/>
        <v>32481</v>
      </c>
      <c r="C1108" s="7">
        <f t="shared" si="198"/>
        <v>32528</v>
      </c>
      <c r="D1108" s="9" t="s">
        <v>895</v>
      </c>
      <c r="E1108" s="8" t="s">
        <v>561</v>
      </c>
      <c r="F1108" s="7">
        <v>24</v>
      </c>
      <c r="G1108" s="7">
        <v>2</v>
      </c>
      <c r="H1108" s="7"/>
      <c r="I1108" s="9">
        <f t="shared" si="199"/>
        <v>96</v>
      </c>
      <c r="J1108" s="9">
        <f t="shared" si="200"/>
        <v>48</v>
      </c>
      <c r="K1108" s="94" t="s">
        <v>1436</v>
      </c>
      <c r="L1108" s="11" t="s">
        <v>1081</v>
      </c>
      <c r="M1108" s="11"/>
      <c r="N1108" s="11"/>
      <c r="O1108" s="11"/>
      <c r="P1108" s="121"/>
      <c r="Q1108" s="121"/>
      <c r="R1108" s="11"/>
      <c r="S1108" s="11" t="s">
        <v>1181</v>
      </c>
      <c r="T1108" s="157"/>
    </row>
    <row r="1109" spans="1:20" x14ac:dyDescent="0.2">
      <c r="A1109" s="33" t="s">
        <v>880</v>
      </c>
      <c r="B1109" s="7">
        <f t="shared" si="201"/>
        <v>32529</v>
      </c>
      <c r="C1109" s="7">
        <f t="shared" si="198"/>
        <v>32576</v>
      </c>
      <c r="D1109" s="9" t="s">
        <v>895</v>
      </c>
      <c r="E1109" s="8" t="s">
        <v>844</v>
      </c>
      <c r="F1109" s="7">
        <v>24</v>
      </c>
      <c r="G1109" s="7">
        <v>2</v>
      </c>
      <c r="H1109" s="7"/>
      <c r="I1109" s="9">
        <f t="shared" si="199"/>
        <v>96</v>
      </c>
      <c r="J1109" s="9">
        <f t="shared" si="200"/>
        <v>48</v>
      </c>
      <c r="K1109" s="94" t="s">
        <v>1436</v>
      </c>
      <c r="L1109" s="11" t="s">
        <v>1081</v>
      </c>
      <c r="M1109" s="11"/>
      <c r="N1109" s="11"/>
      <c r="O1109" s="11"/>
      <c r="P1109" s="121"/>
      <c r="Q1109" s="121"/>
      <c r="R1109" s="11"/>
      <c r="S1109" s="11" t="s">
        <v>1181</v>
      </c>
      <c r="T1109" s="157"/>
    </row>
    <row r="1110" spans="1:20" x14ac:dyDescent="0.2">
      <c r="A1110" s="33" t="s">
        <v>880</v>
      </c>
      <c r="B1110" s="7">
        <f t="shared" si="201"/>
        <v>32577</v>
      </c>
      <c r="C1110" s="7">
        <f t="shared" si="198"/>
        <v>32624</v>
      </c>
      <c r="D1110" s="9" t="s">
        <v>895</v>
      </c>
      <c r="E1110" s="8" t="s">
        <v>845</v>
      </c>
      <c r="F1110" s="7">
        <v>24</v>
      </c>
      <c r="G1110" s="7">
        <v>2</v>
      </c>
      <c r="H1110" s="7"/>
      <c r="I1110" s="9">
        <f t="shared" si="199"/>
        <v>96</v>
      </c>
      <c r="J1110" s="9">
        <f t="shared" si="200"/>
        <v>48</v>
      </c>
      <c r="K1110" s="94" t="s">
        <v>1436</v>
      </c>
      <c r="L1110" s="11" t="s">
        <v>1081</v>
      </c>
      <c r="M1110" s="11"/>
      <c r="N1110" s="11"/>
      <c r="O1110" s="11"/>
      <c r="P1110" s="121"/>
      <c r="Q1110" s="121"/>
      <c r="R1110" s="11"/>
      <c r="S1110" s="11" t="s">
        <v>1181</v>
      </c>
      <c r="T1110" s="157"/>
    </row>
    <row r="1111" spans="1:20" x14ac:dyDescent="0.2">
      <c r="A1111" s="33" t="s">
        <v>880</v>
      </c>
      <c r="B1111" s="7">
        <f t="shared" si="201"/>
        <v>32625</v>
      </c>
      <c r="C1111" s="7">
        <f t="shared" si="198"/>
        <v>32672</v>
      </c>
      <c r="D1111" s="9" t="s">
        <v>895</v>
      </c>
      <c r="E1111" s="8" t="s">
        <v>846</v>
      </c>
      <c r="F1111" s="7">
        <v>24</v>
      </c>
      <c r="G1111" s="7">
        <v>2</v>
      </c>
      <c r="H1111" s="7"/>
      <c r="I1111" s="9">
        <f t="shared" si="199"/>
        <v>96</v>
      </c>
      <c r="J1111" s="9">
        <f t="shared" si="200"/>
        <v>48</v>
      </c>
      <c r="K1111" s="94" t="s">
        <v>1436</v>
      </c>
      <c r="L1111" s="11" t="s">
        <v>1081</v>
      </c>
      <c r="M1111" s="11"/>
      <c r="N1111" s="11"/>
      <c r="O1111" s="11"/>
      <c r="P1111" s="121"/>
      <c r="Q1111" s="121"/>
      <c r="R1111" s="11"/>
      <c r="S1111" s="11" t="s">
        <v>1181</v>
      </c>
      <c r="T1111" s="157"/>
    </row>
    <row r="1112" spans="1:20" x14ac:dyDescent="0.2">
      <c r="A1112" s="33" t="s">
        <v>880</v>
      </c>
      <c r="B1112" s="7">
        <f t="shared" si="201"/>
        <v>32673</v>
      </c>
      <c r="C1112" s="7">
        <f t="shared" si="198"/>
        <v>32720</v>
      </c>
      <c r="D1112" s="9" t="s">
        <v>895</v>
      </c>
      <c r="E1112" s="8" t="s">
        <v>847</v>
      </c>
      <c r="F1112" s="7">
        <v>24</v>
      </c>
      <c r="G1112" s="7">
        <v>2</v>
      </c>
      <c r="H1112" s="7"/>
      <c r="I1112" s="9">
        <f t="shared" si="199"/>
        <v>96</v>
      </c>
      <c r="J1112" s="9">
        <f t="shared" si="200"/>
        <v>48</v>
      </c>
      <c r="K1112" s="94" t="s">
        <v>1436</v>
      </c>
      <c r="L1112" s="11" t="s">
        <v>1081</v>
      </c>
      <c r="M1112" s="11"/>
      <c r="N1112" s="11"/>
      <c r="O1112" s="11"/>
      <c r="P1112" s="121"/>
      <c r="Q1112" s="121"/>
      <c r="R1112" s="11"/>
      <c r="S1112" s="11" t="s">
        <v>1181</v>
      </c>
      <c r="T1112" s="157"/>
    </row>
    <row r="1113" spans="1:20" x14ac:dyDescent="0.2">
      <c r="A1113" s="33" t="s">
        <v>880</v>
      </c>
      <c r="B1113" s="7">
        <f t="shared" si="201"/>
        <v>32721</v>
      </c>
      <c r="C1113" s="7">
        <f t="shared" si="198"/>
        <v>32768</v>
      </c>
      <c r="D1113" s="9" t="s">
        <v>895</v>
      </c>
      <c r="E1113" s="8" t="s">
        <v>848</v>
      </c>
      <c r="F1113" s="7">
        <v>24</v>
      </c>
      <c r="G1113" s="7">
        <v>2</v>
      </c>
      <c r="H1113" s="7"/>
      <c r="I1113" s="9">
        <f t="shared" si="199"/>
        <v>96</v>
      </c>
      <c r="J1113" s="9">
        <f t="shared" si="200"/>
        <v>48</v>
      </c>
      <c r="K1113" s="94" t="s">
        <v>1436</v>
      </c>
      <c r="L1113" s="11" t="s">
        <v>1081</v>
      </c>
      <c r="M1113" s="11"/>
      <c r="N1113" s="11"/>
      <c r="O1113" s="11"/>
      <c r="P1113" s="121"/>
      <c r="Q1113" s="121"/>
      <c r="R1113" s="11"/>
      <c r="S1113" s="11" t="s">
        <v>1181</v>
      </c>
      <c r="T1113" s="157"/>
    </row>
    <row r="1114" spans="1:20" x14ac:dyDescent="0.2">
      <c r="A1114" s="33"/>
      <c r="B1114" s="47">
        <f>B1115</f>
        <v>34901</v>
      </c>
      <c r="C1114" s="26"/>
      <c r="D1114" s="28"/>
      <c r="E1114" s="26" t="s">
        <v>255</v>
      </c>
      <c r="F1114" s="26"/>
      <c r="G1114" s="26"/>
      <c r="H1114" s="26"/>
      <c r="I1114" s="28"/>
      <c r="J1114" s="28"/>
      <c r="K1114" s="27"/>
      <c r="L1114" s="50"/>
      <c r="M1114" s="50"/>
      <c r="N1114" s="50"/>
      <c r="O1114" s="50"/>
      <c r="P1114" s="121"/>
      <c r="Q1114" s="121"/>
      <c r="R1114" s="146"/>
      <c r="S1114" s="146"/>
      <c r="T1114" s="158"/>
    </row>
    <row r="1115" spans="1:20" x14ac:dyDescent="0.2">
      <c r="A1115" s="33" t="s">
        <v>880</v>
      </c>
      <c r="B1115" s="7">
        <v>34901</v>
      </c>
      <c r="C1115" s="7">
        <f t="shared" ref="C1115:C1125" si="202">B1115+($F1115*$G1115)-1</f>
        <v>34901</v>
      </c>
      <c r="D1115" s="9" t="s">
        <v>895</v>
      </c>
      <c r="E1115" s="8" t="s">
        <v>543</v>
      </c>
      <c r="F1115" s="7">
        <v>1</v>
      </c>
      <c r="G1115" s="7">
        <v>1</v>
      </c>
      <c r="H1115" s="7"/>
      <c r="I1115" s="9">
        <f t="shared" ref="I1115:I1121" si="203">F1115*2*G1115</f>
        <v>2</v>
      </c>
      <c r="J1115" s="9">
        <f t="shared" ref="J1115:J1124" si="204">C1115-B1115+1</f>
        <v>1</v>
      </c>
      <c r="K1115" s="57" t="s">
        <v>1245</v>
      </c>
      <c r="L1115" s="11" t="s">
        <v>797</v>
      </c>
      <c r="M1115" s="11"/>
      <c r="N1115" s="11"/>
      <c r="O1115" s="11"/>
      <c r="P1115" s="123"/>
      <c r="Q1115" s="125"/>
      <c r="R1115" s="11"/>
      <c r="S1115" s="11" t="s">
        <v>1181</v>
      </c>
      <c r="T1115" s="157"/>
    </row>
    <row r="1116" spans="1:20" x14ac:dyDescent="0.2">
      <c r="A1116" s="33" t="s">
        <v>880</v>
      </c>
      <c r="B1116" s="7">
        <f t="shared" ref="B1116:B1121" si="205">C1115+1</f>
        <v>34902</v>
      </c>
      <c r="C1116" s="7">
        <f t="shared" si="202"/>
        <v>34902</v>
      </c>
      <c r="D1116" s="9" t="s">
        <v>895</v>
      </c>
      <c r="E1116" s="8" t="s">
        <v>363</v>
      </c>
      <c r="F1116" s="7">
        <v>1</v>
      </c>
      <c r="G1116" s="7">
        <v>1</v>
      </c>
      <c r="H1116" s="7"/>
      <c r="I1116" s="9">
        <f t="shared" si="203"/>
        <v>2</v>
      </c>
      <c r="J1116" s="9">
        <f t="shared" si="204"/>
        <v>1</v>
      </c>
      <c r="K1116" s="57" t="s">
        <v>363</v>
      </c>
      <c r="L1116" s="11" t="s">
        <v>797</v>
      </c>
      <c r="M1116" s="11"/>
      <c r="N1116" s="11"/>
      <c r="O1116" s="11"/>
      <c r="P1116" s="123"/>
      <c r="Q1116" s="125"/>
      <c r="R1116" s="11"/>
      <c r="S1116" s="11" t="s">
        <v>1181</v>
      </c>
      <c r="T1116" s="157"/>
    </row>
    <row r="1117" spans="1:20" x14ac:dyDescent="0.2">
      <c r="A1117" s="33" t="s">
        <v>880</v>
      </c>
      <c r="B1117" s="7">
        <f t="shared" si="205"/>
        <v>34903</v>
      </c>
      <c r="C1117" s="7">
        <f t="shared" si="202"/>
        <v>34903</v>
      </c>
      <c r="D1117" s="9" t="s">
        <v>895</v>
      </c>
      <c r="E1117" s="8" t="s">
        <v>364</v>
      </c>
      <c r="F1117" s="7">
        <v>1</v>
      </c>
      <c r="G1117" s="7">
        <v>1</v>
      </c>
      <c r="H1117" s="7"/>
      <c r="I1117" s="9">
        <f t="shared" si="203"/>
        <v>2</v>
      </c>
      <c r="J1117" s="9">
        <f t="shared" si="204"/>
        <v>1</v>
      </c>
      <c r="K1117" s="274" t="s">
        <v>1246</v>
      </c>
      <c r="L1117" s="11" t="s">
        <v>797</v>
      </c>
      <c r="M1117" s="11"/>
      <c r="N1117" s="11"/>
      <c r="O1117" s="11"/>
      <c r="P1117" s="123"/>
      <c r="Q1117" s="125"/>
      <c r="R1117" s="11"/>
      <c r="S1117" s="11" t="s">
        <v>1181</v>
      </c>
      <c r="T1117" s="157"/>
    </row>
    <row r="1118" spans="1:20" ht="22.5" x14ac:dyDescent="0.2">
      <c r="A1118" s="33" t="s">
        <v>880</v>
      </c>
      <c r="B1118" s="7">
        <f>C1117+1</f>
        <v>34904</v>
      </c>
      <c r="C1118" s="7">
        <f t="shared" si="202"/>
        <v>34904</v>
      </c>
      <c r="D1118" s="9" t="s">
        <v>895</v>
      </c>
      <c r="E1118" s="8" t="s">
        <v>1550</v>
      </c>
      <c r="F1118" s="7">
        <v>1</v>
      </c>
      <c r="G1118" s="7">
        <v>1</v>
      </c>
      <c r="H1118" s="7"/>
      <c r="I1118" s="9">
        <f t="shared" si="203"/>
        <v>2</v>
      </c>
      <c r="J1118" s="9">
        <f t="shared" si="204"/>
        <v>1</v>
      </c>
      <c r="K1118" s="165" t="s">
        <v>1551</v>
      </c>
      <c r="L1118" s="11" t="s">
        <v>797</v>
      </c>
      <c r="M1118" s="11"/>
      <c r="N1118" s="11"/>
      <c r="O1118" s="11"/>
      <c r="P1118" s="123"/>
      <c r="Q1118" s="125"/>
      <c r="R1118" s="11"/>
      <c r="S1118" s="11" t="s">
        <v>1181</v>
      </c>
      <c r="T1118" s="157"/>
    </row>
    <row r="1119" spans="1:20" x14ac:dyDescent="0.2">
      <c r="A1119" s="33" t="s">
        <v>880</v>
      </c>
      <c r="B1119" s="7">
        <f>C1118+1</f>
        <v>34905</v>
      </c>
      <c r="C1119" s="7">
        <f t="shared" si="202"/>
        <v>34905</v>
      </c>
      <c r="D1119" s="9" t="s">
        <v>895</v>
      </c>
      <c r="E1119" s="8" t="s">
        <v>708</v>
      </c>
      <c r="F1119" s="7">
        <v>1</v>
      </c>
      <c r="G1119" s="7">
        <v>1</v>
      </c>
      <c r="H1119" s="7"/>
      <c r="I1119" s="9">
        <f t="shared" si="203"/>
        <v>2</v>
      </c>
      <c r="J1119" s="9">
        <f t="shared" si="204"/>
        <v>1</v>
      </c>
      <c r="K1119" s="57" t="s">
        <v>711</v>
      </c>
      <c r="L1119" s="11" t="s">
        <v>797</v>
      </c>
      <c r="M1119" s="11"/>
      <c r="N1119" s="11"/>
      <c r="O1119" s="11"/>
      <c r="P1119" s="10"/>
      <c r="Q1119" s="10"/>
      <c r="R1119" s="11"/>
      <c r="S1119" s="11" t="s">
        <v>1181</v>
      </c>
      <c r="T1119" s="117"/>
    </row>
    <row r="1120" spans="1:20" x14ac:dyDescent="0.2">
      <c r="A1120" s="33" t="s">
        <v>880</v>
      </c>
      <c r="B1120" s="7">
        <f t="shared" si="205"/>
        <v>34906</v>
      </c>
      <c r="C1120" s="7">
        <f t="shared" si="202"/>
        <v>34906</v>
      </c>
      <c r="D1120" s="9" t="s">
        <v>895</v>
      </c>
      <c r="E1120" s="8" t="s">
        <v>709</v>
      </c>
      <c r="F1120" s="7">
        <v>1</v>
      </c>
      <c r="G1120" s="7">
        <v>1</v>
      </c>
      <c r="H1120" s="7"/>
      <c r="I1120" s="9">
        <f t="shared" si="203"/>
        <v>2</v>
      </c>
      <c r="J1120" s="9">
        <f t="shared" si="204"/>
        <v>1</v>
      </c>
      <c r="K1120" s="57" t="s">
        <v>711</v>
      </c>
      <c r="L1120" s="11" t="s">
        <v>797</v>
      </c>
      <c r="M1120" s="11"/>
      <c r="N1120" s="11"/>
      <c r="O1120" s="11"/>
      <c r="P1120" s="10"/>
      <c r="Q1120" s="10"/>
      <c r="R1120" s="11"/>
      <c r="S1120" s="11" t="s">
        <v>1181</v>
      </c>
      <c r="T1120" s="117"/>
    </row>
    <row r="1121" spans="1:20" x14ac:dyDescent="0.2">
      <c r="A1121" s="33" t="s">
        <v>880</v>
      </c>
      <c r="B1121" s="7">
        <f t="shared" si="205"/>
        <v>34907</v>
      </c>
      <c r="C1121" s="7">
        <f t="shared" si="202"/>
        <v>34907</v>
      </c>
      <c r="D1121" s="9" t="s">
        <v>895</v>
      </c>
      <c r="E1121" s="8" t="s">
        <v>710</v>
      </c>
      <c r="F1121" s="7">
        <v>1</v>
      </c>
      <c r="G1121" s="7">
        <v>1</v>
      </c>
      <c r="H1121" s="7"/>
      <c r="I1121" s="9">
        <f t="shared" si="203"/>
        <v>2</v>
      </c>
      <c r="J1121" s="9">
        <f t="shared" si="204"/>
        <v>1</v>
      </c>
      <c r="K1121" s="57" t="s">
        <v>711</v>
      </c>
      <c r="L1121" s="11" t="s">
        <v>797</v>
      </c>
      <c r="M1121" s="11"/>
      <c r="N1121" s="11"/>
      <c r="O1121" s="11"/>
      <c r="P1121" s="10"/>
      <c r="Q1121" s="10"/>
      <c r="R1121" s="11"/>
      <c r="S1121" s="11" t="s">
        <v>1181</v>
      </c>
      <c r="T1121" s="117"/>
    </row>
    <row r="1122" spans="1:20" x14ac:dyDescent="0.2">
      <c r="A1122" s="33" t="s">
        <v>880</v>
      </c>
      <c r="B1122" s="7">
        <f t="shared" ref="B1122:B1127" si="206">C1121+1</f>
        <v>34908</v>
      </c>
      <c r="C1122" s="7">
        <f t="shared" si="202"/>
        <v>34908</v>
      </c>
      <c r="D1122" s="9" t="s">
        <v>895</v>
      </c>
      <c r="E1122" s="8" t="s">
        <v>955</v>
      </c>
      <c r="F1122" s="17">
        <v>1</v>
      </c>
      <c r="G1122" s="7">
        <v>1</v>
      </c>
      <c r="H1122" s="7"/>
      <c r="I1122" s="9">
        <f>F1122*G1122*2</f>
        <v>2</v>
      </c>
      <c r="J1122" s="9">
        <f t="shared" si="204"/>
        <v>1</v>
      </c>
      <c r="K1122" s="165" t="s">
        <v>1117</v>
      </c>
      <c r="L1122" s="11" t="s">
        <v>797</v>
      </c>
      <c r="M1122" s="11"/>
      <c r="N1122" s="11"/>
      <c r="O1122" s="11"/>
      <c r="P1122" s="121"/>
      <c r="Q1122" s="121"/>
      <c r="R1122" s="11"/>
      <c r="S1122" s="11" t="s">
        <v>1181</v>
      </c>
      <c r="T1122" s="117"/>
    </row>
    <row r="1123" spans="1:20" x14ac:dyDescent="0.2">
      <c r="A1123" s="33" t="s">
        <v>880</v>
      </c>
      <c r="B1123" s="7">
        <f t="shared" si="206"/>
        <v>34909</v>
      </c>
      <c r="C1123" s="7">
        <f t="shared" si="202"/>
        <v>34909</v>
      </c>
      <c r="D1123" s="9" t="s">
        <v>895</v>
      </c>
      <c r="E1123" s="8" t="s">
        <v>858</v>
      </c>
      <c r="F1123" s="17">
        <v>1</v>
      </c>
      <c r="G1123" s="7">
        <v>1</v>
      </c>
      <c r="H1123" s="7"/>
      <c r="I1123" s="9">
        <f>F1123*G1123*2</f>
        <v>2</v>
      </c>
      <c r="J1123" s="9">
        <f t="shared" si="204"/>
        <v>1</v>
      </c>
      <c r="K1123" s="165" t="s">
        <v>860</v>
      </c>
      <c r="L1123" s="11" t="s">
        <v>797</v>
      </c>
      <c r="M1123" s="11"/>
      <c r="N1123" s="11"/>
      <c r="O1123" s="11"/>
      <c r="P1123" s="121"/>
      <c r="Q1123" s="121"/>
      <c r="R1123" s="11"/>
      <c r="S1123" s="11" t="s">
        <v>1181</v>
      </c>
      <c r="T1123" s="117"/>
    </row>
    <row r="1124" spans="1:20" x14ac:dyDescent="0.2">
      <c r="A1124" s="33" t="s">
        <v>880</v>
      </c>
      <c r="B1124" s="7">
        <f t="shared" si="206"/>
        <v>34910</v>
      </c>
      <c r="C1124" s="7">
        <f t="shared" si="202"/>
        <v>34910</v>
      </c>
      <c r="D1124" s="9" t="s">
        <v>895</v>
      </c>
      <c r="E1124" s="8" t="s">
        <v>859</v>
      </c>
      <c r="F1124" s="17">
        <v>1</v>
      </c>
      <c r="G1124" s="7">
        <v>1</v>
      </c>
      <c r="H1124" s="7"/>
      <c r="I1124" s="9">
        <f>F1124*G1124*2</f>
        <v>2</v>
      </c>
      <c r="J1124" s="9">
        <f t="shared" si="204"/>
        <v>1</v>
      </c>
      <c r="K1124" s="165" t="s">
        <v>861</v>
      </c>
      <c r="L1124" s="11" t="s">
        <v>797</v>
      </c>
      <c r="M1124" s="11"/>
      <c r="N1124" s="11"/>
      <c r="O1124" s="11"/>
      <c r="P1124" s="121"/>
      <c r="Q1124" s="121"/>
      <c r="R1124" s="11"/>
      <c r="S1124" s="11" t="s">
        <v>1181</v>
      </c>
      <c r="T1124" s="117"/>
    </row>
    <row r="1125" spans="1:20" x14ac:dyDescent="0.2">
      <c r="A1125" s="33" t="s">
        <v>880</v>
      </c>
      <c r="B1125" s="7">
        <f t="shared" si="206"/>
        <v>34911</v>
      </c>
      <c r="C1125" s="7">
        <f t="shared" si="202"/>
        <v>34911</v>
      </c>
      <c r="D1125" s="9" t="s">
        <v>895</v>
      </c>
      <c r="E1125" s="8" t="s">
        <v>1698</v>
      </c>
      <c r="F1125" s="17">
        <v>1</v>
      </c>
      <c r="G1125" s="7">
        <v>1</v>
      </c>
      <c r="H1125" s="7"/>
      <c r="I1125" s="9">
        <v>2</v>
      </c>
      <c r="J1125" s="9">
        <v>1</v>
      </c>
      <c r="K1125" s="165" t="s">
        <v>1116</v>
      </c>
      <c r="L1125" s="11" t="s">
        <v>797</v>
      </c>
      <c r="M1125" s="11"/>
      <c r="N1125" s="11"/>
      <c r="O1125" s="11"/>
      <c r="P1125" s="121"/>
      <c r="Q1125" s="121"/>
      <c r="R1125" s="11"/>
      <c r="S1125" s="11" t="s">
        <v>1181</v>
      </c>
      <c r="T1125" s="117"/>
    </row>
    <row r="1126" spans="1:20" x14ac:dyDescent="0.2">
      <c r="A1126" s="33" t="s">
        <v>880</v>
      </c>
      <c r="B1126" s="7">
        <f t="shared" si="206"/>
        <v>34912</v>
      </c>
      <c r="C1126" s="7">
        <f>B1126+($F1126*$G1126)-1</f>
        <v>34912</v>
      </c>
      <c r="D1126" s="9" t="s">
        <v>895</v>
      </c>
      <c r="E1126" s="8" t="s">
        <v>1694</v>
      </c>
      <c r="F1126" s="17">
        <v>1</v>
      </c>
      <c r="G1126" s="7">
        <v>1</v>
      </c>
      <c r="H1126" s="7"/>
      <c r="I1126" s="9">
        <v>2</v>
      </c>
      <c r="J1126" s="9">
        <v>1</v>
      </c>
      <c r="K1126" s="165" t="s">
        <v>1695</v>
      </c>
      <c r="L1126" s="11" t="s">
        <v>797</v>
      </c>
      <c r="M1126" s="11"/>
      <c r="N1126" s="11"/>
      <c r="O1126" s="11"/>
      <c r="P1126" s="121"/>
      <c r="Q1126" s="121"/>
      <c r="R1126" s="11"/>
      <c r="S1126" s="11" t="s">
        <v>1181</v>
      </c>
      <c r="T1126" s="117"/>
    </row>
    <row r="1127" spans="1:20" x14ac:dyDescent="0.2">
      <c r="A1127" s="33" t="s">
        <v>880</v>
      </c>
      <c r="B1127" s="7">
        <f t="shared" si="206"/>
        <v>34913</v>
      </c>
      <c r="C1127" s="7">
        <f>B1127+($F1127*$G1127)-1</f>
        <v>34913</v>
      </c>
      <c r="D1127" s="9" t="s">
        <v>895</v>
      </c>
      <c r="E1127" s="8" t="s">
        <v>1709</v>
      </c>
      <c r="F1127" s="17">
        <v>1</v>
      </c>
      <c r="G1127" s="7">
        <v>1</v>
      </c>
      <c r="H1127" s="7"/>
      <c r="I1127" s="9">
        <f>F1127*G1127*2</f>
        <v>2</v>
      </c>
      <c r="J1127" s="9">
        <f>C1127-B1127+1</f>
        <v>1</v>
      </c>
      <c r="K1127" s="1" t="s">
        <v>1710</v>
      </c>
      <c r="L1127" s="11" t="s">
        <v>793</v>
      </c>
      <c r="M1127" s="11"/>
      <c r="N1127" s="11"/>
      <c r="O1127" s="11"/>
      <c r="P1127" s="10"/>
      <c r="Q1127" s="10"/>
      <c r="R1127" s="11"/>
      <c r="S1127" s="11" t="s">
        <v>1181</v>
      </c>
      <c r="T1127" s="117"/>
    </row>
    <row r="1128" spans="1:20" x14ac:dyDescent="0.2">
      <c r="A1128" s="33"/>
      <c r="B1128" s="47">
        <f>B1129</f>
        <v>35001</v>
      </c>
      <c r="C1128" s="28"/>
      <c r="D1128" s="28"/>
      <c r="E1128" s="26" t="s">
        <v>155</v>
      </c>
      <c r="F1128" s="26"/>
      <c r="G1128" s="26"/>
      <c r="H1128" s="28"/>
      <c r="I1128" s="28"/>
      <c r="J1128" s="27"/>
      <c r="K1128" s="50"/>
      <c r="L1128" s="50"/>
      <c r="M1128" s="50"/>
      <c r="N1128" s="50"/>
      <c r="O1128" s="28"/>
      <c r="P1128" s="121"/>
      <c r="Q1128" s="146"/>
      <c r="R1128" s="158"/>
      <c r="S1128" s="158"/>
      <c r="T1128" s="158"/>
    </row>
    <row r="1129" spans="1:20" x14ac:dyDescent="0.2">
      <c r="A1129" s="33" t="s">
        <v>880</v>
      </c>
      <c r="B1129" s="7">
        <v>35001</v>
      </c>
      <c r="C1129" s="7">
        <f t="shared" ref="C1129:C1137" si="207">B1129+($F1129*$G1129)-1</f>
        <v>35002</v>
      </c>
      <c r="D1129" s="9" t="s">
        <v>895</v>
      </c>
      <c r="E1129" s="8" t="s">
        <v>290</v>
      </c>
      <c r="F1129" s="17">
        <v>1</v>
      </c>
      <c r="G1129" s="7">
        <v>2</v>
      </c>
      <c r="H1129" s="7"/>
      <c r="I1129" s="9">
        <f t="shared" ref="I1129:I1134" si="208">F1129*G1129*2</f>
        <v>4</v>
      </c>
      <c r="J1129" s="9">
        <f t="shared" ref="J1129:J1134" si="209">C1129-B1129+1</f>
        <v>2</v>
      </c>
      <c r="K1129" s="117" t="s">
        <v>611</v>
      </c>
      <c r="L1129" s="11" t="s">
        <v>798</v>
      </c>
      <c r="M1129" s="11"/>
      <c r="N1129" s="11"/>
      <c r="O1129" s="11"/>
      <c r="P1129" s="121"/>
      <c r="Q1129" s="121"/>
      <c r="R1129" s="11"/>
      <c r="S1129" s="11" t="s">
        <v>1181</v>
      </c>
      <c r="T1129" s="117"/>
    </row>
    <row r="1130" spans="1:20" x14ac:dyDescent="0.2">
      <c r="A1130" s="33" t="s">
        <v>880</v>
      </c>
      <c r="B1130" s="7">
        <f t="shared" ref="B1130:B1136" si="210">C1129+1</f>
        <v>35003</v>
      </c>
      <c r="C1130" s="7">
        <f t="shared" si="207"/>
        <v>35004</v>
      </c>
      <c r="D1130" s="9" t="s">
        <v>895</v>
      </c>
      <c r="E1130" s="8" t="s">
        <v>291</v>
      </c>
      <c r="F1130" s="17">
        <v>1</v>
      </c>
      <c r="G1130" s="7">
        <v>2</v>
      </c>
      <c r="H1130" s="7"/>
      <c r="I1130" s="9">
        <f t="shared" si="208"/>
        <v>4</v>
      </c>
      <c r="J1130" s="9">
        <f t="shared" si="209"/>
        <v>2</v>
      </c>
      <c r="K1130" s="117" t="s">
        <v>1929</v>
      </c>
      <c r="L1130" s="11" t="s">
        <v>798</v>
      </c>
      <c r="M1130" s="11"/>
      <c r="N1130" s="11"/>
      <c r="O1130" s="11"/>
      <c r="P1130" s="121"/>
      <c r="Q1130" s="121"/>
      <c r="R1130" s="11"/>
      <c r="S1130" s="11" t="s">
        <v>1181</v>
      </c>
      <c r="T1130" s="117"/>
    </row>
    <row r="1131" spans="1:20" x14ac:dyDescent="0.2">
      <c r="A1131" s="33" t="s">
        <v>880</v>
      </c>
      <c r="B1131" s="7">
        <f t="shared" si="210"/>
        <v>35005</v>
      </c>
      <c r="C1131" s="7">
        <f t="shared" si="207"/>
        <v>35005</v>
      </c>
      <c r="D1131" s="9" t="s">
        <v>895</v>
      </c>
      <c r="E1131" s="8" t="s">
        <v>156</v>
      </c>
      <c r="F1131" s="17">
        <v>1</v>
      </c>
      <c r="G1131" s="7">
        <v>1</v>
      </c>
      <c r="H1131" s="7"/>
      <c r="I1131" s="9">
        <f t="shared" si="208"/>
        <v>2</v>
      </c>
      <c r="J1131" s="9">
        <f t="shared" si="209"/>
        <v>1</v>
      </c>
      <c r="K1131" s="165" t="s">
        <v>157</v>
      </c>
      <c r="L1131" s="11" t="s">
        <v>798</v>
      </c>
      <c r="M1131" s="11"/>
      <c r="N1131" s="11"/>
      <c r="O1131" s="11"/>
      <c r="P1131" s="121"/>
      <c r="Q1131" s="121"/>
      <c r="R1131" s="11"/>
      <c r="S1131" s="11" t="s">
        <v>1181</v>
      </c>
      <c r="T1131" s="117"/>
    </row>
    <row r="1132" spans="1:20" ht="11.25" customHeight="1" x14ac:dyDescent="0.2">
      <c r="A1132" s="33" t="s">
        <v>880</v>
      </c>
      <c r="B1132" s="7">
        <f t="shared" si="210"/>
        <v>35006</v>
      </c>
      <c r="C1132" s="7">
        <f t="shared" si="207"/>
        <v>35008</v>
      </c>
      <c r="D1132" s="9" t="s">
        <v>895</v>
      </c>
      <c r="E1132" s="8" t="s">
        <v>292</v>
      </c>
      <c r="F1132" s="17">
        <v>1</v>
      </c>
      <c r="G1132" s="7">
        <v>3</v>
      </c>
      <c r="H1132" s="7"/>
      <c r="I1132" s="9">
        <f t="shared" si="208"/>
        <v>6</v>
      </c>
      <c r="J1132" s="9">
        <f t="shared" si="209"/>
        <v>3</v>
      </c>
      <c r="K1132" s="57" t="s">
        <v>620</v>
      </c>
      <c r="L1132" s="11" t="s">
        <v>798</v>
      </c>
      <c r="M1132" s="11"/>
      <c r="N1132" s="11"/>
      <c r="O1132" s="11"/>
      <c r="P1132" s="121"/>
      <c r="Q1132" s="121"/>
      <c r="R1132" s="11"/>
      <c r="S1132" s="11" t="s">
        <v>1181</v>
      </c>
    </row>
    <row r="1133" spans="1:20" x14ac:dyDescent="0.2">
      <c r="A1133" s="33" t="s">
        <v>880</v>
      </c>
      <c r="B1133" s="7">
        <f t="shared" si="210"/>
        <v>35009</v>
      </c>
      <c r="C1133" s="7">
        <f t="shared" si="207"/>
        <v>35011</v>
      </c>
      <c r="D1133" s="9" t="s">
        <v>895</v>
      </c>
      <c r="E1133" s="8" t="s">
        <v>362</v>
      </c>
      <c r="F1133" s="17">
        <v>1</v>
      </c>
      <c r="G1133" s="7">
        <v>3</v>
      </c>
      <c r="H1133" s="7"/>
      <c r="I1133" s="9">
        <f t="shared" si="208"/>
        <v>6</v>
      </c>
      <c r="J1133" s="9">
        <f t="shared" si="209"/>
        <v>3</v>
      </c>
      <c r="K1133" s="117" t="s">
        <v>611</v>
      </c>
      <c r="L1133" s="11" t="s">
        <v>798</v>
      </c>
      <c r="M1133" s="11"/>
      <c r="N1133" s="11"/>
      <c r="O1133" s="11"/>
      <c r="P1133" s="121"/>
      <c r="Q1133" s="121"/>
      <c r="R1133" s="11"/>
      <c r="S1133" s="11" t="s">
        <v>1181</v>
      </c>
      <c r="T1133" s="117"/>
    </row>
    <row r="1134" spans="1:20" x14ac:dyDescent="0.2">
      <c r="A1134" s="33" t="s">
        <v>880</v>
      </c>
      <c r="B1134" s="7">
        <f t="shared" si="210"/>
        <v>35012</v>
      </c>
      <c r="C1134" s="7">
        <f t="shared" si="207"/>
        <v>35012</v>
      </c>
      <c r="D1134" s="9" t="s">
        <v>895</v>
      </c>
      <c r="E1134" s="8" t="s">
        <v>1923</v>
      </c>
      <c r="F1134" s="7">
        <v>1</v>
      </c>
      <c r="G1134" s="7">
        <v>1</v>
      </c>
      <c r="H1134" s="7"/>
      <c r="I1134" s="9">
        <f t="shared" si="208"/>
        <v>2</v>
      </c>
      <c r="J1134" s="9">
        <f t="shared" si="209"/>
        <v>1</v>
      </c>
      <c r="K1134" s="12">
        <v>3500</v>
      </c>
      <c r="L1134" s="11" t="s">
        <v>798</v>
      </c>
      <c r="M1134" s="11"/>
      <c r="N1134" s="11"/>
      <c r="O1134" s="11"/>
      <c r="P1134" s="10"/>
      <c r="Q1134" s="10"/>
      <c r="R1134" s="11"/>
      <c r="S1134" s="11" t="s">
        <v>1181</v>
      </c>
    </row>
    <row r="1135" spans="1:20" x14ac:dyDescent="0.2">
      <c r="A1135" s="33"/>
      <c r="B1135" s="7">
        <f t="shared" si="210"/>
        <v>35013</v>
      </c>
      <c r="C1135" s="7">
        <f t="shared" si="207"/>
        <v>35015</v>
      </c>
      <c r="D1135" s="9" t="s">
        <v>895</v>
      </c>
      <c r="E1135" s="8" t="s">
        <v>1924</v>
      </c>
      <c r="F1135" s="7">
        <v>1</v>
      </c>
      <c r="G1135" s="7">
        <v>3</v>
      </c>
      <c r="H1135" s="7"/>
      <c r="I1135" s="9">
        <f>F1135*G1135*2</f>
        <v>6</v>
      </c>
      <c r="J1135" s="9">
        <f>C1135-B1135+1</f>
        <v>3</v>
      </c>
      <c r="K1135" s="57" t="s">
        <v>620</v>
      </c>
      <c r="L1135" s="11" t="s">
        <v>798</v>
      </c>
      <c r="M1135" s="11"/>
      <c r="N1135" s="11"/>
      <c r="O1135" s="11"/>
      <c r="P1135" s="10"/>
      <c r="Q1135" s="10"/>
      <c r="R1135" s="11"/>
      <c r="S1135" s="11"/>
    </row>
    <row r="1136" spans="1:20" x14ac:dyDescent="0.2">
      <c r="A1136" s="33"/>
      <c r="B1136" s="7">
        <f t="shared" si="210"/>
        <v>35016</v>
      </c>
      <c r="C1136" s="7">
        <f>B1136+($F1136*$G1136)-1</f>
        <v>35016</v>
      </c>
      <c r="D1136" s="9" t="s">
        <v>895</v>
      </c>
      <c r="E1136" s="8" t="s">
        <v>1944</v>
      </c>
      <c r="F1136" s="7">
        <v>1</v>
      </c>
      <c r="G1136" s="7">
        <v>1</v>
      </c>
      <c r="H1136" s="7"/>
      <c r="I1136" s="9">
        <f>F1136*G1136*2</f>
        <v>2</v>
      </c>
      <c r="J1136" s="9">
        <v>1</v>
      </c>
      <c r="K1136" s="117" t="s">
        <v>1945</v>
      </c>
      <c r="L1136" s="11" t="s">
        <v>798</v>
      </c>
      <c r="M1136" s="11"/>
      <c r="N1136" s="11"/>
      <c r="O1136" s="11"/>
      <c r="P1136" s="10"/>
      <c r="Q1136" s="10"/>
      <c r="R1136" s="11"/>
      <c r="S1136" s="11"/>
    </row>
    <row r="1137" spans="1:20" x14ac:dyDescent="0.2">
      <c r="A1137" s="33"/>
      <c r="B1137" s="7">
        <f>C1136+1</f>
        <v>35017</v>
      </c>
      <c r="C1137" s="7">
        <f t="shared" si="207"/>
        <v>35100</v>
      </c>
      <c r="D1137" s="9" t="s">
        <v>895</v>
      </c>
      <c r="E1137" s="8" t="s">
        <v>544</v>
      </c>
      <c r="F1137" s="7">
        <v>1</v>
      </c>
      <c r="G1137" s="7">
        <v>84</v>
      </c>
      <c r="H1137" s="7"/>
      <c r="I1137" s="9">
        <f>F1137*G1137*2</f>
        <v>168</v>
      </c>
      <c r="J1137" s="9">
        <f>C1137-B1137+1</f>
        <v>84</v>
      </c>
      <c r="K1137" s="56" t="s">
        <v>783</v>
      </c>
      <c r="L1137" s="11" t="s">
        <v>798</v>
      </c>
      <c r="M1137" s="11"/>
      <c r="N1137" s="11"/>
      <c r="O1137" s="11"/>
      <c r="P1137" s="10"/>
      <c r="Q1137" s="10"/>
      <c r="R1137" s="11"/>
      <c r="S1137" s="11"/>
    </row>
    <row r="1138" spans="1:20" x14ac:dyDescent="0.2">
      <c r="A1138" s="33"/>
      <c r="B1138" s="47">
        <f>B1139</f>
        <v>35201</v>
      </c>
      <c r="C1138" s="26"/>
      <c r="D1138" s="28"/>
      <c r="E1138" s="26" t="s">
        <v>220</v>
      </c>
      <c r="F1138" s="26"/>
      <c r="G1138" s="26"/>
      <c r="H1138" s="26"/>
      <c r="I1138" s="28"/>
      <c r="J1138" s="28"/>
      <c r="K1138" s="27"/>
      <c r="L1138" s="50"/>
      <c r="M1138" s="50"/>
      <c r="N1138" s="50"/>
      <c r="O1138" s="50"/>
      <c r="P1138" s="121"/>
      <c r="Q1138" s="121"/>
      <c r="R1138" s="146"/>
      <c r="S1138" s="146"/>
      <c r="T1138" s="158"/>
    </row>
    <row r="1139" spans="1:20" x14ac:dyDescent="0.2">
      <c r="A1139" s="33" t="s">
        <v>880</v>
      </c>
      <c r="B1139" s="7">
        <v>35201</v>
      </c>
      <c r="C1139" s="7">
        <f t="shared" ref="C1139:C1149" si="211">B1139+($F1139*$G1139)-1</f>
        <v>35206</v>
      </c>
      <c r="D1139" s="9" t="s">
        <v>895</v>
      </c>
      <c r="E1139" s="8" t="s">
        <v>538</v>
      </c>
      <c r="F1139" s="7">
        <v>1</v>
      </c>
      <c r="G1139" s="7">
        <v>6</v>
      </c>
      <c r="H1139" s="7"/>
      <c r="I1139" s="9">
        <f>F1139*G1139*2</f>
        <v>12</v>
      </c>
      <c r="J1139" s="9">
        <f t="shared" ref="J1139:J1149" si="212">C1139-B1139+1</f>
        <v>6</v>
      </c>
      <c r="K1139" s="57" t="s">
        <v>620</v>
      </c>
      <c r="L1139" s="11" t="s">
        <v>234</v>
      </c>
      <c r="M1139" s="11"/>
      <c r="N1139" s="11"/>
      <c r="O1139" s="11"/>
      <c r="P1139" s="128"/>
      <c r="Q1139" s="128"/>
      <c r="R1139" s="11"/>
      <c r="S1139" s="11" t="s">
        <v>1181</v>
      </c>
      <c r="T1139" s="157"/>
    </row>
    <row r="1140" spans="1:20" x14ac:dyDescent="0.2">
      <c r="A1140" s="33" t="s">
        <v>880</v>
      </c>
      <c r="B1140" s="7">
        <f t="shared" ref="B1140:B1149" si="213">C1139+1</f>
        <v>35207</v>
      </c>
      <c r="C1140" s="7">
        <f t="shared" si="211"/>
        <v>35212</v>
      </c>
      <c r="D1140" s="9" t="s">
        <v>895</v>
      </c>
      <c r="E1140" s="8" t="s">
        <v>707</v>
      </c>
      <c r="F1140" s="7">
        <v>1</v>
      </c>
      <c r="G1140" s="7">
        <v>6</v>
      </c>
      <c r="H1140" s="7"/>
      <c r="I1140" s="9">
        <f>F1140*G1140*2</f>
        <v>12</v>
      </c>
      <c r="J1140" s="9">
        <f t="shared" si="212"/>
        <v>6</v>
      </c>
      <c r="K1140" s="57" t="s">
        <v>620</v>
      </c>
      <c r="L1140" s="11" t="s">
        <v>234</v>
      </c>
      <c r="M1140" s="11"/>
      <c r="N1140" s="11"/>
      <c r="O1140" s="11"/>
      <c r="P1140" s="128"/>
      <c r="Q1140" s="128"/>
      <c r="R1140" s="11"/>
      <c r="S1140" s="11" t="s">
        <v>1181</v>
      </c>
      <c r="T1140" s="157"/>
    </row>
    <row r="1141" spans="1:20" x14ac:dyDescent="0.2">
      <c r="A1141" s="33" t="s">
        <v>880</v>
      </c>
      <c r="B1141" s="7">
        <f t="shared" si="213"/>
        <v>35213</v>
      </c>
      <c r="C1141" s="7">
        <f t="shared" si="211"/>
        <v>35215</v>
      </c>
      <c r="D1141" s="9" t="s">
        <v>895</v>
      </c>
      <c r="E1141" s="8" t="s">
        <v>537</v>
      </c>
      <c r="F1141" s="7">
        <v>1</v>
      </c>
      <c r="G1141" s="7">
        <v>3</v>
      </c>
      <c r="H1141" s="7"/>
      <c r="I1141" s="9">
        <f>F1141*G1141*2</f>
        <v>6</v>
      </c>
      <c r="J1141" s="9">
        <f t="shared" si="212"/>
        <v>3</v>
      </c>
      <c r="K1141" s="57" t="s">
        <v>620</v>
      </c>
      <c r="L1141" s="11" t="s">
        <v>234</v>
      </c>
      <c r="M1141" s="11"/>
      <c r="N1141" s="11"/>
      <c r="O1141" s="11"/>
      <c r="P1141" s="19"/>
      <c r="Q1141" s="19"/>
      <c r="R1141" s="11"/>
      <c r="S1141" s="11" t="s">
        <v>1181</v>
      </c>
      <c r="T1141" s="157"/>
    </row>
    <row r="1142" spans="1:20" ht="11.25" customHeight="1" x14ac:dyDescent="0.2">
      <c r="A1142" s="33" t="s">
        <v>880</v>
      </c>
      <c r="B1142" s="7">
        <f t="shared" si="213"/>
        <v>35216</v>
      </c>
      <c r="C1142" s="7">
        <f t="shared" si="211"/>
        <v>35218</v>
      </c>
      <c r="D1142" s="9" t="s">
        <v>895</v>
      </c>
      <c r="E1142" s="8" t="s">
        <v>706</v>
      </c>
      <c r="F1142" s="7">
        <v>1</v>
      </c>
      <c r="G1142" s="7">
        <v>3</v>
      </c>
      <c r="H1142" s="7"/>
      <c r="I1142" s="9">
        <f>F1142*G1142*2</f>
        <v>6</v>
      </c>
      <c r="J1142" s="9">
        <f t="shared" si="212"/>
        <v>3</v>
      </c>
      <c r="K1142" s="57" t="s">
        <v>620</v>
      </c>
      <c r="L1142" s="11" t="s">
        <v>234</v>
      </c>
      <c r="M1142" s="11"/>
      <c r="N1142" s="11"/>
      <c r="O1142" s="11"/>
      <c r="P1142" s="19"/>
      <c r="Q1142" s="19"/>
      <c r="R1142" s="11"/>
      <c r="S1142" s="11" t="s">
        <v>1181</v>
      </c>
      <c r="T1142" s="157"/>
    </row>
    <row r="1143" spans="1:20" ht="11.25" customHeight="1" x14ac:dyDescent="0.2">
      <c r="A1143" s="33" t="s">
        <v>880</v>
      </c>
      <c r="B1143" s="7">
        <f t="shared" si="213"/>
        <v>35219</v>
      </c>
      <c r="C1143" s="7">
        <f t="shared" si="211"/>
        <v>35219</v>
      </c>
      <c r="D1143" s="9" t="s">
        <v>895</v>
      </c>
      <c r="E1143" s="8" t="s">
        <v>571</v>
      </c>
      <c r="F1143" s="7">
        <v>1</v>
      </c>
      <c r="G1143" s="7">
        <v>1</v>
      </c>
      <c r="H1143" s="7"/>
      <c r="I1143" s="9">
        <f>F1143*G1143*2</f>
        <v>2</v>
      </c>
      <c r="J1143" s="9">
        <f t="shared" si="212"/>
        <v>1</v>
      </c>
      <c r="K1143" s="57" t="s">
        <v>695</v>
      </c>
      <c r="L1143" s="11" t="s">
        <v>797</v>
      </c>
      <c r="M1143" s="11"/>
      <c r="N1143" s="11"/>
      <c r="O1143" s="11"/>
      <c r="P1143" s="128"/>
      <c r="Q1143" s="128"/>
      <c r="R1143" s="11"/>
      <c r="S1143" s="11" t="s">
        <v>1181</v>
      </c>
      <c r="T1143" s="157"/>
    </row>
    <row r="1144" spans="1:20" x14ac:dyDescent="0.2">
      <c r="A1144" s="33" t="s">
        <v>880</v>
      </c>
      <c r="B1144" s="7">
        <f t="shared" si="213"/>
        <v>35220</v>
      </c>
      <c r="C1144" s="7">
        <f t="shared" si="211"/>
        <v>35220</v>
      </c>
      <c r="D1144" s="9" t="s">
        <v>895</v>
      </c>
      <c r="E1144" s="8" t="s">
        <v>540</v>
      </c>
      <c r="F1144" s="7">
        <v>1</v>
      </c>
      <c r="G1144" s="7">
        <v>1</v>
      </c>
      <c r="H1144" s="7"/>
      <c r="I1144" s="9">
        <f>F1144*2*G1144</f>
        <v>2</v>
      </c>
      <c r="J1144" s="9">
        <f t="shared" si="212"/>
        <v>1</v>
      </c>
      <c r="K1144" s="57" t="s">
        <v>695</v>
      </c>
      <c r="L1144" s="11" t="s">
        <v>797</v>
      </c>
      <c r="M1144" s="11"/>
      <c r="N1144" s="11"/>
      <c r="O1144" s="11"/>
      <c r="P1144" s="10"/>
      <c r="Q1144" s="10"/>
      <c r="R1144" s="11"/>
      <c r="S1144" s="11" t="s">
        <v>1181</v>
      </c>
      <c r="T1144" s="157"/>
    </row>
    <row r="1145" spans="1:20" x14ac:dyDescent="0.2">
      <c r="A1145" s="33" t="s">
        <v>880</v>
      </c>
      <c r="B1145" s="7">
        <f t="shared" si="213"/>
        <v>35221</v>
      </c>
      <c r="C1145" s="7">
        <f t="shared" si="211"/>
        <v>35221</v>
      </c>
      <c r="D1145" s="9" t="s">
        <v>895</v>
      </c>
      <c r="E1145" s="8" t="s">
        <v>536</v>
      </c>
      <c r="F1145" s="7">
        <v>1</v>
      </c>
      <c r="G1145" s="7">
        <v>1</v>
      </c>
      <c r="H1145" s="7"/>
      <c r="I1145" s="9">
        <f>F1145*2*G1145</f>
        <v>2</v>
      </c>
      <c r="J1145" s="9">
        <f t="shared" si="212"/>
        <v>1</v>
      </c>
      <c r="K1145" s="57" t="s">
        <v>759</v>
      </c>
      <c r="L1145" s="11" t="s">
        <v>797</v>
      </c>
      <c r="M1145" s="11"/>
      <c r="N1145" s="11"/>
      <c r="O1145" s="11"/>
      <c r="P1145" s="116"/>
      <c r="Q1145" s="116"/>
      <c r="R1145" s="11"/>
      <c r="S1145" s="11" t="s">
        <v>1181</v>
      </c>
      <c r="T1145" s="157"/>
    </row>
    <row r="1146" spans="1:20" x14ac:dyDescent="0.2">
      <c r="A1146" s="33" t="s">
        <v>880</v>
      </c>
      <c r="B1146" s="7">
        <f t="shared" si="213"/>
        <v>35222</v>
      </c>
      <c r="C1146" s="7">
        <f t="shared" si="211"/>
        <v>35222</v>
      </c>
      <c r="D1146" s="9" t="s">
        <v>895</v>
      </c>
      <c r="E1146" s="8" t="s">
        <v>539</v>
      </c>
      <c r="F1146" s="7">
        <v>1</v>
      </c>
      <c r="G1146" s="7">
        <v>1</v>
      </c>
      <c r="H1146" s="7"/>
      <c r="I1146" s="9">
        <f>F1146*2*G1146</f>
        <v>2</v>
      </c>
      <c r="J1146" s="9">
        <f t="shared" si="212"/>
        <v>1</v>
      </c>
      <c r="K1146" s="57" t="s">
        <v>759</v>
      </c>
      <c r="L1146" s="11" t="s">
        <v>797</v>
      </c>
      <c r="M1146" s="11"/>
      <c r="N1146" s="11"/>
      <c r="O1146" s="11"/>
      <c r="P1146" s="10"/>
      <c r="Q1146" s="10"/>
      <c r="R1146" s="11"/>
      <c r="S1146" s="11" t="s">
        <v>1181</v>
      </c>
      <c r="T1146" s="157"/>
    </row>
    <row r="1147" spans="1:20" x14ac:dyDescent="0.2">
      <c r="A1147" s="33" t="s">
        <v>880</v>
      </c>
      <c r="B1147" s="7">
        <f t="shared" si="213"/>
        <v>35223</v>
      </c>
      <c r="C1147" s="7">
        <f t="shared" si="211"/>
        <v>35223</v>
      </c>
      <c r="D1147" s="9" t="s">
        <v>895</v>
      </c>
      <c r="E1147" s="8" t="s">
        <v>675</v>
      </c>
      <c r="F1147" s="7">
        <v>1</v>
      </c>
      <c r="G1147" s="7">
        <v>1</v>
      </c>
      <c r="H1147" s="7"/>
      <c r="I1147" s="9">
        <f>F1147*2*G1147</f>
        <v>2</v>
      </c>
      <c r="J1147" s="9">
        <f t="shared" si="212"/>
        <v>1</v>
      </c>
      <c r="K1147" s="94" t="s">
        <v>1050</v>
      </c>
      <c r="L1147" s="11" t="s">
        <v>797</v>
      </c>
      <c r="M1147" s="11"/>
      <c r="N1147" s="11"/>
      <c r="O1147" s="11"/>
      <c r="P1147" s="10"/>
      <c r="Q1147" s="10"/>
      <c r="R1147" s="11"/>
      <c r="S1147" s="11" t="s">
        <v>1181</v>
      </c>
      <c r="T1147" s="157"/>
    </row>
    <row r="1148" spans="1:20" ht="56.25" x14ac:dyDescent="0.2">
      <c r="A1148" s="33" t="s">
        <v>880</v>
      </c>
      <c r="B1148" s="7">
        <f t="shared" si="213"/>
        <v>35224</v>
      </c>
      <c r="C1148" s="7">
        <f t="shared" si="211"/>
        <v>35226</v>
      </c>
      <c r="D1148" s="9" t="s">
        <v>895</v>
      </c>
      <c r="E1148" s="8" t="s">
        <v>647</v>
      </c>
      <c r="F1148" s="7">
        <v>1</v>
      </c>
      <c r="G1148" s="7">
        <v>3</v>
      </c>
      <c r="H1148" s="7"/>
      <c r="I1148" s="9">
        <f>F1148*G1148*2</f>
        <v>6</v>
      </c>
      <c r="J1148" s="9">
        <f t="shared" si="212"/>
        <v>3</v>
      </c>
      <c r="K1148" s="165" t="s">
        <v>928</v>
      </c>
      <c r="L1148" s="11" t="s">
        <v>797</v>
      </c>
      <c r="M1148" s="11"/>
      <c r="N1148" s="11"/>
      <c r="O1148" s="11"/>
      <c r="P1148" s="11"/>
      <c r="Q1148" s="11"/>
      <c r="R1148" s="11"/>
      <c r="S1148" s="11" t="s">
        <v>1181</v>
      </c>
      <c r="T1148" s="157"/>
    </row>
    <row r="1149" spans="1:20" ht="56.25" x14ac:dyDescent="0.2">
      <c r="A1149" s="33" t="s">
        <v>880</v>
      </c>
      <c r="B1149" s="7">
        <f t="shared" si="213"/>
        <v>35227</v>
      </c>
      <c r="C1149" s="7">
        <f t="shared" si="211"/>
        <v>35229</v>
      </c>
      <c r="D1149" s="9" t="s">
        <v>895</v>
      </c>
      <c r="E1149" s="8" t="s">
        <v>648</v>
      </c>
      <c r="F1149" s="7">
        <v>1</v>
      </c>
      <c r="G1149" s="7">
        <v>3</v>
      </c>
      <c r="H1149" s="7"/>
      <c r="I1149" s="9">
        <f>F1149*G1149*2</f>
        <v>6</v>
      </c>
      <c r="J1149" s="9">
        <f t="shared" si="212"/>
        <v>3</v>
      </c>
      <c r="K1149" s="165" t="s">
        <v>929</v>
      </c>
      <c r="L1149" s="11" t="s">
        <v>797</v>
      </c>
      <c r="M1149" s="11"/>
      <c r="N1149" s="11"/>
      <c r="O1149" s="11"/>
      <c r="P1149" s="11"/>
      <c r="Q1149" s="11"/>
      <c r="R1149" s="11"/>
      <c r="S1149" s="11" t="s">
        <v>1181</v>
      </c>
    </row>
    <row r="1150" spans="1:20" x14ac:dyDescent="0.2">
      <c r="A1150" s="33"/>
      <c r="B1150" s="47">
        <f>B1151</f>
        <v>35301</v>
      </c>
      <c r="C1150" s="26"/>
      <c r="D1150" s="28"/>
      <c r="E1150" s="26" t="s">
        <v>1777</v>
      </c>
      <c r="F1150" s="26"/>
      <c r="G1150" s="26"/>
      <c r="H1150" s="26"/>
      <c r="I1150" s="28"/>
      <c r="J1150" s="28"/>
      <c r="K1150" s="27"/>
      <c r="L1150" s="50"/>
      <c r="M1150" s="50"/>
      <c r="N1150" s="50"/>
      <c r="O1150" s="50"/>
      <c r="P1150" s="121"/>
      <c r="Q1150" s="121"/>
      <c r="R1150" s="146"/>
      <c r="S1150" s="146"/>
      <c r="T1150" s="158"/>
    </row>
    <row r="1151" spans="1:20" x14ac:dyDescent="0.2">
      <c r="A1151" s="33" t="s">
        <v>880</v>
      </c>
      <c r="B1151" s="7">
        <v>35301</v>
      </c>
      <c r="C1151" s="7">
        <f>B1151+($F1151*$G1151)-1</f>
        <v>35301</v>
      </c>
      <c r="D1151" s="9" t="s">
        <v>895</v>
      </c>
      <c r="E1151" s="371" t="s">
        <v>1770</v>
      </c>
      <c r="F1151" s="372">
        <v>1</v>
      </c>
      <c r="G1151" s="372">
        <v>1</v>
      </c>
      <c r="H1151" s="372"/>
      <c r="I1151" s="368">
        <f>F1151*G1151*2</f>
        <v>2</v>
      </c>
      <c r="J1151" s="368">
        <f>C1151-B1151+1</f>
        <v>1</v>
      </c>
      <c r="K1151" s="369" t="s">
        <v>1775</v>
      </c>
      <c r="L1151" s="11" t="s">
        <v>797</v>
      </c>
      <c r="M1151" s="11"/>
      <c r="N1151" s="11"/>
      <c r="O1151" s="11"/>
      <c r="P1151" s="11"/>
      <c r="Q1151" s="11"/>
      <c r="R1151" s="144"/>
      <c r="S1151" s="11" t="s">
        <v>1181</v>
      </c>
    </row>
    <row r="1152" spans="1:20" x14ac:dyDescent="0.2">
      <c r="A1152" s="33" t="s">
        <v>880</v>
      </c>
      <c r="B1152" s="7">
        <f>C1151+1</f>
        <v>35302</v>
      </c>
      <c r="C1152" s="7">
        <f>B1152+($F1152*$G1152)-1</f>
        <v>35302</v>
      </c>
      <c r="D1152" s="9" t="s">
        <v>895</v>
      </c>
      <c r="E1152" s="371" t="s">
        <v>1771</v>
      </c>
      <c r="F1152" s="372">
        <v>1</v>
      </c>
      <c r="G1152" s="372">
        <v>1</v>
      </c>
      <c r="H1152" s="372"/>
      <c r="I1152" s="368">
        <f>F1152*G1152*2</f>
        <v>2</v>
      </c>
      <c r="J1152" s="368">
        <f>C1152-B1152+1</f>
        <v>1</v>
      </c>
      <c r="K1152" s="369" t="s">
        <v>1775</v>
      </c>
      <c r="L1152" s="11" t="s">
        <v>797</v>
      </c>
      <c r="M1152" s="11"/>
      <c r="N1152" s="11"/>
      <c r="O1152" s="11"/>
      <c r="P1152" s="11"/>
      <c r="Q1152" s="11"/>
      <c r="R1152" s="144"/>
      <c r="S1152" s="11" t="s">
        <v>1181</v>
      </c>
    </row>
    <row r="1153" spans="1:20" x14ac:dyDescent="0.2">
      <c r="A1153" s="33" t="s">
        <v>880</v>
      </c>
      <c r="B1153" s="7">
        <f>C1152+1</f>
        <v>35303</v>
      </c>
      <c r="C1153" s="7">
        <f>B1153+($F1153*$G1153)-1</f>
        <v>35303</v>
      </c>
      <c r="D1153" s="9" t="s">
        <v>895</v>
      </c>
      <c r="E1153" s="371" t="s">
        <v>1772</v>
      </c>
      <c r="F1153" s="372">
        <v>1</v>
      </c>
      <c r="G1153" s="372">
        <v>1</v>
      </c>
      <c r="H1153" s="372"/>
      <c r="I1153" s="368">
        <f>F1153*G1153*2</f>
        <v>2</v>
      </c>
      <c r="J1153" s="368">
        <f>C1153-B1153+1</f>
        <v>1</v>
      </c>
      <c r="K1153" s="370" t="s">
        <v>1776</v>
      </c>
      <c r="L1153" s="11" t="s">
        <v>797</v>
      </c>
      <c r="M1153" s="11"/>
      <c r="N1153" s="11"/>
      <c r="O1153" s="11"/>
      <c r="P1153" s="11"/>
      <c r="Q1153" s="11"/>
      <c r="R1153" s="144"/>
      <c r="S1153" s="11" t="s">
        <v>1181</v>
      </c>
    </row>
    <row r="1154" spans="1:20" x14ac:dyDescent="0.2">
      <c r="A1154" s="33" t="s">
        <v>880</v>
      </c>
      <c r="B1154" s="7">
        <f>C1153+1</f>
        <v>35304</v>
      </c>
      <c r="C1154" s="7">
        <f>B1154+($F1154*$G1154)-1</f>
        <v>35305</v>
      </c>
      <c r="D1154" s="9" t="s">
        <v>895</v>
      </c>
      <c r="E1154" s="371" t="s">
        <v>1773</v>
      </c>
      <c r="F1154" s="372">
        <v>1</v>
      </c>
      <c r="G1154" s="372">
        <v>2</v>
      </c>
      <c r="H1154" s="372"/>
      <c r="I1154" s="368">
        <f>F1154*G1154*2</f>
        <v>4</v>
      </c>
      <c r="J1154" s="368">
        <f>C1154-B1154+1</f>
        <v>2</v>
      </c>
      <c r="K1154" s="374" t="s">
        <v>639</v>
      </c>
      <c r="L1154" s="11" t="s">
        <v>797</v>
      </c>
      <c r="M1154" s="11"/>
      <c r="N1154" s="11"/>
      <c r="O1154" s="11"/>
      <c r="P1154" s="11"/>
      <c r="Q1154" s="11"/>
      <c r="R1154" s="144"/>
      <c r="S1154" s="11" t="s">
        <v>1181</v>
      </c>
    </row>
    <row r="1155" spans="1:20" x14ac:dyDescent="0.2">
      <c r="A1155" s="33" t="s">
        <v>880</v>
      </c>
      <c r="B1155" s="7">
        <f>C1154+1</f>
        <v>35306</v>
      </c>
      <c r="C1155" s="7">
        <f>B1155+($F1155*$G1155)-1</f>
        <v>35307</v>
      </c>
      <c r="D1155" s="9" t="s">
        <v>895</v>
      </c>
      <c r="E1155" s="371" t="s">
        <v>1774</v>
      </c>
      <c r="F1155" s="372">
        <v>1</v>
      </c>
      <c r="G1155" s="372">
        <v>2</v>
      </c>
      <c r="H1155" s="372"/>
      <c r="I1155" s="368">
        <f>F1155*G1155*2</f>
        <v>4</v>
      </c>
      <c r="J1155" s="368">
        <f>C1155-B1155+1</f>
        <v>2</v>
      </c>
      <c r="K1155" s="374" t="s">
        <v>639</v>
      </c>
      <c r="L1155" s="11" t="s">
        <v>797</v>
      </c>
      <c r="M1155" s="11"/>
      <c r="N1155" s="11"/>
      <c r="O1155" s="11"/>
      <c r="P1155" s="11"/>
      <c r="Q1155" s="11"/>
      <c r="R1155" s="144"/>
      <c r="S1155" s="11" t="s">
        <v>1181</v>
      </c>
    </row>
    <row r="1156" spans="1:20" x14ac:dyDescent="0.2">
      <c r="A1156" s="33"/>
      <c r="B1156" s="47">
        <f>B1157</f>
        <v>35401</v>
      </c>
      <c r="C1156" s="26"/>
      <c r="D1156" s="28"/>
      <c r="E1156" s="26" t="s">
        <v>78</v>
      </c>
      <c r="F1156" s="26"/>
      <c r="G1156" s="26"/>
      <c r="H1156" s="26"/>
      <c r="I1156" s="28"/>
      <c r="J1156" s="28"/>
      <c r="K1156" s="27"/>
      <c r="L1156" s="50"/>
      <c r="M1156" s="50"/>
      <c r="N1156" s="50"/>
      <c r="O1156" s="50"/>
      <c r="P1156" s="121"/>
      <c r="Q1156" s="121"/>
      <c r="R1156" s="146"/>
      <c r="S1156" s="146"/>
      <c r="T1156" s="158"/>
    </row>
    <row r="1157" spans="1:20" x14ac:dyDescent="0.2">
      <c r="A1157" s="33" t="s">
        <v>880</v>
      </c>
      <c r="B1157" s="7">
        <v>35401</v>
      </c>
      <c r="C1157" s="7">
        <f t="shared" ref="C1157:C1168" si="214">B1157+($F1157*$G1157)-1</f>
        <v>35402</v>
      </c>
      <c r="D1157" s="9" t="s">
        <v>895</v>
      </c>
      <c r="E1157" s="8" t="s">
        <v>469</v>
      </c>
      <c r="F1157" s="7">
        <v>2</v>
      </c>
      <c r="G1157" s="7">
        <v>1</v>
      </c>
      <c r="H1157" s="7"/>
      <c r="I1157" s="9">
        <f t="shared" ref="I1157:I1168" si="215">F1157*2*G1157</f>
        <v>4</v>
      </c>
      <c r="J1157" s="9">
        <f t="shared" ref="J1157:J1168" si="216">C1157-B1157+1</f>
        <v>2</v>
      </c>
      <c r="K1157" s="57" t="s">
        <v>760</v>
      </c>
      <c r="L1157" s="11" t="s">
        <v>797</v>
      </c>
      <c r="M1157" s="11"/>
      <c r="N1157" s="11"/>
      <c r="O1157" s="11"/>
      <c r="P1157" s="11"/>
      <c r="Q1157" s="11"/>
      <c r="R1157" s="11"/>
      <c r="S1157" s="11" t="s">
        <v>1181</v>
      </c>
      <c r="T1157" s="157"/>
    </row>
    <row r="1158" spans="1:20" x14ac:dyDescent="0.2">
      <c r="A1158" s="33" t="s">
        <v>880</v>
      </c>
      <c r="B1158" s="7">
        <f t="shared" ref="B1158:B1168" si="217">C1157+1</f>
        <v>35403</v>
      </c>
      <c r="C1158" s="7">
        <f t="shared" si="214"/>
        <v>35403</v>
      </c>
      <c r="D1158" s="9" t="s">
        <v>895</v>
      </c>
      <c r="E1158" s="8" t="s">
        <v>470</v>
      </c>
      <c r="F1158" s="7">
        <v>1</v>
      </c>
      <c r="G1158" s="7">
        <v>1</v>
      </c>
      <c r="H1158" s="7"/>
      <c r="I1158" s="9">
        <f t="shared" si="215"/>
        <v>2</v>
      </c>
      <c r="J1158" s="9">
        <f t="shared" si="216"/>
        <v>1</v>
      </c>
      <c r="K1158" s="1" t="s">
        <v>163</v>
      </c>
      <c r="L1158" s="11" t="s">
        <v>797</v>
      </c>
      <c r="M1158" s="11"/>
      <c r="N1158" s="11"/>
      <c r="O1158" s="11"/>
      <c r="P1158" s="11"/>
      <c r="Q1158" s="11"/>
      <c r="R1158" s="11"/>
      <c r="S1158" s="11" t="s">
        <v>1181</v>
      </c>
      <c r="T1158" s="157"/>
    </row>
    <row r="1159" spans="1:20" x14ac:dyDescent="0.2">
      <c r="A1159" s="33" t="s">
        <v>880</v>
      </c>
      <c r="B1159" s="7">
        <f t="shared" si="217"/>
        <v>35404</v>
      </c>
      <c r="C1159" s="7">
        <f t="shared" si="214"/>
        <v>35404</v>
      </c>
      <c r="D1159" s="9" t="s">
        <v>895</v>
      </c>
      <c r="E1159" s="8" t="s">
        <v>472</v>
      </c>
      <c r="F1159" s="7">
        <v>1</v>
      </c>
      <c r="G1159" s="7">
        <v>1</v>
      </c>
      <c r="H1159" s="7"/>
      <c r="I1159" s="9">
        <f t="shared" si="215"/>
        <v>2</v>
      </c>
      <c r="J1159" s="9">
        <f t="shared" si="216"/>
        <v>1</v>
      </c>
      <c r="K1159" s="63" t="s">
        <v>76</v>
      </c>
      <c r="L1159" s="11" t="s">
        <v>797</v>
      </c>
      <c r="M1159" s="11"/>
      <c r="N1159" s="11"/>
      <c r="O1159" s="11"/>
      <c r="P1159" s="11"/>
      <c r="Q1159" s="11"/>
      <c r="R1159" s="11"/>
      <c r="S1159" s="11" t="s">
        <v>1181</v>
      </c>
      <c r="T1159" s="157"/>
    </row>
    <row r="1160" spans="1:20" x14ac:dyDescent="0.2">
      <c r="A1160" s="33" t="s">
        <v>880</v>
      </c>
      <c r="B1160" s="7">
        <f t="shared" si="217"/>
        <v>35405</v>
      </c>
      <c r="C1160" s="7">
        <f t="shared" si="214"/>
        <v>35406</v>
      </c>
      <c r="D1160" s="9" t="s">
        <v>895</v>
      </c>
      <c r="E1160" s="8" t="s">
        <v>467</v>
      </c>
      <c r="F1160" s="7">
        <v>2</v>
      </c>
      <c r="G1160" s="7">
        <v>1</v>
      </c>
      <c r="H1160" s="7"/>
      <c r="I1160" s="9">
        <f t="shared" si="215"/>
        <v>4</v>
      </c>
      <c r="J1160" s="9">
        <f t="shared" si="216"/>
        <v>2</v>
      </c>
      <c r="K1160" s="57" t="s">
        <v>760</v>
      </c>
      <c r="L1160" s="11" t="s">
        <v>797</v>
      </c>
      <c r="M1160" s="11"/>
      <c r="N1160" s="11"/>
      <c r="O1160" s="11"/>
      <c r="P1160" s="11"/>
      <c r="Q1160" s="11"/>
      <c r="R1160" s="11"/>
      <c r="S1160" s="11" t="s">
        <v>1181</v>
      </c>
      <c r="T1160" s="157"/>
    </row>
    <row r="1161" spans="1:20" x14ac:dyDescent="0.2">
      <c r="A1161" s="33" t="s">
        <v>880</v>
      </c>
      <c r="B1161" s="7">
        <f t="shared" si="217"/>
        <v>35407</v>
      </c>
      <c r="C1161" s="7">
        <f t="shared" si="214"/>
        <v>35407</v>
      </c>
      <c r="D1161" s="9" t="s">
        <v>895</v>
      </c>
      <c r="E1161" s="8" t="s">
        <v>468</v>
      </c>
      <c r="F1161" s="7">
        <v>1</v>
      </c>
      <c r="G1161" s="7">
        <v>1</v>
      </c>
      <c r="H1161" s="7"/>
      <c r="I1161" s="9">
        <f t="shared" si="215"/>
        <v>2</v>
      </c>
      <c r="J1161" s="9">
        <f t="shared" si="216"/>
        <v>1</v>
      </c>
      <c r="K1161" s="1" t="s">
        <v>164</v>
      </c>
      <c r="L1161" s="11" t="s">
        <v>797</v>
      </c>
      <c r="M1161" s="11"/>
      <c r="N1161" s="11"/>
      <c r="O1161" s="11"/>
      <c r="P1161" s="11"/>
      <c r="Q1161" s="11"/>
      <c r="R1161" s="11"/>
      <c r="S1161" s="11" t="s">
        <v>1181</v>
      </c>
      <c r="T1161" s="157"/>
    </row>
    <row r="1162" spans="1:20" x14ac:dyDescent="0.2">
      <c r="A1162" s="33" t="s">
        <v>880</v>
      </c>
      <c r="B1162" s="7">
        <f t="shared" si="217"/>
        <v>35408</v>
      </c>
      <c r="C1162" s="7">
        <f t="shared" si="214"/>
        <v>35408</v>
      </c>
      <c r="D1162" s="9" t="s">
        <v>895</v>
      </c>
      <c r="E1162" s="8" t="s">
        <v>471</v>
      </c>
      <c r="F1162" s="7">
        <v>1</v>
      </c>
      <c r="G1162" s="7">
        <v>1</v>
      </c>
      <c r="H1162" s="7"/>
      <c r="I1162" s="9">
        <f t="shared" si="215"/>
        <v>2</v>
      </c>
      <c r="J1162" s="9">
        <f t="shared" si="216"/>
        <v>1</v>
      </c>
      <c r="K1162" s="63" t="s">
        <v>77</v>
      </c>
      <c r="L1162" s="11" t="s">
        <v>797</v>
      </c>
      <c r="M1162" s="11"/>
      <c r="N1162" s="11"/>
      <c r="O1162" s="11"/>
      <c r="P1162" s="11"/>
      <c r="Q1162" s="11"/>
      <c r="R1162" s="11"/>
      <c r="S1162" s="11" t="s">
        <v>1181</v>
      </c>
      <c r="T1162" s="157"/>
    </row>
    <row r="1163" spans="1:20" x14ac:dyDescent="0.2">
      <c r="A1163" s="33" t="s">
        <v>880</v>
      </c>
      <c r="B1163" s="7">
        <f t="shared" si="217"/>
        <v>35409</v>
      </c>
      <c r="C1163" s="7">
        <f t="shared" si="214"/>
        <v>35410</v>
      </c>
      <c r="D1163" s="9" t="s">
        <v>895</v>
      </c>
      <c r="E1163" s="8" t="s">
        <v>568</v>
      </c>
      <c r="F1163" s="7">
        <v>1</v>
      </c>
      <c r="G1163" s="7">
        <v>2</v>
      </c>
      <c r="H1163" s="7"/>
      <c r="I1163" s="9">
        <f t="shared" si="215"/>
        <v>4</v>
      </c>
      <c r="J1163" s="9">
        <f t="shared" si="216"/>
        <v>2</v>
      </c>
      <c r="K1163" s="63" t="s">
        <v>1118</v>
      </c>
      <c r="L1163" s="11" t="s">
        <v>797</v>
      </c>
      <c r="M1163" s="11"/>
      <c r="N1163" s="11"/>
      <c r="O1163" s="11"/>
      <c r="P1163" s="11"/>
      <c r="Q1163" s="11"/>
      <c r="R1163" s="11"/>
      <c r="S1163" s="11" t="s">
        <v>1181</v>
      </c>
      <c r="T1163" s="157"/>
    </row>
    <row r="1164" spans="1:20" x14ac:dyDescent="0.2">
      <c r="A1164" s="33" t="s">
        <v>880</v>
      </c>
      <c r="B1164" s="7">
        <f t="shared" si="217"/>
        <v>35411</v>
      </c>
      <c r="C1164" s="7">
        <f t="shared" si="214"/>
        <v>35412</v>
      </c>
      <c r="D1164" s="9" t="s">
        <v>895</v>
      </c>
      <c r="E1164" s="8" t="s">
        <v>569</v>
      </c>
      <c r="F1164" s="7">
        <v>1</v>
      </c>
      <c r="G1164" s="7">
        <v>2</v>
      </c>
      <c r="H1164" s="7"/>
      <c r="I1164" s="9">
        <f t="shared" si="215"/>
        <v>4</v>
      </c>
      <c r="J1164" s="9">
        <f t="shared" si="216"/>
        <v>2</v>
      </c>
      <c r="K1164" s="63" t="s">
        <v>1118</v>
      </c>
      <c r="L1164" s="11" t="s">
        <v>797</v>
      </c>
      <c r="M1164" s="11"/>
      <c r="N1164" s="11"/>
      <c r="O1164" s="11"/>
      <c r="P1164" s="11"/>
      <c r="Q1164" s="11"/>
      <c r="R1164" s="11"/>
      <c r="S1164" s="11" t="s">
        <v>1181</v>
      </c>
      <c r="T1164" s="157"/>
    </row>
    <row r="1165" spans="1:20" x14ac:dyDescent="0.2">
      <c r="A1165" s="33" t="s">
        <v>880</v>
      </c>
      <c r="B1165" s="7">
        <f t="shared" si="217"/>
        <v>35413</v>
      </c>
      <c r="C1165" s="7">
        <f t="shared" si="214"/>
        <v>35414</v>
      </c>
      <c r="D1165" s="9" t="s">
        <v>895</v>
      </c>
      <c r="E1165" s="8" t="s">
        <v>570</v>
      </c>
      <c r="F1165" s="7">
        <v>1</v>
      </c>
      <c r="G1165" s="7">
        <v>2</v>
      </c>
      <c r="H1165" s="7"/>
      <c r="I1165" s="9">
        <f t="shared" si="215"/>
        <v>4</v>
      </c>
      <c r="J1165" s="9">
        <f t="shared" si="216"/>
        <v>2</v>
      </c>
      <c r="K1165" s="63" t="s">
        <v>1118</v>
      </c>
      <c r="L1165" s="11" t="s">
        <v>797</v>
      </c>
      <c r="M1165" s="11"/>
      <c r="N1165" s="11"/>
      <c r="O1165" s="11"/>
      <c r="P1165" s="11"/>
      <c r="Q1165" s="11"/>
      <c r="R1165" s="11"/>
      <c r="S1165" s="11" t="s">
        <v>1181</v>
      </c>
      <c r="T1165" s="157"/>
    </row>
    <row r="1166" spans="1:20" x14ac:dyDescent="0.2">
      <c r="A1166" s="33" t="s">
        <v>880</v>
      </c>
      <c r="B1166" s="7">
        <f t="shared" si="217"/>
        <v>35415</v>
      </c>
      <c r="C1166" s="7">
        <f t="shared" si="214"/>
        <v>35415</v>
      </c>
      <c r="D1166" s="9" t="s">
        <v>895</v>
      </c>
      <c r="E1166" s="8" t="s">
        <v>268</v>
      </c>
      <c r="F1166" s="7">
        <v>1</v>
      </c>
      <c r="G1166" s="7">
        <v>1</v>
      </c>
      <c r="H1166" s="7"/>
      <c r="I1166" s="9">
        <f t="shared" si="215"/>
        <v>2</v>
      </c>
      <c r="J1166" s="9">
        <f t="shared" si="216"/>
        <v>1</v>
      </c>
      <c r="K1166" s="1" t="s">
        <v>161</v>
      </c>
      <c r="L1166" s="11" t="s">
        <v>797</v>
      </c>
      <c r="M1166" s="11"/>
      <c r="N1166" s="11"/>
      <c r="O1166" s="11"/>
      <c r="P1166" s="11"/>
      <c r="Q1166" s="11"/>
      <c r="R1166" s="11"/>
      <c r="S1166" s="11" t="s">
        <v>1181</v>
      </c>
      <c r="T1166" s="157"/>
    </row>
    <row r="1167" spans="1:20" x14ac:dyDescent="0.2">
      <c r="A1167" s="33" t="s">
        <v>880</v>
      </c>
      <c r="B1167" s="7">
        <f t="shared" si="217"/>
        <v>35416</v>
      </c>
      <c r="C1167" s="7">
        <f t="shared" si="214"/>
        <v>35416</v>
      </c>
      <c r="D1167" s="9" t="s">
        <v>895</v>
      </c>
      <c r="E1167" s="8" t="s">
        <v>269</v>
      </c>
      <c r="F1167" s="7">
        <v>1</v>
      </c>
      <c r="G1167" s="7">
        <v>1</v>
      </c>
      <c r="H1167" s="7"/>
      <c r="I1167" s="9">
        <f t="shared" si="215"/>
        <v>2</v>
      </c>
      <c r="J1167" s="9">
        <f t="shared" si="216"/>
        <v>1</v>
      </c>
      <c r="K1167" s="1" t="s">
        <v>162</v>
      </c>
      <c r="L1167" s="11" t="s">
        <v>797</v>
      </c>
      <c r="M1167" s="11"/>
      <c r="N1167" s="11"/>
      <c r="O1167" s="11"/>
      <c r="P1167" s="11"/>
      <c r="Q1167" s="11"/>
      <c r="R1167" s="11"/>
      <c r="S1167" s="11" t="s">
        <v>1181</v>
      </c>
      <c r="T1167" s="157"/>
    </row>
    <row r="1168" spans="1:20" x14ac:dyDescent="0.2">
      <c r="A1168" s="33" t="s">
        <v>880</v>
      </c>
      <c r="B1168" s="7">
        <f t="shared" si="217"/>
        <v>35417</v>
      </c>
      <c r="C1168" s="7">
        <f t="shared" si="214"/>
        <v>35417</v>
      </c>
      <c r="D1168" s="9" t="s">
        <v>895</v>
      </c>
      <c r="E1168" s="8" t="s">
        <v>270</v>
      </c>
      <c r="F1168" s="7">
        <v>1</v>
      </c>
      <c r="G1168" s="7">
        <v>1</v>
      </c>
      <c r="H1168" s="7"/>
      <c r="I1168" s="9">
        <f t="shared" si="215"/>
        <v>2</v>
      </c>
      <c r="J1168" s="9">
        <f t="shared" si="216"/>
        <v>1</v>
      </c>
      <c r="K1168" s="1" t="s">
        <v>162</v>
      </c>
      <c r="L1168" s="11" t="s">
        <v>797</v>
      </c>
      <c r="M1168" s="11"/>
      <c r="N1168" s="11"/>
      <c r="O1168" s="11"/>
      <c r="P1168" s="11"/>
      <c r="Q1168" s="11"/>
      <c r="R1168" s="11"/>
      <c r="S1168" s="11" t="s">
        <v>1181</v>
      </c>
      <c r="T1168" s="157"/>
    </row>
    <row r="1169" spans="1:20" x14ac:dyDescent="0.2">
      <c r="A1169" s="33"/>
      <c r="B1169" s="47">
        <f>B1170</f>
        <v>35501</v>
      </c>
      <c r="C1169" s="26"/>
      <c r="D1169" s="28"/>
      <c r="E1169" s="26" t="s">
        <v>79</v>
      </c>
      <c r="F1169" s="26"/>
      <c r="G1169" s="26"/>
      <c r="H1169" s="26"/>
      <c r="I1169" s="28"/>
      <c r="J1169" s="28"/>
      <c r="K1169" s="27"/>
      <c r="L1169" s="50"/>
      <c r="M1169" s="50"/>
      <c r="N1169" s="50"/>
      <c r="O1169" s="50"/>
      <c r="P1169" s="121"/>
      <c r="Q1169" s="121"/>
      <c r="R1169" s="146"/>
      <c r="S1169" s="146"/>
      <c r="T1169" s="158"/>
    </row>
    <row r="1170" spans="1:20" x14ac:dyDescent="0.2">
      <c r="A1170" s="33" t="s">
        <v>880</v>
      </c>
      <c r="B1170" s="7">
        <v>35501</v>
      </c>
      <c r="C1170" s="7">
        <f>B1170+($F1170*$G1170)-1</f>
        <v>35501</v>
      </c>
      <c r="D1170" s="9" t="s">
        <v>895</v>
      </c>
      <c r="E1170" s="8" t="s">
        <v>473</v>
      </c>
      <c r="F1170" s="7">
        <v>1</v>
      </c>
      <c r="G1170" s="7">
        <v>1</v>
      </c>
      <c r="H1170" s="7"/>
      <c r="I1170" s="9">
        <f>F1170*2*G1170</f>
        <v>2</v>
      </c>
      <c r="J1170" s="9">
        <f>C1170-B1170+1</f>
        <v>1</v>
      </c>
      <c r="K1170" s="1" t="s">
        <v>80</v>
      </c>
      <c r="L1170" s="11" t="s">
        <v>797</v>
      </c>
      <c r="M1170" s="11"/>
      <c r="N1170" s="11"/>
      <c r="O1170" s="11"/>
      <c r="P1170" s="123"/>
      <c r="Q1170" s="121"/>
      <c r="R1170" s="11"/>
      <c r="S1170" s="11" t="s">
        <v>1181</v>
      </c>
      <c r="T1170" s="157"/>
    </row>
    <row r="1171" spans="1:20" x14ac:dyDescent="0.2">
      <c r="A1171" s="33" t="s">
        <v>880</v>
      </c>
      <c r="B1171" s="7">
        <f>C1170+1</f>
        <v>35502</v>
      </c>
      <c r="C1171" s="7">
        <f>B1171+($F1171*$G1171)-1</f>
        <v>35502</v>
      </c>
      <c r="D1171" s="9" t="s">
        <v>895</v>
      </c>
      <c r="E1171" s="8" t="s">
        <v>345</v>
      </c>
      <c r="F1171" s="7">
        <v>1</v>
      </c>
      <c r="G1171" s="7">
        <v>1</v>
      </c>
      <c r="H1171" s="7"/>
      <c r="I1171" s="9">
        <f>F1171*2*G1171</f>
        <v>2</v>
      </c>
      <c r="J1171" s="9">
        <f>C1171-B1171+1</f>
        <v>1</v>
      </c>
      <c r="K1171" s="1" t="s">
        <v>1687</v>
      </c>
      <c r="L1171" s="11" t="s">
        <v>797</v>
      </c>
      <c r="M1171" s="11"/>
      <c r="N1171" s="11"/>
      <c r="O1171" s="11"/>
      <c r="P1171" s="10"/>
      <c r="Q1171" s="10"/>
      <c r="R1171" s="11"/>
      <c r="S1171" s="11" t="s">
        <v>1181</v>
      </c>
      <c r="T1171" s="117"/>
    </row>
    <row r="1172" spans="1:20" x14ac:dyDescent="0.2">
      <c r="A1172" s="33" t="s">
        <v>880</v>
      </c>
      <c r="B1172" s="7">
        <f>C1171+1</f>
        <v>35503</v>
      </c>
      <c r="C1172" s="7">
        <f>B1172+($F1172*$G1172)-1</f>
        <v>35503</v>
      </c>
      <c r="D1172" s="9" t="s">
        <v>895</v>
      </c>
      <c r="E1172" s="8" t="s">
        <v>346</v>
      </c>
      <c r="F1172" s="7">
        <v>1</v>
      </c>
      <c r="G1172" s="7">
        <v>1</v>
      </c>
      <c r="H1172" s="7"/>
      <c r="I1172" s="9">
        <f>F1172*2*G1172</f>
        <v>2</v>
      </c>
      <c r="J1172" s="9">
        <f>C1172-B1172+1</f>
        <v>1</v>
      </c>
      <c r="K1172" s="1" t="s">
        <v>1690</v>
      </c>
      <c r="L1172" s="11" t="s">
        <v>797</v>
      </c>
      <c r="M1172" s="11"/>
      <c r="N1172" s="11"/>
      <c r="O1172" s="11"/>
      <c r="P1172" s="10"/>
      <c r="Q1172" s="10"/>
      <c r="R1172" s="11"/>
      <c r="S1172" s="11" t="s">
        <v>1181</v>
      </c>
      <c r="T1172" s="117"/>
    </row>
    <row r="1173" spans="1:20" x14ac:dyDescent="0.2">
      <c r="A1173" s="33" t="s">
        <v>880</v>
      </c>
      <c r="B1173" s="7">
        <f>C1172+1</f>
        <v>35504</v>
      </c>
      <c r="C1173" s="7">
        <f>B1173+($F1173*$G1173)-1</f>
        <v>35504</v>
      </c>
      <c r="D1173" s="9" t="s">
        <v>895</v>
      </c>
      <c r="E1173" s="8" t="s">
        <v>925</v>
      </c>
      <c r="F1173" s="7">
        <v>1</v>
      </c>
      <c r="G1173" s="7">
        <v>1</v>
      </c>
      <c r="H1173" s="7"/>
      <c r="I1173" s="9">
        <f>F1173*2*G1173</f>
        <v>2</v>
      </c>
      <c r="J1173" s="9">
        <f>C1173-B1173+1</f>
        <v>1</v>
      </c>
      <c r="K1173" s="1" t="s">
        <v>1936</v>
      </c>
      <c r="L1173" s="11" t="s">
        <v>797</v>
      </c>
      <c r="M1173" s="11"/>
      <c r="N1173" s="11"/>
      <c r="O1173" s="11"/>
      <c r="P1173" s="10"/>
      <c r="Q1173" s="10"/>
      <c r="R1173" s="11"/>
      <c r="S1173" s="11" t="s">
        <v>1181</v>
      </c>
      <c r="T1173" s="117"/>
    </row>
    <row r="1174" spans="1:20" x14ac:dyDescent="0.2">
      <c r="A1174" s="33"/>
      <c r="B1174" s="47">
        <f>B1175</f>
        <v>35551</v>
      </c>
      <c r="C1174" s="26"/>
      <c r="D1174" s="28"/>
      <c r="E1174" s="26" t="s">
        <v>1258</v>
      </c>
      <c r="F1174" s="26"/>
      <c r="G1174" s="26"/>
      <c r="H1174" s="26"/>
      <c r="I1174" s="28"/>
      <c r="J1174" s="28"/>
      <c r="K1174" s="27"/>
      <c r="L1174" s="50"/>
      <c r="M1174" s="50"/>
      <c r="N1174" s="50"/>
      <c r="O1174" s="50"/>
      <c r="P1174" s="121"/>
      <c r="Q1174" s="121"/>
      <c r="R1174" s="146"/>
      <c r="S1174" s="146"/>
      <c r="T1174" s="158"/>
    </row>
    <row r="1175" spans="1:20" x14ac:dyDescent="0.2">
      <c r="A1175" s="33" t="s">
        <v>880</v>
      </c>
      <c r="B1175" s="7">
        <v>35551</v>
      </c>
      <c r="C1175" s="7">
        <f>B1175+($F1175*$G1175)-1</f>
        <v>35552</v>
      </c>
      <c r="D1175" s="9" t="s">
        <v>895</v>
      </c>
      <c r="E1175" s="8" t="s">
        <v>1255</v>
      </c>
      <c r="F1175" s="7">
        <v>2</v>
      </c>
      <c r="G1175" s="7">
        <v>1</v>
      </c>
      <c r="H1175" s="7"/>
      <c r="I1175" s="9">
        <f>F1175*2*G1175</f>
        <v>4</v>
      </c>
      <c r="J1175" s="9">
        <f>C1175-B1175+1</f>
        <v>2</v>
      </c>
      <c r="K1175" s="1" t="s">
        <v>1259</v>
      </c>
      <c r="L1175" s="11" t="s">
        <v>234</v>
      </c>
      <c r="M1175" s="11"/>
      <c r="N1175" s="11"/>
      <c r="O1175" s="11"/>
      <c r="P1175" s="123"/>
      <c r="Q1175" s="121"/>
      <c r="R1175" s="11"/>
      <c r="S1175" s="11" t="s">
        <v>1181</v>
      </c>
      <c r="T1175" s="157"/>
    </row>
    <row r="1176" spans="1:20" x14ac:dyDescent="0.2">
      <c r="A1176" s="33" t="s">
        <v>880</v>
      </c>
      <c r="B1176" s="7">
        <f>C1175+1</f>
        <v>35553</v>
      </c>
      <c r="C1176" s="7">
        <f>B1176+($F1176*$G1176)-1</f>
        <v>35553</v>
      </c>
      <c r="D1176" s="9" t="s">
        <v>895</v>
      </c>
      <c r="E1176" s="8" t="s">
        <v>1256</v>
      </c>
      <c r="F1176" s="7">
        <v>1</v>
      </c>
      <c r="G1176" s="7">
        <v>1</v>
      </c>
      <c r="H1176" s="7"/>
      <c r="I1176" s="9">
        <f>F1176*2*G1176</f>
        <v>2</v>
      </c>
      <c r="J1176" s="9">
        <f>C1176-B1176+1</f>
        <v>1</v>
      </c>
      <c r="K1176" s="1" t="s">
        <v>1206</v>
      </c>
      <c r="L1176" s="11" t="s">
        <v>234</v>
      </c>
      <c r="M1176" s="11"/>
      <c r="N1176" s="11"/>
      <c r="O1176" s="11"/>
      <c r="P1176" s="123"/>
      <c r="Q1176" s="121"/>
      <c r="R1176" s="11"/>
      <c r="S1176" s="11" t="s">
        <v>1181</v>
      </c>
      <c r="T1176" s="157"/>
    </row>
    <row r="1177" spans="1:20" x14ac:dyDescent="0.2">
      <c r="A1177" s="33" t="s">
        <v>880</v>
      </c>
      <c r="B1177" s="7">
        <f>C1176+1</f>
        <v>35554</v>
      </c>
      <c r="C1177" s="7">
        <f>B1177+($F1177*$G1177)-1</f>
        <v>35554</v>
      </c>
      <c r="D1177" s="9" t="s">
        <v>895</v>
      </c>
      <c r="E1177" s="8" t="s">
        <v>1257</v>
      </c>
      <c r="F1177" s="7">
        <v>1</v>
      </c>
      <c r="G1177" s="7">
        <v>1</v>
      </c>
      <c r="H1177" s="7"/>
      <c r="I1177" s="9">
        <f>F1177*2*G1177</f>
        <v>2</v>
      </c>
      <c r="J1177" s="9">
        <f>C1177-B1177+1</f>
        <v>1</v>
      </c>
      <c r="K1177" s="63" t="s">
        <v>77</v>
      </c>
      <c r="L1177" s="11" t="s">
        <v>234</v>
      </c>
      <c r="M1177" s="11"/>
      <c r="N1177" s="11"/>
      <c r="O1177" s="11"/>
      <c r="P1177" s="10"/>
      <c r="Q1177" s="10"/>
      <c r="R1177" s="11"/>
      <c r="S1177" s="11" t="s">
        <v>1181</v>
      </c>
      <c r="T1177" s="157"/>
    </row>
    <row r="1178" spans="1:20" x14ac:dyDescent="0.2">
      <c r="A1178" s="33"/>
      <c r="B1178" s="47">
        <f>B1179</f>
        <v>35601</v>
      </c>
      <c r="C1178" s="26"/>
      <c r="D1178" s="28"/>
      <c r="E1178" s="26" t="s">
        <v>1452</v>
      </c>
      <c r="F1178" s="26"/>
      <c r="G1178" s="26"/>
      <c r="H1178" s="26"/>
      <c r="I1178" s="28"/>
      <c r="J1178" s="28"/>
      <c r="K1178" s="196"/>
      <c r="L1178" s="197"/>
      <c r="M1178" s="197"/>
      <c r="N1178" s="197"/>
      <c r="O1178" s="197"/>
      <c r="P1178" s="10"/>
      <c r="Q1178" s="10"/>
      <c r="R1178" s="188"/>
      <c r="S1178" s="188"/>
      <c r="T1178" s="198"/>
    </row>
    <row r="1179" spans="1:20" x14ac:dyDescent="0.2">
      <c r="A1179" s="33" t="s">
        <v>880</v>
      </c>
      <c r="B1179" s="7">
        <v>35601</v>
      </c>
      <c r="C1179" s="7">
        <f t="shared" ref="C1179:C1187" si="218">B1179+($F1179*$G1179)-1</f>
        <v>35601</v>
      </c>
      <c r="D1179" s="9" t="s">
        <v>895</v>
      </c>
      <c r="E1179" s="8" t="s">
        <v>630</v>
      </c>
      <c r="F1179" s="7">
        <v>1</v>
      </c>
      <c r="G1179" s="7">
        <v>1</v>
      </c>
      <c r="H1179" s="7"/>
      <c r="I1179" s="9">
        <f t="shared" ref="I1179:I1187" si="219">F1179*2*G1179</f>
        <v>2</v>
      </c>
      <c r="J1179" s="9">
        <f t="shared" ref="J1179:J1187" si="220">C1179-B1179+1</f>
        <v>1</v>
      </c>
      <c r="K1179" s="10" t="s">
        <v>637</v>
      </c>
      <c r="L1179" s="11" t="s">
        <v>797</v>
      </c>
      <c r="M1179" s="11"/>
      <c r="N1179" s="11"/>
      <c r="O1179" s="11"/>
      <c r="P1179" s="11"/>
      <c r="Q1179" s="11"/>
      <c r="R1179" s="11"/>
      <c r="S1179" s="11" t="s">
        <v>1181</v>
      </c>
      <c r="T1179" s="157"/>
    </row>
    <row r="1180" spans="1:20" x14ac:dyDescent="0.2">
      <c r="A1180" s="33" t="s">
        <v>880</v>
      </c>
      <c r="B1180" s="7">
        <f t="shared" ref="B1180:B1187" si="221">C1179+1</f>
        <v>35602</v>
      </c>
      <c r="C1180" s="7">
        <f t="shared" si="218"/>
        <v>35602</v>
      </c>
      <c r="D1180" s="9" t="s">
        <v>895</v>
      </c>
      <c r="E1180" s="8" t="s">
        <v>631</v>
      </c>
      <c r="F1180" s="7">
        <v>1</v>
      </c>
      <c r="G1180" s="7">
        <v>1</v>
      </c>
      <c r="H1180" s="7"/>
      <c r="I1180" s="9">
        <f t="shared" si="219"/>
        <v>2</v>
      </c>
      <c r="J1180" s="9">
        <f t="shared" si="220"/>
        <v>1</v>
      </c>
      <c r="K1180" s="10" t="s">
        <v>638</v>
      </c>
      <c r="L1180" s="11" t="s">
        <v>797</v>
      </c>
      <c r="M1180" s="11"/>
      <c r="N1180" s="11"/>
      <c r="O1180" s="11"/>
      <c r="P1180" s="11"/>
      <c r="Q1180" s="11"/>
      <c r="R1180" s="11"/>
      <c r="S1180" s="11" t="s">
        <v>1181</v>
      </c>
      <c r="T1180" s="157"/>
    </row>
    <row r="1181" spans="1:20" x14ac:dyDescent="0.2">
      <c r="A1181" s="33" t="s">
        <v>880</v>
      </c>
      <c r="B1181" s="7">
        <f t="shared" si="221"/>
        <v>35603</v>
      </c>
      <c r="C1181" s="7">
        <f t="shared" si="218"/>
        <v>35604</v>
      </c>
      <c r="D1181" s="9" t="s">
        <v>895</v>
      </c>
      <c r="E1181" s="8" t="s">
        <v>632</v>
      </c>
      <c r="F1181" s="7">
        <v>1</v>
      </c>
      <c r="G1181" s="7">
        <v>2</v>
      </c>
      <c r="H1181" s="7"/>
      <c r="I1181" s="9">
        <f t="shared" si="219"/>
        <v>4</v>
      </c>
      <c r="J1181" s="9">
        <f t="shared" si="220"/>
        <v>2</v>
      </c>
      <c r="K1181" s="10" t="s">
        <v>639</v>
      </c>
      <c r="L1181" s="11" t="s">
        <v>797</v>
      </c>
      <c r="M1181" s="11"/>
      <c r="N1181" s="11"/>
      <c r="O1181" s="11"/>
      <c r="P1181" s="11"/>
      <c r="Q1181" s="11"/>
      <c r="R1181" s="11"/>
      <c r="S1181" s="11" t="s">
        <v>1181</v>
      </c>
      <c r="T1181" s="157"/>
    </row>
    <row r="1182" spans="1:20" x14ac:dyDescent="0.2">
      <c r="A1182" s="33" t="s">
        <v>880</v>
      </c>
      <c r="B1182" s="7">
        <f>C1181+1</f>
        <v>35605</v>
      </c>
      <c r="C1182" s="7">
        <f>B1182+($F1182*$G1182)-1</f>
        <v>35605</v>
      </c>
      <c r="D1182" s="9" t="s">
        <v>895</v>
      </c>
      <c r="E1182" s="8" t="s">
        <v>1386</v>
      </c>
      <c r="F1182" s="7">
        <v>1</v>
      </c>
      <c r="G1182" s="7">
        <v>1</v>
      </c>
      <c r="H1182" s="7"/>
      <c r="I1182" s="9">
        <f t="shared" si="219"/>
        <v>2</v>
      </c>
      <c r="J1182" s="9">
        <f t="shared" si="220"/>
        <v>1</v>
      </c>
      <c r="K1182" s="10" t="s">
        <v>638</v>
      </c>
      <c r="L1182" s="11" t="s">
        <v>797</v>
      </c>
      <c r="M1182" s="11"/>
      <c r="N1182" s="11"/>
      <c r="O1182" s="11"/>
      <c r="P1182" s="11"/>
      <c r="Q1182" s="11"/>
      <c r="R1182" s="11"/>
      <c r="S1182" s="11" t="s">
        <v>1181</v>
      </c>
      <c r="T1182" s="157"/>
    </row>
    <row r="1183" spans="1:20" x14ac:dyDescent="0.2">
      <c r="A1183" s="33" t="s">
        <v>880</v>
      </c>
      <c r="B1183" s="7">
        <f>C1182+1</f>
        <v>35606</v>
      </c>
      <c r="C1183" s="7">
        <f t="shared" si="218"/>
        <v>35607</v>
      </c>
      <c r="D1183" s="9" t="s">
        <v>895</v>
      </c>
      <c r="E1183" s="8" t="s">
        <v>770</v>
      </c>
      <c r="F1183" s="7">
        <v>1</v>
      </c>
      <c r="G1183" s="7">
        <v>2</v>
      </c>
      <c r="H1183" s="7"/>
      <c r="I1183" s="9">
        <f t="shared" si="219"/>
        <v>4</v>
      </c>
      <c r="J1183" s="9">
        <f t="shared" si="220"/>
        <v>2</v>
      </c>
      <c r="K1183" s="10" t="s">
        <v>1428</v>
      </c>
      <c r="L1183" s="11" t="s">
        <v>797</v>
      </c>
      <c r="M1183" s="11"/>
      <c r="N1183" s="11"/>
      <c r="O1183" s="11"/>
      <c r="P1183" s="11"/>
      <c r="Q1183" s="11"/>
      <c r="R1183" s="11"/>
      <c r="S1183" s="11" t="s">
        <v>1181</v>
      </c>
      <c r="T1183" s="157"/>
    </row>
    <row r="1184" spans="1:20" ht="56.25" x14ac:dyDescent="0.2">
      <c r="A1184" s="33" t="s">
        <v>880</v>
      </c>
      <c r="B1184" s="7">
        <f t="shared" si="221"/>
        <v>35608</v>
      </c>
      <c r="C1184" s="7">
        <f t="shared" si="218"/>
        <v>35608</v>
      </c>
      <c r="D1184" s="9" t="s">
        <v>895</v>
      </c>
      <c r="E1184" s="8" t="s">
        <v>633</v>
      </c>
      <c r="F1184" s="7">
        <v>1</v>
      </c>
      <c r="G1184" s="7">
        <v>1</v>
      </c>
      <c r="H1184" s="7"/>
      <c r="I1184" s="9">
        <f t="shared" si="219"/>
        <v>2</v>
      </c>
      <c r="J1184" s="9">
        <f t="shared" si="220"/>
        <v>1</v>
      </c>
      <c r="K1184" s="165" t="s">
        <v>1538</v>
      </c>
      <c r="L1184" s="11" t="s">
        <v>797</v>
      </c>
      <c r="M1184" s="11"/>
      <c r="N1184" s="11"/>
      <c r="O1184" s="11"/>
      <c r="P1184" s="11"/>
      <c r="Q1184" s="11"/>
      <c r="R1184" s="11"/>
      <c r="S1184" s="11" t="s">
        <v>1181</v>
      </c>
      <c r="T1184" s="157"/>
    </row>
    <row r="1185" spans="1:20" x14ac:dyDescent="0.2">
      <c r="A1185" s="33" t="s">
        <v>880</v>
      </c>
      <c r="B1185" s="7">
        <f t="shared" si="221"/>
        <v>35609</v>
      </c>
      <c r="C1185" s="7">
        <f t="shared" si="218"/>
        <v>35609</v>
      </c>
      <c r="D1185" s="9" t="s">
        <v>895</v>
      </c>
      <c r="E1185" s="8" t="s">
        <v>634</v>
      </c>
      <c r="F1185" s="7">
        <v>1</v>
      </c>
      <c r="G1185" s="7">
        <v>1</v>
      </c>
      <c r="H1185" s="7"/>
      <c r="I1185" s="9">
        <f t="shared" si="219"/>
        <v>2</v>
      </c>
      <c r="J1185" s="9">
        <f t="shared" si="220"/>
        <v>1</v>
      </c>
      <c r="K1185" s="10" t="s">
        <v>1947</v>
      </c>
      <c r="L1185" s="11" t="s">
        <v>797</v>
      </c>
      <c r="M1185" s="11"/>
      <c r="N1185" s="11"/>
      <c r="O1185" s="11"/>
      <c r="P1185" s="11"/>
      <c r="Q1185" s="11"/>
      <c r="R1185" s="11"/>
      <c r="S1185" s="11" t="s">
        <v>1181</v>
      </c>
      <c r="T1185" s="157"/>
    </row>
    <row r="1186" spans="1:20" ht="11.25" customHeight="1" x14ac:dyDescent="0.2">
      <c r="A1186" s="33" t="s">
        <v>880</v>
      </c>
      <c r="B1186" s="7">
        <f t="shared" si="221"/>
        <v>35610</v>
      </c>
      <c r="C1186" s="7">
        <f t="shared" si="218"/>
        <v>35610</v>
      </c>
      <c r="D1186" s="9" t="s">
        <v>895</v>
      </c>
      <c r="E1186" s="8" t="s">
        <v>635</v>
      </c>
      <c r="F1186" s="7">
        <v>1</v>
      </c>
      <c r="G1186" s="7">
        <v>1</v>
      </c>
      <c r="H1186" s="7"/>
      <c r="I1186" s="9">
        <f t="shared" si="219"/>
        <v>2</v>
      </c>
      <c r="J1186" s="9">
        <f t="shared" si="220"/>
        <v>1</v>
      </c>
      <c r="K1186" s="10" t="s">
        <v>640</v>
      </c>
      <c r="L1186" s="11" t="s">
        <v>797</v>
      </c>
      <c r="M1186" s="11"/>
      <c r="N1186" s="11"/>
      <c r="O1186" s="11"/>
      <c r="P1186" s="11"/>
      <c r="Q1186" s="11"/>
      <c r="R1186" s="11"/>
      <c r="S1186" s="11" t="s">
        <v>1181</v>
      </c>
      <c r="T1186" s="157"/>
    </row>
    <row r="1187" spans="1:20" x14ac:dyDescent="0.2">
      <c r="A1187" s="33" t="s">
        <v>880</v>
      </c>
      <c r="B1187" s="7">
        <f t="shared" si="221"/>
        <v>35611</v>
      </c>
      <c r="C1187" s="7">
        <f t="shared" si="218"/>
        <v>35611</v>
      </c>
      <c r="D1187" s="9" t="s">
        <v>895</v>
      </c>
      <c r="E1187" s="8" t="s">
        <v>636</v>
      </c>
      <c r="F1187" s="7">
        <v>1</v>
      </c>
      <c r="G1187" s="7">
        <v>1</v>
      </c>
      <c r="H1187" s="7"/>
      <c r="I1187" s="9">
        <f t="shared" si="219"/>
        <v>2</v>
      </c>
      <c r="J1187" s="9">
        <f t="shared" si="220"/>
        <v>1</v>
      </c>
      <c r="K1187" s="10" t="s">
        <v>1699</v>
      </c>
      <c r="L1187" s="11" t="s">
        <v>797</v>
      </c>
      <c r="M1187" s="11"/>
      <c r="N1187" s="11"/>
      <c r="O1187" s="11"/>
      <c r="P1187" s="11"/>
      <c r="Q1187" s="11"/>
      <c r="R1187" s="11"/>
      <c r="S1187" s="11" t="s">
        <v>1181</v>
      </c>
      <c r="T1187" s="157"/>
    </row>
    <row r="1188" spans="1:20" x14ac:dyDescent="0.2">
      <c r="A1188" s="33"/>
      <c r="B1188" s="47">
        <f>B1189</f>
        <v>48000</v>
      </c>
      <c r="C1188" s="26"/>
      <c r="D1188" s="28"/>
      <c r="E1188" s="26" t="s">
        <v>1464</v>
      </c>
      <c r="F1188" s="26"/>
      <c r="G1188" s="26"/>
      <c r="H1188" s="26"/>
      <c r="I1188" s="28"/>
      <c r="J1188" s="28"/>
      <c r="K1188" s="196"/>
      <c r="L1188" s="197"/>
      <c r="M1188" s="197"/>
      <c r="N1188" s="197"/>
      <c r="O1188" s="197"/>
      <c r="P1188" s="10"/>
      <c r="Q1188" s="10"/>
      <c r="R1188" s="188"/>
      <c r="S1188" s="188"/>
      <c r="T1188" s="198"/>
    </row>
    <row r="1189" spans="1:20" x14ac:dyDescent="0.2">
      <c r="A1189" s="33" t="s">
        <v>880</v>
      </c>
      <c r="B1189" s="7">
        <v>48000</v>
      </c>
      <c r="C1189" s="7">
        <f t="shared" ref="C1189:C1196" si="222">B1189+($F1189*$G1189)-1</f>
        <v>48000</v>
      </c>
      <c r="D1189" s="9" t="s">
        <v>895</v>
      </c>
      <c r="E1189" s="8" t="s">
        <v>1465</v>
      </c>
      <c r="F1189" s="7">
        <v>1</v>
      </c>
      <c r="G1189" s="7">
        <v>1</v>
      </c>
      <c r="H1189" s="7"/>
      <c r="I1189" s="9">
        <f t="shared" ref="I1189:I1199" si="223">F1189*2*G1189</f>
        <v>2</v>
      </c>
      <c r="J1189" s="9">
        <f t="shared" ref="J1189:J1199" si="224">C1189-B1189+1</f>
        <v>1</v>
      </c>
      <c r="K1189" s="10" t="s">
        <v>1481</v>
      </c>
      <c r="L1189" s="11" t="s">
        <v>793</v>
      </c>
      <c r="M1189" s="11"/>
      <c r="N1189" s="11"/>
      <c r="O1189" s="11"/>
      <c r="P1189" s="11"/>
      <c r="Q1189" s="11"/>
      <c r="R1189" s="11"/>
      <c r="S1189" s="11" t="s">
        <v>1181</v>
      </c>
      <c r="T1189" s="157"/>
    </row>
    <row r="1190" spans="1:20" x14ac:dyDescent="0.2">
      <c r="A1190" s="33" t="s">
        <v>880</v>
      </c>
      <c r="B1190" s="7">
        <f t="shared" ref="B1190:B1195" si="225">C1189+1</f>
        <v>48001</v>
      </c>
      <c r="C1190" s="7">
        <f t="shared" si="222"/>
        <v>48001</v>
      </c>
      <c r="D1190" s="9" t="s">
        <v>895</v>
      </c>
      <c r="E1190" s="8" t="s">
        <v>1480</v>
      </c>
      <c r="F1190" s="7">
        <v>1</v>
      </c>
      <c r="G1190" s="7">
        <v>1</v>
      </c>
      <c r="H1190" s="7"/>
      <c r="I1190" s="9">
        <f t="shared" si="223"/>
        <v>2</v>
      </c>
      <c r="J1190" s="9">
        <f t="shared" si="224"/>
        <v>1</v>
      </c>
      <c r="K1190" s="10" t="s">
        <v>1482</v>
      </c>
      <c r="L1190" s="11" t="s">
        <v>793</v>
      </c>
      <c r="M1190" s="11"/>
      <c r="N1190" s="11"/>
      <c r="O1190" s="11"/>
      <c r="P1190" s="11"/>
      <c r="Q1190" s="11"/>
      <c r="R1190" s="11"/>
      <c r="S1190" s="11" t="s">
        <v>1181</v>
      </c>
      <c r="T1190" s="157"/>
    </row>
    <row r="1191" spans="1:20" x14ac:dyDescent="0.2">
      <c r="A1191" s="33" t="s">
        <v>880</v>
      </c>
      <c r="B1191" s="7">
        <f t="shared" si="225"/>
        <v>48002</v>
      </c>
      <c r="C1191" s="7">
        <f t="shared" si="222"/>
        <v>48002</v>
      </c>
      <c r="D1191" s="9" t="s">
        <v>895</v>
      </c>
      <c r="E1191" s="8" t="s">
        <v>473</v>
      </c>
      <c r="F1191" s="7">
        <v>1</v>
      </c>
      <c r="G1191" s="7">
        <v>1</v>
      </c>
      <c r="H1191" s="7"/>
      <c r="I1191" s="9">
        <f t="shared" si="223"/>
        <v>2</v>
      </c>
      <c r="J1191" s="9">
        <f t="shared" si="224"/>
        <v>1</v>
      </c>
      <c r="K1191" s="10" t="s">
        <v>1475</v>
      </c>
      <c r="L1191" s="11" t="s">
        <v>793</v>
      </c>
      <c r="M1191" s="11"/>
      <c r="N1191" s="11"/>
      <c r="O1191" s="11"/>
      <c r="P1191" s="11"/>
      <c r="Q1191" s="11"/>
      <c r="R1191" s="11"/>
      <c r="S1191" s="11" t="s">
        <v>1181</v>
      </c>
      <c r="T1191" s="157"/>
    </row>
    <row r="1192" spans="1:20" ht="24" x14ac:dyDescent="0.2">
      <c r="A1192" s="33" t="s">
        <v>880</v>
      </c>
      <c r="B1192" s="7">
        <f t="shared" si="225"/>
        <v>48003</v>
      </c>
      <c r="C1192" s="7">
        <f t="shared" si="222"/>
        <v>48003</v>
      </c>
      <c r="D1192" s="9" t="s">
        <v>895</v>
      </c>
      <c r="E1192" s="8" t="s">
        <v>1472</v>
      </c>
      <c r="F1192" s="7">
        <v>1</v>
      </c>
      <c r="G1192" s="7">
        <v>1</v>
      </c>
      <c r="H1192" s="7"/>
      <c r="I1192" s="9">
        <f t="shared" si="223"/>
        <v>2</v>
      </c>
      <c r="J1192" s="9">
        <f t="shared" si="224"/>
        <v>1</v>
      </c>
      <c r="K1192" s="309" t="s">
        <v>1479</v>
      </c>
      <c r="L1192" s="11" t="s">
        <v>793</v>
      </c>
      <c r="M1192" s="11"/>
      <c r="N1192" s="11"/>
      <c r="O1192" s="11"/>
      <c r="P1192" s="11"/>
      <c r="Q1192" s="11"/>
      <c r="R1192" s="11"/>
      <c r="S1192" s="11" t="s">
        <v>1181</v>
      </c>
      <c r="T1192" s="157"/>
    </row>
    <row r="1193" spans="1:20" x14ac:dyDescent="0.2">
      <c r="A1193" s="33" t="s">
        <v>880</v>
      </c>
      <c r="B1193" s="7">
        <f t="shared" si="225"/>
        <v>48004</v>
      </c>
      <c r="C1193" s="7">
        <f t="shared" si="222"/>
        <v>48004</v>
      </c>
      <c r="D1193" s="9" t="s">
        <v>895</v>
      </c>
      <c r="E1193" s="8" t="s">
        <v>1473</v>
      </c>
      <c r="F1193" s="7">
        <v>1</v>
      </c>
      <c r="G1193" s="7">
        <v>1</v>
      </c>
      <c r="H1193" s="7"/>
      <c r="I1193" s="9">
        <f t="shared" si="223"/>
        <v>2</v>
      </c>
      <c r="J1193" s="9">
        <f t="shared" si="224"/>
        <v>1</v>
      </c>
      <c r="K1193" s="308" t="s">
        <v>1474</v>
      </c>
      <c r="L1193" s="11" t="s">
        <v>793</v>
      </c>
      <c r="M1193" s="11"/>
      <c r="N1193" s="11"/>
      <c r="O1193" s="11"/>
      <c r="P1193" s="11"/>
      <c r="Q1193" s="11"/>
      <c r="R1193" s="11"/>
      <c r="S1193" s="11" t="s">
        <v>1181</v>
      </c>
      <c r="T1193" s="157"/>
    </row>
    <row r="1194" spans="1:20" x14ac:dyDescent="0.2">
      <c r="A1194" s="33" t="s">
        <v>880</v>
      </c>
      <c r="B1194" s="7">
        <f t="shared" si="225"/>
        <v>48005</v>
      </c>
      <c r="C1194" s="7">
        <f t="shared" si="222"/>
        <v>48005</v>
      </c>
      <c r="D1194" s="9" t="s">
        <v>895</v>
      </c>
      <c r="E1194" s="8" t="s">
        <v>1471</v>
      </c>
      <c r="F1194" s="7">
        <v>1</v>
      </c>
      <c r="G1194" s="7">
        <v>1</v>
      </c>
      <c r="H1194" s="7"/>
      <c r="I1194" s="9">
        <f t="shared" si="223"/>
        <v>2</v>
      </c>
      <c r="J1194" s="9">
        <f t="shared" si="224"/>
        <v>1</v>
      </c>
      <c r="K1194" s="467" t="s">
        <v>1476</v>
      </c>
      <c r="L1194" s="11" t="s">
        <v>793</v>
      </c>
      <c r="M1194" s="11"/>
      <c r="N1194" s="11"/>
      <c r="O1194" s="11"/>
      <c r="P1194" s="11"/>
      <c r="Q1194" s="11"/>
      <c r="R1194" s="11"/>
      <c r="S1194" s="11" t="s">
        <v>1181</v>
      </c>
      <c r="T1194" s="157"/>
    </row>
    <row r="1195" spans="1:20" ht="11.25" customHeight="1" x14ac:dyDescent="0.2">
      <c r="A1195" s="33" t="s">
        <v>880</v>
      </c>
      <c r="B1195" s="7">
        <f t="shared" si="225"/>
        <v>48006</v>
      </c>
      <c r="C1195" s="7">
        <f t="shared" si="222"/>
        <v>48006</v>
      </c>
      <c r="D1195" s="9" t="s">
        <v>895</v>
      </c>
      <c r="E1195" s="8" t="s">
        <v>1470</v>
      </c>
      <c r="F1195" s="7">
        <v>1</v>
      </c>
      <c r="G1195" s="7">
        <v>1</v>
      </c>
      <c r="H1195" s="7"/>
      <c r="I1195" s="9">
        <f t="shared" si="223"/>
        <v>2</v>
      </c>
      <c r="J1195" s="9">
        <f t="shared" si="224"/>
        <v>1</v>
      </c>
      <c r="K1195" s="467"/>
      <c r="L1195" s="11" t="s">
        <v>793</v>
      </c>
      <c r="M1195" s="11"/>
      <c r="N1195" s="11"/>
      <c r="O1195" s="11"/>
      <c r="P1195" s="11"/>
      <c r="Q1195" s="11"/>
      <c r="R1195" s="11"/>
      <c r="S1195" s="11" t="s">
        <v>1181</v>
      </c>
      <c r="T1195" s="157"/>
    </row>
    <row r="1196" spans="1:20" x14ac:dyDescent="0.2">
      <c r="A1196" s="33" t="s">
        <v>880</v>
      </c>
      <c r="B1196" s="7">
        <f>C1195+1</f>
        <v>48007</v>
      </c>
      <c r="C1196" s="7">
        <f t="shared" si="222"/>
        <v>48007</v>
      </c>
      <c r="D1196" s="9" t="s">
        <v>895</v>
      </c>
      <c r="E1196" s="8" t="s">
        <v>1469</v>
      </c>
      <c r="F1196" s="7">
        <v>1</v>
      </c>
      <c r="G1196" s="7">
        <v>1</v>
      </c>
      <c r="H1196" s="7"/>
      <c r="I1196" s="9">
        <f t="shared" si="223"/>
        <v>2</v>
      </c>
      <c r="J1196" s="9">
        <f t="shared" si="224"/>
        <v>1</v>
      </c>
      <c r="K1196" s="467" t="s">
        <v>1478</v>
      </c>
      <c r="L1196" s="11" t="s">
        <v>793</v>
      </c>
      <c r="M1196" s="11"/>
      <c r="N1196" s="11"/>
      <c r="O1196" s="11"/>
      <c r="P1196" s="11"/>
      <c r="Q1196" s="11"/>
      <c r="R1196" s="11"/>
      <c r="S1196" s="11" t="s">
        <v>1181</v>
      </c>
      <c r="T1196" s="157"/>
    </row>
    <row r="1197" spans="1:20" ht="11.25" customHeight="1" x14ac:dyDescent="0.2">
      <c r="A1197" s="33" t="s">
        <v>880</v>
      </c>
      <c r="B1197" s="7">
        <f>C1196+1</f>
        <v>48008</v>
      </c>
      <c r="C1197" s="7">
        <f>B1197+($F1197*$G1197)-1</f>
        <v>48008</v>
      </c>
      <c r="D1197" s="9" t="s">
        <v>895</v>
      </c>
      <c r="E1197" s="8" t="s">
        <v>1468</v>
      </c>
      <c r="F1197" s="7">
        <v>1</v>
      </c>
      <c r="G1197" s="7">
        <v>1</v>
      </c>
      <c r="H1197" s="7"/>
      <c r="I1197" s="9">
        <f t="shared" si="223"/>
        <v>2</v>
      </c>
      <c r="J1197" s="9">
        <f t="shared" si="224"/>
        <v>1</v>
      </c>
      <c r="K1197" s="467"/>
      <c r="L1197" s="11" t="s">
        <v>793</v>
      </c>
      <c r="M1197" s="11"/>
      <c r="N1197" s="11"/>
      <c r="O1197" s="11"/>
      <c r="P1197" s="11"/>
      <c r="Q1197" s="11"/>
      <c r="R1197" s="11"/>
      <c r="S1197" s="11" t="s">
        <v>1181</v>
      </c>
      <c r="T1197" s="157"/>
    </row>
    <row r="1198" spans="1:20" x14ac:dyDescent="0.2">
      <c r="A1198" s="33" t="s">
        <v>880</v>
      </c>
      <c r="B1198" s="7">
        <f>C1197+1</f>
        <v>48009</v>
      </c>
      <c r="C1198" s="7">
        <f>B1198+($F1198*$G1198)-1</f>
        <v>48009</v>
      </c>
      <c r="D1198" s="9" t="s">
        <v>895</v>
      </c>
      <c r="E1198" s="8" t="s">
        <v>1467</v>
      </c>
      <c r="F1198" s="7">
        <v>1</v>
      </c>
      <c r="G1198" s="7">
        <v>1</v>
      </c>
      <c r="H1198" s="7"/>
      <c r="I1198" s="9">
        <f t="shared" si="223"/>
        <v>2</v>
      </c>
      <c r="J1198" s="9">
        <f t="shared" si="224"/>
        <v>1</v>
      </c>
      <c r="K1198" s="467" t="s">
        <v>1477</v>
      </c>
      <c r="L1198" s="11" t="s">
        <v>793</v>
      </c>
      <c r="M1198" s="11"/>
      <c r="N1198" s="11"/>
      <c r="O1198" s="11"/>
      <c r="P1198" s="11"/>
      <c r="Q1198" s="11"/>
      <c r="R1198" s="11"/>
      <c r="S1198" s="11" t="s">
        <v>1181</v>
      </c>
      <c r="T1198" s="157"/>
    </row>
    <row r="1199" spans="1:20" ht="11.25" customHeight="1" x14ac:dyDescent="0.2">
      <c r="A1199" s="33" t="s">
        <v>880</v>
      </c>
      <c r="B1199" s="7">
        <f>C1198+1</f>
        <v>48010</v>
      </c>
      <c r="C1199" s="7">
        <f>B1199+($F1199*$G1199)-1</f>
        <v>48010</v>
      </c>
      <c r="D1199" s="9" t="s">
        <v>895</v>
      </c>
      <c r="E1199" s="8" t="s">
        <v>1466</v>
      </c>
      <c r="F1199" s="7">
        <v>1</v>
      </c>
      <c r="G1199" s="7">
        <v>1</v>
      </c>
      <c r="H1199" s="7"/>
      <c r="I1199" s="9">
        <f t="shared" si="223"/>
        <v>2</v>
      </c>
      <c r="J1199" s="9">
        <f t="shared" si="224"/>
        <v>1</v>
      </c>
      <c r="K1199" s="467"/>
      <c r="L1199" s="11" t="s">
        <v>793</v>
      </c>
      <c r="M1199" s="11"/>
      <c r="N1199" s="11"/>
      <c r="O1199" s="11"/>
      <c r="P1199" s="11"/>
      <c r="Q1199" s="11"/>
      <c r="R1199" s="11"/>
      <c r="S1199" s="11" t="s">
        <v>1181</v>
      </c>
      <c r="T1199" s="157"/>
    </row>
    <row r="1200" spans="1:20" x14ac:dyDescent="0.2">
      <c r="A1200" s="33"/>
      <c r="B1200" s="47">
        <f>B1201</f>
        <v>48015</v>
      </c>
      <c r="C1200" s="26"/>
      <c r="D1200" s="28"/>
      <c r="E1200" s="26" t="s">
        <v>811</v>
      </c>
      <c r="F1200" s="26"/>
      <c r="G1200" s="26"/>
      <c r="H1200" s="26"/>
      <c r="I1200" s="28"/>
      <c r="J1200" s="28"/>
      <c r="K1200" s="196"/>
      <c r="L1200" s="197"/>
      <c r="M1200" s="197"/>
      <c r="N1200" s="197"/>
      <c r="O1200" s="197"/>
      <c r="P1200" s="10"/>
      <c r="Q1200" s="10"/>
      <c r="R1200" s="188"/>
      <c r="S1200" s="188"/>
      <c r="T1200" s="198"/>
    </row>
    <row r="1201" spans="1:20" x14ac:dyDescent="0.2">
      <c r="A1201" s="33" t="s">
        <v>880</v>
      </c>
      <c r="B1201" s="7">
        <v>48015</v>
      </c>
      <c r="C1201" s="7">
        <f t="shared" ref="C1201:C1208" si="226">B1201+($F1201*$G1201)-1</f>
        <v>48015</v>
      </c>
      <c r="D1201" s="9" t="s">
        <v>895</v>
      </c>
      <c r="E1201" s="8" t="s">
        <v>761</v>
      </c>
      <c r="F1201" s="7">
        <v>1</v>
      </c>
      <c r="G1201" s="7">
        <v>1</v>
      </c>
      <c r="H1201" s="7"/>
      <c r="I1201" s="9">
        <f t="shared" ref="I1201:I1208" si="227">F1201*2*G1201</f>
        <v>2</v>
      </c>
      <c r="J1201" s="9">
        <f t="shared" ref="J1201:J1208" si="228">C1201-B1201+1</f>
        <v>1</v>
      </c>
      <c r="K1201" s="10" t="s">
        <v>158</v>
      </c>
      <c r="L1201" s="11" t="s">
        <v>234</v>
      </c>
      <c r="M1201" s="11"/>
      <c r="N1201" s="11"/>
      <c r="O1201" s="11"/>
      <c r="P1201" s="11"/>
      <c r="Q1201" s="11"/>
      <c r="R1201" s="11"/>
      <c r="S1201" s="11" t="s">
        <v>1181</v>
      </c>
      <c r="T1201" s="157"/>
    </row>
    <row r="1202" spans="1:20" ht="11.25" customHeight="1" x14ac:dyDescent="0.2">
      <c r="A1202" s="33" t="s">
        <v>880</v>
      </c>
      <c r="B1202" s="7">
        <f t="shared" ref="B1202:B1207" si="229">C1201+1</f>
        <v>48016</v>
      </c>
      <c r="C1202" s="7">
        <f t="shared" si="226"/>
        <v>48016</v>
      </c>
      <c r="D1202" s="9" t="s">
        <v>895</v>
      </c>
      <c r="E1202" s="8" t="s">
        <v>762</v>
      </c>
      <c r="F1202" s="7">
        <v>1</v>
      </c>
      <c r="G1202" s="7">
        <v>1</v>
      </c>
      <c r="H1202" s="7"/>
      <c r="I1202" s="9">
        <f t="shared" si="227"/>
        <v>2</v>
      </c>
      <c r="J1202" s="9">
        <f t="shared" si="228"/>
        <v>1</v>
      </c>
      <c r="K1202" s="10" t="s">
        <v>159</v>
      </c>
      <c r="L1202" s="11" t="s">
        <v>234</v>
      </c>
      <c r="M1202" s="11"/>
      <c r="N1202" s="11"/>
      <c r="O1202" s="11"/>
      <c r="P1202" s="11"/>
      <c r="Q1202" s="11"/>
      <c r="R1202" s="11"/>
      <c r="S1202" s="11" t="s">
        <v>1181</v>
      </c>
      <c r="T1202" s="157"/>
    </row>
    <row r="1203" spans="1:20" ht="11.25" customHeight="1" x14ac:dyDescent="0.2">
      <c r="A1203" s="33" t="s">
        <v>880</v>
      </c>
      <c r="B1203" s="7">
        <f t="shared" si="229"/>
        <v>48017</v>
      </c>
      <c r="C1203" s="7">
        <f t="shared" si="226"/>
        <v>48017</v>
      </c>
      <c r="D1203" s="9" t="s">
        <v>895</v>
      </c>
      <c r="E1203" s="8" t="s">
        <v>779</v>
      </c>
      <c r="F1203" s="7">
        <v>1</v>
      </c>
      <c r="G1203" s="7">
        <v>1</v>
      </c>
      <c r="H1203" s="7"/>
      <c r="I1203" s="9">
        <f t="shared" si="227"/>
        <v>2</v>
      </c>
      <c r="J1203" s="9">
        <f t="shared" si="228"/>
        <v>1</v>
      </c>
      <c r="K1203" s="10" t="s">
        <v>160</v>
      </c>
      <c r="L1203" s="11" t="s">
        <v>234</v>
      </c>
      <c r="M1203" s="11"/>
      <c r="N1203" s="11"/>
      <c r="O1203" s="11"/>
      <c r="P1203" s="11"/>
      <c r="Q1203" s="11"/>
      <c r="R1203" s="11"/>
      <c r="S1203" s="11" t="s">
        <v>1181</v>
      </c>
      <c r="T1203" s="157"/>
    </row>
    <row r="1204" spans="1:20" ht="11.25" customHeight="1" x14ac:dyDescent="0.2">
      <c r="A1204" s="33" t="s">
        <v>880</v>
      </c>
      <c r="B1204" s="7">
        <f t="shared" si="229"/>
        <v>48018</v>
      </c>
      <c r="C1204" s="7">
        <f t="shared" si="226"/>
        <v>48018</v>
      </c>
      <c r="D1204" s="9" t="s">
        <v>895</v>
      </c>
      <c r="E1204" s="8" t="s">
        <v>763</v>
      </c>
      <c r="F1204" s="7">
        <v>1</v>
      </c>
      <c r="G1204" s="7">
        <v>1</v>
      </c>
      <c r="H1204" s="7"/>
      <c r="I1204" s="9">
        <f t="shared" si="227"/>
        <v>2</v>
      </c>
      <c r="J1204" s="9">
        <f t="shared" si="228"/>
        <v>1</v>
      </c>
      <c r="K1204" s="10" t="s">
        <v>160</v>
      </c>
      <c r="L1204" s="11" t="s">
        <v>234</v>
      </c>
      <c r="M1204" s="11"/>
      <c r="N1204" s="11"/>
      <c r="O1204" s="11"/>
      <c r="P1204" s="11"/>
      <c r="Q1204" s="11"/>
      <c r="R1204" s="11"/>
      <c r="S1204" s="11" t="s">
        <v>1181</v>
      </c>
      <c r="T1204" s="157"/>
    </row>
    <row r="1205" spans="1:20" ht="11.25" customHeight="1" x14ac:dyDescent="0.2">
      <c r="A1205" s="33" t="s">
        <v>880</v>
      </c>
      <c r="B1205" s="7">
        <f t="shared" si="229"/>
        <v>48019</v>
      </c>
      <c r="C1205" s="7">
        <f t="shared" si="226"/>
        <v>48019</v>
      </c>
      <c r="D1205" s="9" t="s">
        <v>895</v>
      </c>
      <c r="E1205" s="8" t="s">
        <v>764</v>
      </c>
      <c r="F1205" s="7">
        <v>1</v>
      </c>
      <c r="G1205" s="7">
        <v>1</v>
      </c>
      <c r="H1205" s="7"/>
      <c r="I1205" s="9">
        <f t="shared" si="227"/>
        <v>2</v>
      </c>
      <c r="J1205" s="9">
        <f t="shared" si="228"/>
        <v>1</v>
      </c>
      <c r="K1205" s="57" t="s">
        <v>1151</v>
      </c>
      <c r="L1205" s="11" t="s">
        <v>234</v>
      </c>
      <c r="M1205" s="11"/>
      <c r="N1205" s="11"/>
      <c r="O1205" s="11"/>
      <c r="P1205" s="11"/>
      <c r="Q1205" s="11"/>
      <c r="R1205" s="11"/>
      <c r="S1205" s="11" t="s">
        <v>1181</v>
      </c>
      <c r="T1205" s="157"/>
    </row>
    <row r="1206" spans="1:20" ht="11.25" customHeight="1" x14ac:dyDescent="0.2">
      <c r="A1206" s="33" t="s">
        <v>880</v>
      </c>
      <c r="B1206" s="7">
        <f t="shared" si="229"/>
        <v>48020</v>
      </c>
      <c r="C1206" s="7">
        <f t="shared" si="226"/>
        <v>48020</v>
      </c>
      <c r="D1206" s="9" t="s">
        <v>895</v>
      </c>
      <c r="E1206" s="8" t="s">
        <v>765</v>
      </c>
      <c r="F1206" s="7">
        <v>1</v>
      </c>
      <c r="G1206" s="7">
        <v>1</v>
      </c>
      <c r="H1206" s="7"/>
      <c r="I1206" s="9">
        <f t="shared" si="227"/>
        <v>2</v>
      </c>
      <c r="J1206" s="9">
        <f t="shared" si="228"/>
        <v>1</v>
      </c>
      <c r="K1206" s="10" t="s">
        <v>160</v>
      </c>
      <c r="L1206" s="11" t="s">
        <v>1081</v>
      </c>
      <c r="M1206" s="11"/>
      <c r="N1206" s="11"/>
      <c r="O1206" s="11"/>
      <c r="P1206" s="11"/>
      <c r="Q1206" s="11"/>
      <c r="R1206" s="11"/>
      <c r="S1206" s="11" t="s">
        <v>1181</v>
      </c>
      <c r="T1206" s="157"/>
    </row>
    <row r="1207" spans="1:20" ht="11.25" customHeight="1" x14ac:dyDescent="0.2">
      <c r="A1207" s="33" t="s">
        <v>880</v>
      </c>
      <c r="B1207" s="7">
        <f t="shared" si="229"/>
        <v>48021</v>
      </c>
      <c r="C1207" s="7">
        <f t="shared" si="226"/>
        <v>48029</v>
      </c>
      <c r="D1207" s="9" t="s">
        <v>895</v>
      </c>
      <c r="E1207" s="8" t="s">
        <v>780</v>
      </c>
      <c r="F1207" s="7">
        <v>9</v>
      </c>
      <c r="G1207" s="7">
        <v>1</v>
      </c>
      <c r="H1207" s="7"/>
      <c r="I1207" s="9">
        <f t="shared" si="227"/>
        <v>18</v>
      </c>
      <c r="J1207" s="9">
        <f t="shared" si="228"/>
        <v>9</v>
      </c>
      <c r="K1207" s="10" t="s">
        <v>160</v>
      </c>
      <c r="L1207" s="11" t="s">
        <v>1081</v>
      </c>
      <c r="M1207" s="11"/>
      <c r="N1207" s="11"/>
      <c r="O1207" s="11"/>
      <c r="P1207" s="11"/>
      <c r="Q1207" s="11"/>
      <c r="R1207" s="11"/>
      <c r="S1207" s="11" t="s">
        <v>1181</v>
      </c>
      <c r="T1207" s="157"/>
    </row>
    <row r="1208" spans="1:20" ht="11.25" customHeight="1" x14ac:dyDescent="0.2">
      <c r="A1208" s="33" t="s">
        <v>880</v>
      </c>
      <c r="B1208" s="7">
        <f>C1207+1</f>
        <v>48030</v>
      </c>
      <c r="C1208" s="7">
        <f t="shared" si="226"/>
        <v>48130</v>
      </c>
      <c r="D1208" s="9" t="s">
        <v>895</v>
      </c>
      <c r="E1208" s="8" t="s">
        <v>781</v>
      </c>
      <c r="F1208" s="7">
        <v>101</v>
      </c>
      <c r="G1208" s="7">
        <v>1</v>
      </c>
      <c r="H1208" s="7"/>
      <c r="I1208" s="9">
        <f t="shared" si="227"/>
        <v>202</v>
      </c>
      <c r="J1208" s="9">
        <f t="shared" si="228"/>
        <v>101</v>
      </c>
      <c r="K1208" s="10" t="s">
        <v>160</v>
      </c>
      <c r="L1208" s="11" t="s">
        <v>1081</v>
      </c>
      <c r="M1208" s="11"/>
      <c r="N1208" s="11"/>
      <c r="O1208" s="11"/>
      <c r="P1208" s="11"/>
      <c r="Q1208" s="11"/>
      <c r="R1208" s="11"/>
      <c r="S1208" s="11" t="s">
        <v>1181</v>
      </c>
      <c r="T1208" s="157"/>
    </row>
    <row r="1209" spans="1:20" ht="11.25" customHeight="1" x14ac:dyDescent="0.2">
      <c r="A1209" s="33"/>
      <c r="B1209" s="47">
        <f>B1210</f>
        <v>48188</v>
      </c>
      <c r="C1209" s="26"/>
      <c r="D1209" s="28"/>
      <c r="E1209" s="26" t="s">
        <v>285</v>
      </c>
      <c r="F1209" s="26"/>
      <c r="G1209" s="26"/>
      <c r="H1209" s="26"/>
      <c r="I1209" s="28"/>
      <c r="J1209" s="28"/>
      <c r="K1209" s="27"/>
      <c r="L1209" s="50"/>
      <c r="M1209" s="50"/>
      <c r="N1209" s="50"/>
      <c r="O1209" s="50"/>
      <c r="P1209" s="10"/>
      <c r="Q1209" s="10"/>
      <c r="R1209" s="146"/>
      <c r="S1209" s="146"/>
      <c r="T1209" s="158"/>
    </row>
    <row r="1210" spans="1:20" ht="11.25" customHeight="1" x14ac:dyDescent="0.2">
      <c r="A1210" s="33" t="s">
        <v>880</v>
      </c>
      <c r="B1210" s="7">
        <v>48188</v>
      </c>
      <c r="C1210" s="7">
        <f>B1210+($F1210*$G1210)-1</f>
        <v>48188</v>
      </c>
      <c r="D1210" s="9" t="s">
        <v>895</v>
      </c>
      <c r="E1210" s="8" t="s">
        <v>1103</v>
      </c>
      <c r="F1210" s="7">
        <v>1</v>
      </c>
      <c r="G1210" s="7">
        <v>1</v>
      </c>
      <c r="H1210" s="7"/>
      <c r="I1210" s="9">
        <f>F1210*G1210*2</f>
        <v>2</v>
      </c>
      <c r="J1210" s="9">
        <f>C1210-B1210+1</f>
        <v>1</v>
      </c>
      <c r="K1210" s="10" t="s">
        <v>768</v>
      </c>
      <c r="L1210" s="11" t="s">
        <v>234</v>
      </c>
      <c r="M1210" s="11"/>
      <c r="N1210" s="11"/>
      <c r="O1210" s="11"/>
      <c r="P1210" s="11"/>
      <c r="Q1210" s="11"/>
      <c r="R1210" s="11"/>
      <c r="S1210" s="11" t="s">
        <v>1181</v>
      </c>
      <c r="T1210" s="117"/>
    </row>
    <row r="1211" spans="1:20" ht="11.25" customHeight="1" x14ac:dyDescent="0.2">
      <c r="A1211" s="33" t="s">
        <v>880</v>
      </c>
      <c r="B1211" s="7">
        <f>C1210+1</f>
        <v>48189</v>
      </c>
      <c r="C1211" s="7">
        <f>B1211+($F1211*$G1211)-1</f>
        <v>48189</v>
      </c>
      <c r="D1211" s="9" t="s">
        <v>895</v>
      </c>
      <c r="E1211" s="8" t="s">
        <v>1104</v>
      </c>
      <c r="F1211" s="7">
        <v>1</v>
      </c>
      <c r="G1211" s="7">
        <v>1</v>
      </c>
      <c r="H1211" s="7"/>
      <c r="I1211" s="9">
        <f>F1211*G1211*2</f>
        <v>2</v>
      </c>
      <c r="J1211" s="9">
        <f>C1211-B1211+1</f>
        <v>1</v>
      </c>
      <c r="K1211" s="10" t="s">
        <v>769</v>
      </c>
      <c r="L1211" s="11" t="s">
        <v>234</v>
      </c>
      <c r="M1211" s="11"/>
      <c r="N1211" s="11"/>
      <c r="O1211" s="11"/>
      <c r="P1211" s="11"/>
      <c r="Q1211" s="11"/>
      <c r="R1211" s="11"/>
      <c r="S1211" s="11" t="s">
        <v>1181</v>
      </c>
      <c r="T1211" s="117"/>
    </row>
    <row r="1212" spans="1:20" ht="11.25" customHeight="1" x14ac:dyDescent="0.2">
      <c r="A1212" s="33"/>
      <c r="B1212" s="47">
        <f>B1213</f>
        <v>48200</v>
      </c>
      <c r="C1212" s="26"/>
      <c r="D1212" s="28"/>
      <c r="E1212" s="26" t="s">
        <v>766</v>
      </c>
      <c r="F1212" s="26"/>
      <c r="G1212" s="26"/>
      <c r="H1212" s="26"/>
      <c r="I1212" s="28"/>
      <c r="J1212" s="28"/>
      <c r="K1212" s="27"/>
      <c r="L1212" s="50"/>
      <c r="M1212" s="50"/>
      <c r="N1212" s="50"/>
      <c r="O1212" s="50"/>
      <c r="P1212" s="10"/>
      <c r="Q1212" s="10"/>
      <c r="R1212" s="146"/>
      <c r="S1212" s="146"/>
      <c r="T1212" s="158"/>
    </row>
    <row r="1213" spans="1:20" ht="11.25" customHeight="1" x14ac:dyDescent="0.2">
      <c r="A1213" s="33" t="s">
        <v>880</v>
      </c>
      <c r="B1213" s="7">
        <v>48200</v>
      </c>
      <c r="C1213" s="7">
        <f>B1213+($F1213*$G1213)-1</f>
        <v>48200</v>
      </c>
      <c r="D1213" s="9" t="s">
        <v>895</v>
      </c>
      <c r="E1213" s="8" t="s">
        <v>766</v>
      </c>
      <c r="F1213" s="7">
        <v>1</v>
      </c>
      <c r="G1213" s="7">
        <v>1</v>
      </c>
      <c r="H1213" s="7"/>
      <c r="I1213" s="9">
        <f>F1213*2*G1213</f>
        <v>2</v>
      </c>
      <c r="J1213" s="9">
        <f>C1213-B1213+1</f>
        <v>1</v>
      </c>
      <c r="K1213" s="165" t="s">
        <v>767</v>
      </c>
      <c r="L1213" s="11" t="s">
        <v>793</v>
      </c>
      <c r="M1213" s="11"/>
      <c r="N1213" s="11"/>
      <c r="O1213" s="11"/>
      <c r="P1213" s="11"/>
      <c r="Q1213" s="11"/>
      <c r="R1213" s="11"/>
      <c r="S1213" s="11" t="s">
        <v>1181</v>
      </c>
      <c r="T1213" s="157"/>
    </row>
    <row r="1214" spans="1:20" ht="11.25" customHeight="1" x14ac:dyDescent="0.2">
      <c r="A1214" s="33"/>
      <c r="B1214" s="47">
        <v>48700</v>
      </c>
      <c r="C1214" s="26"/>
      <c r="D1214" s="28"/>
      <c r="E1214" s="26" t="s">
        <v>295</v>
      </c>
      <c r="F1214" s="26"/>
      <c r="G1214" s="26"/>
      <c r="H1214" s="26"/>
      <c r="I1214" s="28"/>
      <c r="J1214" s="28"/>
      <c r="K1214" s="27"/>
      <c r="L1214" s="50"/>
      <c r="M1214" s="50"/>
      <c r="N1214" s="50"/>
      <c r="O1214" s="50"/>
      <c r="P1214" s="10"/>
      <c r="Q1214" s="10"/>
      <c r="R1214" s="146"/>
      <c r="S1214" s="146"/>
      <c r="T1214" s="158"/>
    </row>
    <row r="1215" spans="1:20" ht="11.25" customHeight="1" x14ac:dyDescent="0.2">
      <c r="A1215" s="33" t="s">
        <v>880</v>
      </c>
      <c r="B1215" s="7">
        <v>0</v>
      </c>
      <c r="C1215" s="7">
        <f>B1215+($F1215*$G1215)-1</f>
        <v>0</v>
      </c>
      <c r="D1215" s="9" t="s">
        <v>895</v>
      </c>
      <c r="E1215" s="8" t="s">
        <v>296</v>
      </c>
      <c r="F1215" s="7">
        <v>1</v>
      </c>
      <c r="G1215" s="7">
        <v>1</v>
      </c>
      <c r="H1215" s="7"/>
      <c r="I1215" s="9">
        <f>F1215*2*G1215</f>
        <v>2</v>
      </c>
      <c r="J1215" s="9">
        <f>C1215-B1215+1</f>
        <v>1</v>
      </c>
      <c r="K1215" s="165" t="s">
        <v>1265</v>
      </c>
      <c r="L1215" s="11" t="s">
        <v>797</v>
      </c>
      <c r="M1215" s="11"/>
      <c r="N1215" s="11"/>
      <c r="O1215" s="11"/>
      <c r="P1215" s="11"/>
      <c r="Q1215" s="11"/>
      <c r="R1215" s="11"/>
      <c r="S1215" s="11" t="s">
        <v>1181</v>
      </c>
      <c r="T1215" s="157"/>
    </row>
    <row r="1216" spans="1:20" ht="11.25" customHeight="1" x14ac:dyDescent="0.2">
      <c r="A1216" s="33"/>
      <c r="B1216" s="47">
        <f>B1217</f>
        <v>65533</v>
      </c>
      <c r="C1216" s="26"/>
      <c r="D1216" s="28"/>
      <c r="E1216" s="26" t="s">
        <v>1758</v>
      </c>
      <c r="F1216" s="26"/>
      <c r="G1216" s="26"/>
      <c r="H1216" s="26"/>
      <c r="I1216" s="28"/>
      <c r="J1216" s="28"/>
      <c r="K1216" s="27"/>
      <c r="L1216" s="50"/>
      <c r="M1216" s="50"/>
      <c r="N1216" s="50"/>
      <c r="O1216" s="50"/>
      <c r="P1216" s="10"/>
      <c r="Q1216" s="10"/>
      <c r="R1216" s="146"/>
      <c r="S1216" s="146"/>
      <c r="T1216" s="158"/>
    </row>
    <row r="1217" spans="1:20" ht="11.25" customHeight="1" x14ac:dyDescent="0.2">
      <c r="A1217" s="33" t="s">
        <v>880</v>
      </c>
      <c r="B1217" s="396">
        <v>65533</v>
      </c>
      <c r="C1217" s="396">
        <f>B1217+($F1217*$G1217)-1</f>
        <v>65535</v>
      </c>
      <c r="D1217" s="397" t="s">
        <v>895</v>
      </c>
      <c r="E1217" s="398" t="s">
        <v>1760</v>
      </c>
      <c r="F1217" s="399">
        <v>3</v>
      </c>
      <c r="G1217" s="399">
        <v>1</v>
      </c>
      <c r="H1217" s="399"/>
      <c r="I1217" s="400">
        <v>6</v>
      </c>
      <c r="J1217" s="400">
        <v>3</v>
      </c>
      <c r="K1217" s="401"/>
      <c r="L1217" s="402" t="s">
        <v>1759</v>
      </c>
      <c r="M1217" s="402"/>
      <c r="N1217" s="403"/>
      <c r="O1217" s="402"/>
      <c r="P1217" s="402"/>
      <c r="Q1217" s="402"/>
      <c r="R1217" s="402"/>
      <c r="S1217" s="402" t="s">
        <v>1181</v>
      </c>
      <c r="T1217" s="403"/>
    </row>
    <row r="1218" spans="1:20" ht="11.25" customHeight="1" x14ac:dyDescent="0.2">
      <c r="A1218" s="190"/>
      <c r="B1218" s="38"/>
      <c r="C1218" s="38"/>
      <c r="D1218" s="130"/>
      <c r="E1218" s="38"/>
      <c r="F1218" s="38">
        <f>SUM(F1011:F1217)</f>
        <v>10187</v>
      </c>
      <c r="G1218" s="38"/>
      <c r="H1218" s="38"/>
      <c r="I1218" s="38">
        <f>SUM(I1011:I1217)</f>
        <v>22910</v>
      </c>
      <c r="J1218" s="38">
        <f>SUM(J1011:J1217)</f>
        <v>11455</v>
      </c>
      <c r="K1218" s="201" t="s">
        <v>481</v>
      </c>
      <c r="L1218" s="40"/>
      <c r="M1218" s="40"/>
      <c r="N1218" s="40"/>
      <c r="O1218" s="41"/>
      <c r="P1218" s="127"/>
      <c r="Q1218" s="127"/>
      <c r="R1218" s="147"/>
      <c r="S1218" s="147"/>
      <c r="T1218" s="159"/>
    </row>
    <row r="1219" spans="1:20" ht="11.25" customHeight="1" x14ac:dyDescent="0.2">
      <c r="A1219" s="190"/>
      <c r="B1219" s="190"/>
      <c r="C1219" s="190"/>
      <c r="D1219" s="191"/>
      <c r="E1219" s="38"/>
      <c r="F1219" s="199">
        <f>F1218+F995</f>
        <v>11200</v>
      </c>
      <c r="G1219" s="190"/>
      <c r="H1219" s="190"/>
      <c r="I1219" s="199">
        <f>I1218+I995</f>
        <v>24936</v>
      </c>
      <c r="J1219" s="199">
        <f>J1218+J995</f>
        <v>12468</v>
      </c>
      <c r="K1219" s="202" t="s">
        <v>482</v>
      </c>
      <c r="L1219" s="192"/>
      <c r="M1219" s="192"/>
      <c r="N1219" s="192"/>
      <c r="O1219" s="193"/>
      <c r="P1219" s="192"/>
      <c r="Q1219" s="192"/>
      <c r="R1219" s="194"/>
      <c r="S1219" s="194"/>
      <c r="T1219" s="195"/>
    </row>
    <row r="1220" spans="1:20" ht="11.25" customHeight="1" x14ac:dyDescent="0.2">
      <c r="A1220" s="190"/>
      <c r="B1220" s="190"/>
      <c r="C1220" s="190"/>
      <c r="D1220" s="191"/>
      <c r="E1220" s="38"/>
      <c r="F1220" s="190"/>
      <c r="G1220" s="190"/>
      <c r="H1220" s="190"/>
      <c r="I1220" s="191"/>
      <c r="J1220" s="191"/>
      <c r="K1220" s="192"/>
      <c r="L1220" s="192"/>
      <c r="M1220" s="192"/>
      <c r="N1220" s="192"/>
      <c r="O1220" s="193"/>
      <c r="P1220" s="192"/>
      <c r="Q1220" s="192"/>
      <c r="R1220" s="194"/>
      <c r="S1220" s="194"/>
      <c r="T1220" s="195"/>
    </row>
    <row r="1221" spans="1:20" ht="11.25" customHeight="1" x14ac:dyDescent="0.2"/>
    <row r="1222" spans="1:20" ht="11.25" customHeight="1" x14ac:dyDescent="0.2">
      <c r="A1222" s="22"/>
      <c r="B1222" s="22"/>
      <c r="C1222" s="22"/>
      <c r="D1222" s="24"/>
      <c r="E1222" s="23" t="s">
        <v>775</v>
      </c>
      <c r="F1222" s="22"/>
      <c r="G1222" s="22"/>
      <c r="H1222" s="22"/>
      <c r="I1222" s="24"/>
      <c r="J1222" s="24"/>
      <c r="K1222" s="25"/>
      <c r="L1222" s="25"/>
      <c r="M1222" s="25"/>
      <c r="N1222" s="25"/>
      <c r="O1222" s="110"/>
      <c r="P1222" s="25"/>
      <c r="Q1222" s="25"/>
      <c r="R1222" s="151"/>
      <c r="S1222" s="151"/>
      <c r="T1222" s="162"/>
    </row>
    <row r="1223" spans="1:20" ht="11.25" customHeight="1" x14ac:dyDescent="0.2">
      <c r="E1223" s="16"/>
    </row>
    <row r="1224" spans="1:20" ht="11.25" customHeight="1" x14ac:dyDescent="0.2">
      <c r="A1224" s="33"/>
      <c r="B1224" s="36"/>
      <c r="C1224" s="36"/>
      <c r="D1224" s="37"/>
      <c r="E1224" s="33" t="s">
        <v>893</v>
      </c>
      <c r="F1224" s="33" t="s">
        <v>657</v>
      </c>
      <c r="G1224" s="36"/>
      <c r="H1224" s="36"/>
      <c r="I1224" s="37"/>
      <c r="J1224" s="37"/>
      <c r="K1224" s="34"/>
      <c r="L1224" s="34"/>
      <c r="M1224" s="34"/>
      <c r="N1224" s="34"/>
      <c r="O1224" s="108"/>
      <c r="P1224" s="120"/>
      <c r="Q1224" s="120"/>
      <c r="R1224" s="142"/>
      <c r="S1224" s="142"/>
      <c r="T1224" s="155"/>
    </row>
    <row r="1225" spans="1:20" ht="11.25" customHeight="1" x14ac:dyDescent="0.2">
      <c r="A1225" s="33"/>
      <c r="B1225" s="52" t="s">
        <v>930</v>
      </c>
      <c r="C1225" s="30"/>
      <c r="D1225" s="31"/>
      <c r="E1225" s="53"/>
      <c r="F1225" s="31" t="s">
        <v>487</v>
      </c>
      <c r="G1225" s="31" t="s">
        <v>488</v>
      </c>
      <c r="H1225" s="31"/>
      <c r="I1225" s="31" t="s">
        <v>489</v>
      </c>
      <c r="J1225" s="31"/>
      <c r="K1225" s="29"/>
      <c r="L1225" s="29"/>
      <c r="M1225" s="29"/>
      <c r="N1225" s="29"/>
      <c r="O1225" s="109"/>
      <c r="P1225" s="34"/>
      <c r="Q1225" s="34"/>
      <c r="R1225" s="149"/>
      <c r="S1225" s="149"/>
      <c r="T1225" s="160"/>
    </row>
    <row r="1226" spans="1:20" ht="11.25" customHeight="1" thickBot="1" x14ac:dyDescent="0.25">
      <c r="A1226" s="33"/>
      <c r="B1226" s="173" t="s">
        <v>800</v>
      </c>
      <c r="E1226" s="20"/>
      <c r="F1226" s="9"/>
      <c r="G1226" s="9"/>
      <c r="H1226" s="9"/>
      <c r="I1226" s="9"/>
      <c r="J1226" s="9"/>
      <c r="K1226" s="10"/>
      <c r="L1226" s="10"/>
      <c r="M1226" s="10"/>
      <c r="N1226" s="10"/>
      <c r="O1226" s="11"/>
      <c r="P1226" s="11"/>
      <c r="Q1226" s="11"/>
      <c r="R1226" s="11"/>
      <c r="S1226" s="11" t="s">
        <v>1181</v>
      </c>
      <c r="T1226" s="117"/>
    </row>
    <row r="1227" spans="1:20" ht="11.25" customHeight="1" thickTop="1" x14ac:dyDescent="0.2">
      <c r="A1227" s="33"/>
      <c r="B1227" s="173"/>
      <c r="E1227" s="212" t="s">
        <v>935</v>
      </c>
      <c r="F1227" s="213">
        <v>1</v>
      </c>
      <c r="G1227" s="213">
        <v>1</v>
      </c>
      <c r="H1227" s="213"/>
      <c r="I1227" s="213">
        <f t="shared" ref="I1227:I1235" si="230">2*G1227</f>
        <v>2</v>
      </c>
      <c r="J1227" s="213"/>
      <c r="K1227" s="214" t="s">
        <v>939</v>
      </c>
      <c r="L1227" s="10"/>
      <c r="M1227" s="10"/>
      <c r="N1227" s="10"/>
      <c r="O1227" s="11"/>
      <c r="P1227" s="11"/>
      <c r="Q1227" s="11"/>
      <c r="R1227" s="11"/>
      <c r="S1227" s="11" t="s">
        <v>1181</v>
      </c>
      <c r="T1227" s="117"/>
    </row>
    <row r="1228" spans="1:20" ht="11.25" customHeight="1" x14ac:dyDescent="0.2">
      <c r="A1228" s="33"/>
      <c r="B1228" s="20"/>
      <c r="E1228" s="215" t="s">
        <v>943</v>
      </c>
      <c r="F1228" s="216">
        <v>1</v>
      </c>
      <c r="G1228" s="216">
        <v>1</v>
      </c>
      <c r="H1228" s="216"/>
      <c r="I1228" s="216">
        <f t="shared" si="230"/>
        <v>2</v>
      </c>
      <c r="J1228" s="216"/>
      <c r="K1228" s="217"/>
      <c r="L1228" s="10"/>
      <c r="M1228" s="10"/>
      <c r="N1228" s="10"/>
      <c r="O1228" s="11"/>
      <c r="P1228" s="11"/>
      <c r="Q1228" s="11"/>
      <c r="R1228" s="11"/>
      <c r="S1228" s="11" t="s">
        <v>1181</v>
      </c>
      <c r="T1228" s="117"/>
    </row>
    <row r="1229" spans="1:20" ht="11.25" customHeight="1" x14ac:dyDescent="0.2">
      <c r="A1229" s="33"/>
      <c r="B1229" s="20"/>
      <c r="E1229" s="215" t="s">
        <v>944</v>
      </c>
      <c r="F1229" s="216">
        <v>1</v>
      </c>
      <c r="G1229" s="216">
        <v>1</v>
      </c>
      <c r="H1229" s="216"/>
      <c r="I1229" s="216">
        <f t="shared" si="230"/>
        <v>2</v>
      </c>
      <c r="J1229" s="216"/>
      <c r="K1229" s="218"/>
      <c r="L1229" s="10"/>
      <c r="M1229" s="10"/>
      <c r="N1229" s="10"/>
      <c r="O1229" s="11"/>
      <c r="P1229" s="11"/>
      <c r="Q1229" s="11"/>
      <c r="R1229" s="11"/>
      <c r="S1229" s="11" t="s">
        <v>1181</v>
      </c>
      <c r="T1229" s="117"/>
    </row>
    <row r="1230" spans="1:20" ht="11.25" customHeight="1" x14ac:dyDescent="0.2">
      <c r="A1230" s="33"/>
      <c r="B1230" s="20"/>
      <c r="E1230" s="215" t="s">
        <v>936</v>
      </c>
      <c r="F1230" s="216">
        <v>1</v>
      </c>
      <c r="G1230" s="216">
        <v>1</v>
      </c>
      <c r="H1230" s="216"/>
      <c r="I1230" s="216">
        <f t="shared" si="230"/>
        <v>2</v>
      </c>
      <c r="J1230" s="216"/>
      <c r="K1230" s="217" t="s">
        <v>940</v>
      </c>
      <c r="L1230" s="10"/>
      <c r="M1230" s="10"/>
      <c r="N1230" s="10"/>
      <c r="O1230" s="11"/>
      <c r="P1230" s="11"/>
      <c r="Q1230" s="11"/>
      <c r="R1230" s="11"/>
      <c r="S1230" s="11" t="s">
        <v>1181</v>
      </c>
      <c r="T1230" s="117"/>
    </row>
    <row r="1231" spans="1:20" ht="11.25" customHeight="1" x14ac:dyDescent="0.2">
      <c r="A1231" s="33"/>
      <c r="B1231" s="20"/>
      <c r="E1231" s="215" t="s">
        <v>945</v>
      </c>
      <c r="F1231" s="216">
        <v>1</v>
      </c>
      <c r="G1231" s="216">
        <v>1</v>
      </c>
      <c r="H1231" s="216"/>
      <c r="I1231" s="216">
        <f t="shared" si="230"/>
        <v>2</v>
      </c>
      <c r="J1231" s="216"/>
      <c r="K1231" s="217"/>
      <c r="L1231" s="10"/>
      <c r="M1231" s="10"/>
      <c r="N1231" s="10"/>
      <c r="O1231" s="11"/>
      <c r="P1231" s="11"/>
      <c r="Q1231" s="11"/>
      <c r="R1231" s="11"/>
      <c r="S1231" s="11" t="s">
        <v>1181</v>
      </c>
      <c r="T1231" s="117"/>
    </row>
    <row r="1232" spans="1:20" ht="11.25" customHeight="1" x14ac:dyDescent="0.2">
      <c r="A1232" s="33"/>
      <c r="B1232" s="20"/>
      <c r="E1232" s="215" t="s">
        <v>946</v>
      </c>
      <c r="F1232" s="216">
        <v>1</v>
      </c>
      <c r="G1232" s="216">
        <v>1</v>
      </c>
      <c r="H1232" s="216"/>
      <c r="I1232" s="216">
        <f t="shared" si="230"/>
        <v>2</v>
      </c>
      <c r="J1232" s="216"/>
      <c r="K1232" s="218"/>
      <c r="L1232" s="10"/>
      <c r="M1232" s="10"/>
      <c r="N1232" s="10"/>
      <c r="O1232" s="11"/>
      <c r="P1232" s="11"/>
      <c r="Q1232" s="11"/>
      <c r="R1232" s="11"/>
      <c r="S1232" s="11" t="s">
        <v>1181</v>
      </c>
      <c r="T1232" s="117"/>
    </row>
    <row r="1233" spans="1:20" ht="11.25" customHeight="1" x14ac:dyDescent="0.2">
      <c r="A1233" s="33"/>
      <c r="B1233" s="20"/>
      <c r="E1233" s="215" t="s">
        <v>937</v>
      </c>
      <c r="F1233" s="216">
        <v>1</v>
      </c>
      <c r="G1233" s="216">
        <v>1</v>
      </c>
      <c r="H1233" s="216"/>
      <c r="I1233" s="216">
        <f t="shared" si="230"/>
        <v>2</v>
      </c>
      <c r="J1233" s="216"/>
      <c r="K1233" s="217" t="s">
        <v>941</v>
      </c>
      <c r="L1233" s="10"/>
      <c r="M1233" s="10"/>
      <c r="N1233" s="10"/>
      <c r="O1233" s="11"/>
      <c r="P1233" s="11"/>
      <c r="Q1233" s="11"/>
      <c r="R1233" s="11"/>
      <c r="S1233" s="11" t="s">
        <v>1181</v>
      </c>
      <c r="T1233" s="117"/>
    </row>
    <row r="1234" spans="1:20" ht="11.25" customHeight="1" x14ac:dyDescent="0.2">
      <c r="A1234" s="33"/>
      <c r="B1234" s="20"/>
      <c r="E1234" s="215" t="s">
        <v>947</v>
      </c>
      <c r="F1234" s="216">
        <v>1</v>
      </c>
      <c r="G1234" s="216">
        <v>1</v>
      </c>
      <c r="H1234" s="216"/>
      <c r="I1234" s="216">
        <f t="shared" si="230"/>
        <v>2</v>
      </c>
      <c r="J1234" s="216"/>
      <c r="K1234" s="217"/>
      <c r="L1234" s="10"/>
      <c r="M1234" s="10"/>
      <c r="N1234" s="10"/>
      <c r="O1234" s="11"/>
      <c r="P1234" s="11"/>
      <c r="Q1234" s="11"/>
      <c r="R1234" s="11"/>
      <c r="S1234" s="11" t="s">
        <v>1181</v>
      </c>
      <c r="T1234" s="117"/>
    </row>
    <row r="1235" spans="1:20" ht="11.25" customHeight="1" x14ac:dyDescent="0.2">
      <c r="A1235" s="33"/>
      <c r="B1235" s="20"/>
      <c r="E1235" s="215" t="s">
        <v>948</v>
      </c>
      <c r="F1235" s="216">
        <v>1</v>
      </c>
      <c r="G1235" s="216">
        <v>1</v>
      </c>
      <c r="H1235" s="216"/>
      <c r="I1235" s="216">
        <f t="shared" si="230"/>
        <v>2</v>
      </c>
      <c r="J1235" s="216"/>
      <c r="K1235" s="218"/>
      <c r="L1235" s="10"/>
      <c r="M1235" s="10"/>
      <c r="N1235" s="10"/>
      <c r="O1235" s="11"/>
      <c r="P1235" s="11"/>
      <c r="Q1235" s="11"/>
      <c r="R1235" s="11"/>
      <c r="S1235" s="11" t="s">
        <v>1181</v>
      </c>
      <c r="T1235" s="117"/>
    </row>
    <row r="1236" spans="1:20" ht="11.25" customHeight="1" x14ac:dyDescent="0.2">
      <c r="A1236" s="33"/>
      <c r="B1236" s="20"/>
      <c r="E1236" s="215" t="s">
        <v>938</v>
      </c>
      <c r="F1236" s="219" t="s">
        <v>942</v>
      </c>
      <c r="G1236" s="219" t="s">
        <v>942</v>
      </c>
      <c r="H1236" s="219"/>
      <c r="I1236" s="220" t="s">
        <v>614</v>
      </c>
      <c r="J1236" s="216"/>
      <c r="K1236" s="218"/>
      <c r="L1236" s="10"/>
      <c r="M1236" s="10"/>
      <c r="N1236" s="10"/>
      <c r="O1236" s="11"/>
      <c r="P1236" s="11"/>
      <c r="Q1236" s="11"/>
      <c r="R1236" s="11"/>
      <c r="S1236" s="11" t="s">
        <v>1181</v>
      </c>
      <c r="T1236" s="117"/>
    </row>
    <row r="1237" spans="1:20" ht="11.25" customHeight="1" x14ac:dyDescent="0.2">
      <c r="A1237" s="33"/>
      <c r="B1237" s="20"/>
      <c r="E1237" s="215" t="s">
        <v>1375</v>
      </c>
      <c r="F1237" s="216">
        <v>1</v>
      </c>
      <c r="G1237" s="216">
        <v>1</v>
      </c>
      <c r="H1237" s="216"/>
      <c r="I1237" s="216">
        <f>2*G1237</f>
        <v>2</v>
      </c>
      <c r="J1237" s="216"/>
      <c r="K1237" s="217" t="s">
        <v>1079</v>
      </c>
      <c r="L1237" s="10"/>
      <c r="M1237" s="10"/>
      <c r="N1237" s="10"/>
      <c r="O1237" s="11"/>
      <c r="P1237" s="11"/>
      <c r="Q1237" s="11"/>
      <c r="R1237" s="11"/>
      <c r="S1237" s="11" t="s">
        <v>1181</v>
      </c>
      <c r="T1237" s="117"/>
    </row>
    <row r="1238" spans="1:20" ht="11.25" customHeight="1" x14ac:dyDescent="0.2">
      <c r="A1238" s="33"/>
      <c r="B1238" s="20"/>
      <c r="E1238" s="215" t="s">
        <v>1376</v>
      </c>
      <c r="F1238" s="216">
        <v>1</v>
      </c>
      <c r="G1238" s="216">
        <v>1</v>
      </c>
      <c r="H1238" s="216"/>
      <c r="I1238" s="216">
        <f>2*G1238</f>
        <v>2</v>
      </c>
      <c r="J1238" s="216"/>
      <c r="K1238" s="217"/>
      <c r="L1238" s="10"/>
      <c r="M1238" s="10"/>
      <c r="N1238" s="10"/>
      <c r="O1238" s="11"/>
      <c r="P1238" s="11"/>
      <c r="Q1238" s="11"/>
      <c r="R1238" s="11"/>
      <c r="S1238" s="11" t="s">
        <v>1181</v>
      </c>
      <c r="T1238" s="117"/>
    </row>
    <row r="1239" spans="1:20" ht="11.25" customHeight="1" thickBot="1" x14ac:dyDescent="0.25">
      <c r="A1239" s="33"/>
      <c r="B1239" s="20"/>
      <c r="E1239" s="221" t="s">
        <v>1377</v>
      </c>
      <c r="F1239" s="222">
        <v>1</v>
      </c>
      <c r="G1239" s="222">
        <v>1</v>
      </c>
      <c r="H1239" s="222"/>
      <c r="I1239" s="222">
        <f>2*G1239</f>
        <v>2</v>
      </c>
      <c r="J1239" s="222"/>
      <c r="K1239" s="223"/>
      <c r="L1239" s="10"/>
      <c r="M1239" s="10"/>
      <c r="N1239" s="10"/>
      <c r="O1239" s="11"/>
      <c r="P1239" s="11"/>
      <c r="Q1239" s="11"/>
      <c r="R1239" s="11"/>
      <c r="S1239" s="11" t="s">
        <v>1181</v>
      </c>
      <c r="T1239" s="117"/>
    </row>
    <row r="1240" spans="1:20" ht="11.25" customHeight="1" thickTop="1" x14ac:dyDescent="0.2">
      <c r="A1240" s="33"/>
      <c r="B1240" s="20"/>
      <c r="E1240" s="224"/>
      <c r="F1240" s="216"/>
      <c r="G1240" s="216"/>
      <c r="H1240" s="216"/>
      <c r="I1240" s="216"/>
      <c r="J1240" s="216"/>
      <c r="K1240" s="225"/>
      <c r="L1240" s="10"/>
      <c r="M1240" s="10"/>
      <c r="N1240" s="10"/>
      <c r="O1240" s="11"/>
      <c r="P1240" s="11"/>
      <c r="Q1240" s="11"/>
      <c r="R1240" s="11"/>
      <c r="S1240" s="11" t="s">
        <v>1181</v>
      </c>
      <c r="T1240" s="117"/>
    </row>
    <row r="1241" spans="1:20" ht="11.25" customHeight="1" x14ac:dyDescent="0.2">
      <c r="A1241" s="33"/>
      <c r="B1241" s="20"/>
      <c r="E1241" s="20" t="s">
        <v>931</v>
      </c>
      <c r="F1241" s="9" t="s">
        <v>1708</v>
      </c>
      <c r="G1241" s="9">
        <v>40</v>
      </c>
      <c r="H1241" s="9"/>
      <c r="I1241" s="9">
        <f>2*G1241</f>
        <v>80</v>
      </c>
      <c r="J1241" s="9"/>
      <c r="K1241" s="165" t="s">
        <v>931</v>
      </c>
      <c r="L1241" s="10"/>
      <c r="M1241" s="10"/>
      <c r="N1241" s="10"/>
      <c r="O1241" s="11"/>
      <c r="P1241" s="11"/>
      <c r="Q1241" s="11"/>
      <c r="R1241" s="11"/>
      <c r="S1241" s="11" t="s">
        <v>1181</v>
      </c>
      <c r="T1241" s="117"/>
    </row>
    <row r="1242" spans="1:20" ht="11.25" customHeight="1" x14ac:dyDescent="0.2">
      <c r="A1242" s="33"/>
      <c r="B1242" s="20"/>
      <c r="E1242" s="20" t="s">
        <v>932</v>
      </c>
      <c r="F1242" s="9">
        <v>40</v>
      </c>
      <c r="G1242" s="9">
        <v>40</v>
      </c>
      <c r="H1242" s="9"/>
      <c r="I1242" s="9">
        <f>2*G1242</f>
        <v>80</v>
      </c>
      <c r="J1242" s="9"/>
      <c r="K1242" s="165" t="s">
        <v>1080</v>
      </c>
      <c r="L1242" s="10"/>
      <c r="M1242" s="10"/>
      <c r="N1242" s="10"/>
      <c r="O1242" s="11"/>
      <c r="P1242" s="11"/>
      <c r="Q1242" s="11"/>
      <c r="R1242" s="11"/>
      <c r="S1242" s="11" t="s">
        <v>1181</v>
      </c>
      <c r="T1242" s="117"/>
    </row>
    <row r="1243" spans="1:20" ht="11.25" customHeight="1" x14ac:dyDescent="0.2">
      <c r="A1243" s="33"/>
      <c r="B1243" s="20"/>
      <c r="E1243" s="20" t="s">
        <v>933</v>
      </c>
      <c r="F1243" s="9">
        <v>40</v>
      </c>
      <c r="G1243" s="9">
        <v>40</v>
      </c>
      <c r="H1243" s="9"/>
      <c r="I1243" s="9">
        <f>2*G1243</f>
        <v>80</v>
      </c>
      <c r="J1243" s="9"/>
      <c r="K1243" s="165" t="s">
        <v>950</v>
      </c>
      <c r="L1243" s="10"/>
      <c r="M1243" s="10"/>
      <c r="N1243" s="10"/>
      <c r="O1243" s="11"/>
      <c r="P1243" s="11"/>
      <c r="Q1243" s="11"/>
      <c r="R1243" s="11"/>
      <c r="S1243" s="11" t="s">
        <v>1181</v>
      </c>
      <c r="T1243" s="117"/>
    </row>
    <row r="1244" spans="1:20" ht="11.25" customHeight="1" x14ac:dyDescent="0.2">
      <c r="A1244" s="33"/>
      <c r="B1244" s="20"/>
      <c r="E1244" s="20"/>
      <c r="F1244" s="9"/>
      <c r="G1244" s="9"/>
      <c r="H1244" s="9"/>
      <c r="I1244" s="9"/>
      <c r="J1244" s="9"/>
      <c r="K1244" s="226"/>
      <c r="L1244" s="10"/>
      <c r="M1244" s="10"/>
      <c r="N1244" s="10"/>
      <c r="O1244" s="11"/>
      <c r="P1244" s="11"/>
      <c r="Q1244" s="11"/>
      <c r="R1244" s="11"/>
      <c r="S1244" s="11" t="s">
        <v>1181</v>
      </c>
      <c r="T1244" s="117"/>
    </row>
    <row r="1245" spans="1:20" ht="11.25" customHeight="1" x14ac:dyDescent="0.2">
      <c r="A1245" s="33"/>
      <c r="B1245" s="20"/>
      <c r="E1245" s="20"/>
      <c r="F1245" s="9"/>
      <c r="G1245" s="9"/>
      <c r="H1245" s="9"/>
      <c r="I1245" s="9"/>
      <c r="J1245" s="9"/>
      <c r="K1245" s="10"/>
      <c r="L1245" s="10"/>
      <c r="M1245" s="10"/>
      <c r="N1245" s="10"/>
      <c r="O1245" s="11"/>
      <c r="P1245" s="11"/>
      <c r="Q1245" s="11"/>
      <c r="R1245" s="11"/>
      <c r="S1245" s="11" t="s">
        <v>1181</v>
      </c>
      <c r="T1245" s="117"/>
    </row>
    <row r="1246" spans="1:20" ht="11.25" customHeight="1" x14ac:dyDescent="0.2">
      <c r="A1246" s="33"/>
      <c r="B1246" s="173" t="s">
        <v>802</v>
      </c>
      <c r="E1246" s="21"/>
      <c r="F1246" s="9">
        <f>SUM(F1241:F1243)</f>
        <v>80</v>
      </c>
      <c r="G1246" s="9">
        <f>SUM(G1241:G1245)</f>
        <v>120</v>
      </c>
      <c r="H1246" s="9"/>
      <c r="I1246" s="9">
        <f>SUM(I1241:I1243)</f>
        <v>240</v>
      </c>
      <c r="J1246" s="9"/>
      <c r="K1246" s="242" t="s">
        <v>1374</v>
      </c>
      <c r="L1246" s="10"/>
      <c r="M1246" s="10"/>
      <c r="N1246" s="10"/>
      <c r="O1246" s="11"/>
      <c r="P1246" s="11"/>
      <c r="Q1246" s="11"/>
      <c r="R1246" s="11"/>
      <c r="S1246" s="11" t="s">
        <v>1181</v>
      </c>
      <c r="T1246" s="117"/>
    </row>
    <row r="1247" spans="1:20" ht="11.25" customHeight="1" x14ac:dyDescent="0.2">
      <c r="A1247" s="33"/>
      <c r="B1247" s="174"/>
      <c r="C1247" s="169"/>
      <c r="D1247" s="170"/>
      <c r="E1247" s="175"/>
      <c r="F1247" s="170"/>
      <c r="G1247" s="170"/>
      <c r="H1247" s="170"/>
      <c r="I1247" s="170"/>
      <c r="J1247" s="170"/>
      <c r="K1247" s="49"/>
      <c r="L1247" s="49"/>
      <c r="M1247" s="49"/>
      <c r="N1247" s="49"/>
      <c r="O1247" s="32"/>
      <c r="P1247" s="29"/>
      <c r="Q1247" s="29"/>
      <c r="R1247" s="143"/>
      <c r="S1247" s="143"/>
      <c r="T1247" s="156"/>
    </row>
    <row r="1248" spans="1:20" ht="11.25" customHeight="1" x14ac:dyDescent="0.2">
      <c r="A1248" s="33"/>
      <c r="B1248" s="20" t="s">
        <v>801</v>
      </c>
      <c r="E1248" s="21"/>
      <c r="F1248" s="9"/>
      <c r="G1248" s="9"/>
      <c r="H1248" s="9"/>
      <c r="I1248" s="9"/>
      <c r="J1248" s="9"/>
      <c r="K1248" s="10"/>
      <c r="L1248" s="11"/>
      <c r="M1248" s="11"/>
      <c r="N1248" s="11"/>
      <c r="O1248" s="11"/>
      <c r="P1248" s="34"/>
      <c r="Q1248" s="34"/>
      <c r="R1248" s="145"/>
      <c r="S1248" s="145"/>
      <c r="T1248" s="117"/>
    </row>
    <row r="1249" spans="1:20" ht="11.25" customHeight="1" x14ac:dyDescent="0.2">
      <c r="A1249" s="33"/>
      <c r="B1249" s="8" t="s">
        <v>118</v>
      </c>
      <c r="E1249" s="20" t="s">
        <v>934</v>
      </c>
      <c r="F1249" s="9">
        <v>1</v>
      </c>
      <c r="G1249" s="9">
        <f>G1246 * F1249</f>
        <v>120</v>
      </c>
      <c r="H1249" s="9"/>
      <c r="I1249" s="9">
        <f>F1249*I1246</f>
        <v>240</v>
      </c>
      <c r="J1249" s="9"/>
      <c r="K1249" s="10"/>
      <c r="L1249" s="11"/>
      <c r="M1249" s="11"/>
      <c r="N1249" s="11"/>
      <c r="O1249" s="11"/>
      <c r="P1249" s="34"/>
      <c r="Q1249" s="34"/>
      <c r="R1249" s="145"/>
      <c r="S1249" s="145"/>
      <c r="T1249" s="117"/>
    </row>
    <row r="1250" spans="1:20" ht="11.25" customHeight="1" x14ac:dyDescent="0.2">
      <c r="A1250" s="33"/>
      <c r="B1250" s="20" t="s">
        <v>803</v>
      </c>
      <c r="E1250" s="7"/>
      <c r="F1250" s="9"/>
      <c r="G1250" s="9"/>
      <c r="H1250" s="9"/>
      <c r="I1250" s="9"/>
      <c r="J1250" s="9"/>
      <c r="K1250" s="10"/>
      <c r="L1250" s="10"/>
      <c r="M1250" s="10"/>
      <c r="N1250" s="10"/>
      <c r="O1250" s="11"/>
      <c r="P1250" s="34"/>
      <c r="Q1250" s="34"/>
      <c r="R1250" s="145"/>
      <c r="S1250" s="145"/>
      <c r="T1250" s="117"/>
    </row>
    <row r="1251" spans="1:20" ht="11.25" customHeight="1" x14ac:dyDescent="0.2">
      <c r="A1251" s="33"/>
      <c r="B1251" s="52" t="s">
        <v>975</v>
      </c>
      <c r="C1251" s="30"/>
      <c r="D1251" s="31"/>
      <c r="E1251" s="53"/>
      <c r="F1251" s="31" t="s">
        <v>487</v>
      </c>
      <c r="G1251" s="31" t="s">
        <v>488</v>
      </c>
      <c r="H1251" s="31"/>
      <c r="I1251" s="31" t="s">
        <v>489</v>
      </c>
      <c r="J1251" s="31"/>
      <c r="K1251" s="29"/>
      <c r="L1251" s="29"/>
      <c r="M1251" s="29"/>
      <c r="N1251" s="29"/>
      <c r="O1251" s="109"/>
      <c r="P1251" s="34"/>
      <c r="Q1251" s="34"/>
      <c r="R1251" s="149"/>
      <c r="S1251" s="149"/>
      <c r="T1251" s="160"/>
    </row>
    <row r="1252" spans="1:20" ht="11.25" customHeight="1" x14ac:dyDescent="0.2">
      <c r="A1252" s="33"/>
      <c r="B1252" s="173" t="s">
        <v>800</v>
      </c>
      <c r="E1252" s="20"/>
      <c r="F1252" s="9"/>
      <c r="G1252" s="9"/>
      <c r="H1252" s="9"/>
      <c r="I1252" s="9"/>
      <c r="J1252" s="9"/>
      <c r="K1252" s="10"/>
      <c r="L1252" s="10"/>
      <c r="M1252" s="10"/>
      <c r="N1252" s="10"/>
      <c r="O1252" s="11"/>
      <c r="P1252" s="34"/>
      <c r="Q1252" s="34"/>
      <c r="R1252" s="145"/>
      <c r="S1252" s="145"/>
      <c r="T1252" s="117"/>
    </row>
    <row r="1253" spans="1:20" ht="11.25" customHeight="1" x14ac:dyDescent="0.2">
      <c r="A1253" s="33"/>
      <c r="B1253" s="173"/>
      <c r="E1253" s="20" t="s">
        <v>977</v>
      </c>
      <c r="F1253" s="9">
        <v>1</v>
      </c>
      <c r="G1253" s="9">
        <v>0.5</v>
      </c>
      <c r="H1253" s="9"/>
      <c r="I1253" s="9">
        <f>2*G1253</f>
        <v>1</v>
      </c>
      <c r="J1253" s="9"/>
      <c r="K1253" s="165" t="s">
        <v>1429</v>
      </c>
      <c r="L1253" s="11" t="s">
        <v>797</v>
      </c>
      <c r="M1253" s="11"/>
      <c r="N1253" s="10"/>
      <c r="O1253" s="11"/>
      <c r="P1253" s="11"/>
      <c r="Q1253" s="11"/>
      <c r="R1253" s="11"/>
      <c r="S1253" s="11" t="s">
        <v>1181</v>
      </c>
      <c r="T1253" s="117"/>
    </row>
    <row r="1254" spans="1:20" ht="11.25" customHeight="1" x14ac:dyDescent="0.2">
      <c r="A1254" s="33"/>
      <c r="B1254" s="20"/>
      <c r="E1254" s="20" t="s">
        <v>978</v>
      </c>
      <c r="F1254" s="9">
        <v>1</v>
      </c>
      <c r="G1254" s="9">
        <v>0.5</v>
      </c>
      <c r="H1254" s="9"/>
      <c r="I1254" s="9">
        <f>2*G1254</f>
        <v>1</v>
      </c>
      <c r="J1254" s="9"/>
      <c r="K1254" s="165" t="s">
        <v>1430</v>
      </c>
      <c r="L1254" s="11" t="s">
        <v>797</v>
      </c>
      <c r="M1254" s="11"/>
      <c r="N1254" s="10"/>
      <c r="O1254" s="11"/>
      <c r="P1254" s="11"/>
      <c r="Q1254" s="11"/>
      <c r="R1254" s="11"/>
      <c r="S1254" s="11" t="s">
        <v>1181</v>
      </c>
      <c r="T1254" s="117"/>
    </row>
    <row r="1255" spans="1:20" ht="11.25" customHeight="1" x14ac:dyDescent="0.2">
      <c r="A1255" s="33"/>
      <c r="B1255" s="20"/>
      <c r="E1255" s="117" t="s">
        <v>982</v>
      </c>
      <c r="F1255" s="9">
        <v>1</v>
      </c>
      <c r="G1255" s="9">
        <v>1</v>
      </c>
      <c r="H1255" s="9"/>
      <c r="I1255" s="9">
        <f>F1255*G1255*2</f>
        <v>2</v>
      </c>
      <c r="J1255" s="9"/>
      <c r="K1255" s="232" t="s">
        <v>988</v>
      </c>
      <c r="L1255" s="11" t="s">
        <v>797</v>
      </c>
      <c r="M1255" s="11"/>
      <c r="N1255" s="10"/>
      <c r="O1255" s="11"/>
      <c r="P1255" s="11"/>
      <c r="Q1255" s="11"/>
      <c r="R1255" s="11"/>
      <c r="S1255" s="11" t="s">
        <v>1181</v>
      </c>
      <c r="T1255" s="117"/>
    </row>
    <row r="1256" spans="1:20" ht="11.25" customHeight="1" x14ac:dyDescent="0.2">
      <c r="A1256" s="33"/>
      <c r="B1256" s="20"/>
      <c r="E1256" s="117" t="s">
        <v>983</v>
      </c>
      <c r="F1256" s="9">
        <v>1</v>
      </c>
      <c r="G1256" s="9">
        <v>1</v>
      </c>
      <c r="H1256" s="9"/>
      <c r="I1256" s="9">
        <f>F1256*G1256*2</f>
        <v>2</v>
      </c>
      <c r="J1256" s="9"/>
      <c r="K1256" s="231" t="s">
        <v>1008</v>
      </c>
      <c r="L1256" s="11" t="s">
        <v>797</v>
      </c>
      <c r="M1256" s="11"/>
      <c r="N1256" s="10"/>
      <c r="O1256" s="11"/>
      <c r="P1256" s="11"/>
      <c r="Q1256" s="11"/>
      <c r="R1256" s="11"/>
      <c r="S1256" s="11" t="s">
        <v>1181</v>
      </c>
      <c r="T1256" s="117"/>
    </row>
    <row r="1257" spans="1:20" ht="11.25" customHeight="1" x14ac:dyDescent="0.2">
      <c r="A1257" s="33"/>
      <c r="B1257" s="20"/>
      <c r="E1257" s="117" t="s">
        <v>984</v>
      </c>
      <c r="F1257" s="9">
        <v>1</v>
      </c>
      <c r="G1257" s="9">
        <v>1</v>
      </c>
      <c r="H1257" s="9"/>
      <c r="I1257" s="9">
        <f>F1257*G1257*2</f>
        <v>2</v>
      </c>
      <c r="J1257" s="9"/>
      <c r="K1257" s="57" t="s">
        <v>1009</v>
      </c>
      <c r="L1257" s="11" t="s">
        <v>797</v>
      </c>
      <c r="M1257" s="11"/>
      <c r="N1257" s="10"/>
      <c r="O1257" s="11"/>
      <c r="P1257" s="11"/>
      <c r="Q1257" s="11"/>
      <c r="R1257" s="11"/>
      <c r="S1257" s="11" t="s">
        <v>1181</v>
      </c>
      <c r="T1257" s="117"/>
    </row>
    <row r="1258" spans="1:20" ht="11.25" customHeight="1" x14ac:dyDescent="0.2">
      <c r="A1258" s="33"/>
      <c r="B1258" s="20"/>
      <c r="E1258" s="117" t="s">
        <v>1152</v>
      </c>
      <c r="F1258" s="9">
        <v>1</v>
      </c>
      <c r="G1258" s="9">
        <v>2</v>
      </c>
      <c r="H1258" s="9"/>
      <c r="I1258" s="9">
        <v>4</v>
      </c>
      <c r="J1258" s="9"/>
      <c r="K1258" s="57" t="s">
        <v>1155</v>
      </c>
      <c r="L1258" s="11" t="s">
        <v>797</v>
      </c>
      <c r="M1258" s="11"/>
      <c r="N1258" s="10"/>
      <c r="O1258" s="11"/>
      <c r="P1258" s="11"/>
      <c r="Q1258" s="11"/>
      <c r="R1258" s="11"/>
      <c r="S1258" s="11" t="s">
        <v>1181</v>
      </c>
      <c r="T1258" s="117"/>
    </row>
    <row r="1259" spans="1:20" ht="11.25" customHeight="1" x14ac:dyDescent="0.2">
      <c r="A1259" s="33"/>
      <c r="B1259" s="20"/>
      <c r="E1259" s="117" t="s">
        <v>1153</v>
      </c>
      <c r="F1259" s="9">
        <v>1</v>
      </c>
      <c r="G1259" s="9">
        <v>2</v>
      </c>
      <c r="H1259" s="9"/>
      <c r="I1259" s="9">
        <v>4</v>
      </c>
      <c r="J1259" s="9"/>
      <c r="K1259" s="57" t="s">
        <v>1433</v>
      </c>
      <c r="L1259" s="11" t="s">
        <v>797</v>
      </c>
      <c r="M1259" s="11"/>
      <c r="N1259" s="10"/>
      <c r="O1259" s="11"/>
      <c r="P1259" s="11"/>
      <c r="Q1259" s="11"/>
      <c r="R1259" s="11"/>
      <c r="S1259" s="11" t="s">
        <v>1181</v>
      </c>
      <c r="T1259" s="117"/>
    </row>
    <row r="1260" spans="1:20" ht="11.25" customHeight="1" x14ac:dyDescent="0.2">
      <c r="A1260" s="33"/>
      <c r="B1260" s="20"/>
      <c r="E1260" s="117" t="s">
        <v>985</v>
      </c>
      <c r="F1260" s="9">
        <v>1</v>
      </c>
      <c r="G1260" s="9">
        <v>1</v>
      </c>
      <c r="H1260" s="9"/>
      <c r="I1260" s="9">
        <f>F1260*G1260*2</f>
        <v>2</v>
      </c>
      <c r="J1260" s="9"/>
      <c r="K1260" s="57" t="s">
        <v>1010</v>
      </c>
      <c r="L1260" s="11" t="s">
        <v>797</v>
      </c>
      <c r="M1260" s="11"/>
      <c r="N1260" s="10"/>
      <c r="O1260" s="11"/>
      <c r="P1260" s="11"/>
      <c r="Q1260" s="11"/>
      <c r="R1260" s="11"/>
      <c r="S1260" s="11" t="s">
        <v>1181</v>
      </c>
      <c r="T1260" s="117"/>
    </row>
    <row r="1261" spans="1:20" ht="11.25" customHeight="1" x14ac:dyDescent="0.2">
      <c r="A1261" s="33"/>
      <c r="B1261" s="20"/>
      <c r="E1261" s="117" t="s">
        <v>986</v>
      </c>
      <c r="F1261" s="9">
        <v>1</v>
      </c>
      <c r="G1261" s="9">
        <v>1</v>
      </c>
      <c r="H1261" s="9"/>
      <c r="I1261" s="9">
        <f>F1261*G1261*2</f>
        <v>2</v>
      </c>
      <c r="J1261" s="9"/>
      <c r="K1261" s="57" t="s">
        <v>1011</v>
      </c>
      <c r="L1261" s="11" t="s">
        <v>797</v>
      </c>
      <c r="M1261" s="11"/>
      <c r="N1261" s="10"/>
      <c r="O1261" s="11"/>
      <c r="P1261" s="11"/>
      <c r="Q1261" s="11"/>
      <c r="R1261" s="11"/>
      <c r="S1261" s="11" t="s">
        <v>1181</v>
      </c>
      <c r="T1261" s="117"/>
    </row>
    <row r="1262" spans="1:20" ht="11.25" customHeight="1" x14ac:dyDescent="0.2">
      <c r="A1262" s="33"/>
      <c r="B1262" s="20"/>
      <c r="E1262" s="117" t="s">
        <v>1154</v>
      </c>
      <c r="F1262" s="9">
        <v>1</v>
      </c>
      <c r="G1262" s="9">
        <v>1</v>
      </c>
      <c r="H1262" s="9"/>
      <c r="I1262" s="9">
        <v>2</v>
      </c>
      <c r="J1262" s="9"/>
      <c r="K1262" s="57" t="s">
        <v>1156</v>
      </c>
      <c r="L1262" s="11" t="s">
        <v>797</v>
      </c>
      <c r="M1262" s="11"/>
      <c r="N1262" s="10"/>
      <c r="O1262" s="11"/>
      <c r="P1262" s="11"/>
      <c r="Q1262" s="11"/>
      <c r="R1262" s="11"/>
      <c r="S1262" s="11" t="s">
        <v>1181</v>
      </c>
      <c r="T1262" s="117"/>
    </row>
    <row r="1263" spans="1:20" ht="11.25" customHeight="1" x14ac:dyDescent="0.2">
      <c r="A1263" s="33"/>
      <c r="B1263" s="20"/>
      <c r="E1263" s="117" t="s">
        <v>1405</v>
      </c>
      <c r="F1263" s="9">
        <v>1</v>
      </c>
      <c r="G1263" s="9">
        <v>1</v>
      </c>
      <c r="H1263" s="9"/>
      <c r="I1263" s="9">
        <f>F1263*G1263*2</f>
        <v>2</v>
      </c>
      <c r="J1263" s="9"/>
      <c r="K1263" s="1" t="s">
        <v>1435</v>
      </c>
      <c r="L1263" s="10"/>
      <c r="M1263" s="10"/>
      <c r="N1263" s="10"/>
      <c r="O1263" s="11"/>
      <c r="P1263" s="11"/>
      <c r="Q1263" s="11"/>
      <c r="R1263" s="11"/>
      <c r="S1263" s="11" t="s">
        <v>1181</v>
      </c>
      <c r="T1263" s="117"/>
    </row>
    <row r="1264" spans="1:20" ht="11.25" customHeight="1" x14ac:dyDescent="0.2">
      <c r="A1264" s="33"/>
      <c r="B1264" s="173"/>
      <c r="E1264" s="21"/>
      <c r="F1264" s="9"/>
      <c r="G1264" s="9"/>
      <c r="H1264" s="9"/>
      <c r="I1264" s="9"/>
      <c r="J1264" s="9"/>
      <c r="K1264" s="10"/>
      <c r="L1264" s="10"/>
      <c r="M1264" s="10"/>
      <c r="N1264" s="10"/>
      <c r="O1264" s="11"/>
      <c r="P1264" s="34"/>
      <c r="Q1264" s="34"/>
      <c r="R1264" s="145"/>
      <c r="S1264" s="145"/>
      <c r="T1264" s="117"/>
    </row>
    <row r="1265" spans="1:20" ht="11.25" customHeight="1" x14ac:dyDescent="0.2">
      <c r="A1265" s="33"/>
      <c r="B1265" s="173" t="s">
        <v>802</v>
      </c>
      <c r="E1265" s="21"/>
      <c r="F1265" s="9">
        <f>SUM(F1253:F1263)</f>
        <v>11</v>
      </c>
      <c r="G1265" s="9">
        <f>SUM(G1253:G1263)</f>
        <v>12</v>
      </c>
      <c r="H1265" s="9"/>
      <c r="I1265" s="9">
        <f>SUM(I1253:I1263)</f>
        <v>24</v>
      </c>
      <c r="J1265" s="9"/>
      <c r="K1265" s="10"/>
      <c r="L1265" s="10"/>
      <c r="M1265" s="10"/>
      <c r="N1265" s="10"/>
      <c r="O1265" s="11"/>
      <c r="P1265" s="34"/>
      <c r="Q1265" s="34"/>
      <c r="R1265" s="145"/>
      <c r="S1265" s="145"/>
      <c r="T1265" s="117"/>
    </row>
    <row r="1266" spans="1:20" ht="11.25" customHeight="1" x14ac:dyDescent="0.2">
      <c r="A1266" s="33"/>
      <c r="B1266" s="174"/>
      <c r="C1266" s="169"/>
      <c r="D1266" s="170"/>
      <c r="E1266" s="175"/>
      <c r="F1266" s="170"/>
      <c r="G1266" s="170"/>
      <c r="H1266" s="170"/>
      <c r="I1266" s="170"/>
      <c r="J1266" s="170"/>
      <c r="K1266" s="49"/>
      <c r="L1266" s="49"/>
      <c r="M1266" s="49"/>
      <c r="N1266" s="49"/>
      <c r="O1266" s="32"/>
      <c r="P1266" s="29"/>
      <c r="Q1266" s="29"/>
      <c r="R1266" s="143"/>
      <c r="S1266" s="143"/>
      <c r="T1266" s="156"/>
    </row>
    <row r="1267" spans="1:20" ht="11.25" customHeight="1" x14ac:dyDescent="0.2">
      <c r="A1267" s="33"/>
      <c r="B1267" s="20" t="s">
        <v>801</v>
      </c>
      <c r="E1267" s="21"/>
      <c r="F1267" s="9"/>
      <c r="G1267" s="9"/>
      <c r="H1267" s="9"/>
      <c r="I1267" s="9"/>
      <c r="J1267" s="9"/>
      <c r="K1267" s="10"/>
      <c r="L1267" s="11"/>
      <c r="M1267" s="11"/>
      <c r="N1267" s="11"/>
      <c r="O1267" s="11"/>
      <c r="P1267" s="34"/>
      <c r="Q1267" s="34"/>
      <c r="R1267" s="145"/>
      <c r="S1267" s="145"/>
      <c r="T1267" s="117"/>
    </row>
    <row r="1268" spans="1:20" ht="11.25" customHeight="1" x14ac:dyDescent="0.2">
      <c r="A1268" s="33"/>
      <c r="B1268" s="8" t="s">
        <v>799</v>
      </c>
      <c r="E1268" s="20" t="s">
        <v>976</v>
      </c>
      <c r="F1268" s="9">
        <v>16</v>
      </c>
      <c r="G1268" s="9">
        <f>G1265 * F1268</f>
        <v>192</v>
      </c>
      <c r="H1268" s="9"/>
      <c r="I1268" s="9">
        <f>F1268*I1265</f>
        <v>384</v>
      </c>
      <c r="J1268" s="9"/>
      <c r="K1268" s="10"/>
      <c r="L1268" s="11"/>
      <c r="M1268" s="11"/>
      <c r="N1268" s="11"/>
      <c r="O1268" s="11"/>
      <c r="P1268" s="34"/>
      <c r="Q1268" s="34"/>
      <c r="R1268" s="145"/>
      <c r="S1268" s="145"/>
      <c r="T1268" s="117"/>
    </row>
    <row r="1269" spans="1:20" ht="11.25" customHeight="1" x14ac:dyDescent="0.2">
      <c r="A1269" s="33"/>
      <c r="B1269" s="20" t="s">
        <v>803</v>
      </c>
      <c r="E1269" s="7"/>
      <c r="F1269" s="9"/>
      <c r="G1269" s="9"/>
      <c r="H1269" s="9"/>
      <c r="I1269" s="9"/>
      <c r="J1269" s="9"/>
      <c r="K1269" s="10"/>
      <c r="L1269" s="10"/>
      <c r="M1269" s="10"/>
      <c r="N1269" s="10"/>
      <c r="O1269" s="11"/>
      <c r="P1269" s="34"/>
      <c r="Q1269" s="34"/>
      <c r="R1269" s="145"/>
      <c r="S1269" s="145"/>
      <c r="T1269" s="117"/>
    </row>
    <row r="1270" spans="1:20" ht="11.25" customHeight="1" x14ac:dyDescent="0.2">
      <c r="A1270" s="33"/>
      <c r="B1270" s="52" t="s">
        <v>987</v>
      </c>
      <c r="C1270" s="30"/>
      <c r="D1270" s="31"/>
      <c r="E1270" s="53"/>
      <c r="F1270" s="31" t="s">
        <v>487</v>
      </c>
      <c r="G1270" s="31" t="s">
        <v>488</v>
      </c>
      <c r="H1270" s="31"/>
      <c r="I1270" s="31" t="s">
        <v>489</v>
      </c>
      <c r="J1270" s="31"/>
      <c r="K1270" s="29"/>
      <c r="L1270" s="29"/>
      <c r="M1270" s="29"/>
      <c r="N1270" s="29"/>
      <c r="O1270" s="109"/>
      <c r="P1270" s="34"/>
      <c r="Q1270" s="34"/>
      <c r="R1270" s="149"/>
      <c r="S1270" s="149"/>
      <c r="T1270" s="160"/>
    </row>
    <row r="1271" spans="1:20" x14ac:dyDescent="0.2">
      <c r="A1271" s="33"/>
      <c r="B1271" s="173" t="s">
        <v>800</v>
      </c>
      <c r="E1271" s="20"/>
      <c r="F1271" s="9"/>
      <c r="G1271" s="9"/>
      <c r="H1271" s="9"/>
      <c r="I1271" s="9"/>
      <c r="J1271" s="9"/>
      <c r="K1271" s="10"/>
      <c r="L1271" s="10"/>
      <c r="M1271" s="10"/>
      <c r="N1271" s="10"/>
      <c r="O1271" s="11"/>
      <c r="P1271" s="34"/>
      <c r="Q1271" s="34"/>
      <c r="R1271" s="145"/>
      <c r="S1271" s="145"/>
      <c r="T1271" s="117"/>
    </row>
    <row r="1272" spans="1:20" x14ac:dyDescent="0.2">
      <c r="A1272" s="33"/>
      <c r="B1272" s="173"/>
      <c r="E1272" s="20" t="s">
        <v>8</v>
      </c>
      <c r="F1272" s="9">
        <v>1</v>
      </c>
      <c r="G1272" s="9">
        <v>0.5</v>
      </c>
      <c r="H1272" s="9"/>
      <c r="I1272" s="9">
        <f>2*G1272</f>
        <v>1</v>
      </c>
      <c r="J1272" s="9"/>
      <c r="K1272" s="165" t="s">
        <v>1431</v>
      </c>
      <c r="L1272" s="11" t="s">
        <v>797</v>
      </c>
      <c r="M1272" s="11"/>
      <c r="N1272" s="10"/>
      <c r="O1272" s="11"/>
      <c r="P1272" s="11"/>
      <c r="Q1272" s="11"/>
      <c r="R1272" s="11"/>
      <c r="S1272" s="11" t="s">
        <v>1181</v>
      </c>
      <c r="T1272" s="117"/>
    </row>
    <row r="1273" spans="1:20" x14ac:dyDescent="0.2">
      <c r="A1273" s="33"/>
      <c r="B1273" s="20"/>
      <c r="E1273" s="20" t="s">
        <v>492</v>
      </c>
      <c r="F1273" s="9">
        <v>1</v>
      </c>
      <c r="G1273" s="9">
        <v>0.5</v>
      </c>
      <c r="H1273" s="9"/>
      <c r="I1273" s="9">
        <f>2*G1273</f>
        <v>1</v>
      </c>
      <c r="J1273" s="9"/>
      <c r="K1273" s="165" t="s">
        <v>1421</v>
      </c>
      <c r="L1273" s="11" t="s">
        <v>797</v>
      </c>
      <c r="M1273" s="11"/>
      <c r="N1273" s="10"/>
      <c r="O1273" s="11"/>
      <c r="P1273" s="11"/>
      <c r="Q1273" s="11"/>
      <c r="R1273" s="11"/>
      <c r="S1273" s="11" t="s">
        <v>1181</v>
      </c>
      <c r="T1273" s="117"/>
    </row>
    <row r="1274" spans="1:20" x14ac:dyDescent="0.2">
      <c r="A1274" s="33"/>
      <c r="B1274" s="20"/>
      <c r="E1274" s="20" t="s">
        <v>1864</v>
      </c>
      <c r="F1274" s="9">
        <v>1</v>
      </c>
      <c r="G1274" s="9">
        <v>0.5</v>
      </c>
      <c r="H1274" s="9"/>
      <c r="I1274" s="9">
        <v>1</v>
      </c>
      <c r="J1274" s="9"/>
      <c r="K1274" s="165" t="s">
        <v>1871</v>
      </c>
      <c r="L1274" s="11" t="s">
        <v>797</v>
      </c>
      <c r="M1274" s="11"/>
      <c r="N1274" s="10"/>
      <c r="O1274" s="11"/>
      <c r="P1274" s="11"/>
      <c r="Q1274" s="11"/>
      <c r="R1274" s="11"/>
      <c r="S1274" s="11" t="s">
        <v>1181</v>
      </c>
      <c r="T1274" s="117"/>
    </row>
    <row r="1275" spans="1:20" x14ac:dyDescent="0.2">
      <c r="A1275" s="33"/>
      <c r="B1275" s="20"/>
      <c r="E1275" s="20" t="s">
        <v>1865</v>
      </c>
      <c r="F1275" s="9">
        <v>1</v>
      </c>
      <c r="G1275" s="9">
        <v>0.5</v>
      </c>
      <c r="H1275" s="9"/>
      <c r="I1275" s="9">
        <v>1</v>
      </c>
      <c r="J1275" s="9"/>
      <c r="K1275" s="165" t="s">
        <v>1866</v>
      </c>
      <c r="L1275" s="11" t="s">
        <v>797</v>
      </c>
      <c r="M1275" s="11"/>
      <c r="N1275" s="10"/>
      <c r="O1275" s="11"/>
      <c r="P1275" s="11"/>
      <c r="Q1275" s="11"/>
      <c r="R1275" s="11"/>
      <c r="S1275" s="11" t="s">
        <v>1181</v>
      </c>
      <c r="T1275" s="117"/>
    </row>
    <row r="1276" spans="1:20" x14ac:dyDescent="0.2">
      <c r="A1276" s="33"/>
      <c r="B1276" s="20"/>
      <c r="E1276" s="233" t="s">
        <v>979</v>
      </c>
      <c r="F1276" s="234">
        <v>1</v>
      </c>
      <c r="G1276" s="234">
        <v>1</v>
      </c>
      <c r="H1276" s="234"/>
      <c r="I1276" s="234">
        <f t="shared" ref="I1276:I1299" si="231">F1276*G1276*2</f>
        <v>2</v>
      </c>
      <c r="J1276" s="9"/>
      <c r="K1276" s="239" t="s">
        <v>1406</v>
      </c>
      <c r="L1276" s="11" t="s">
        <v>797</v>
      </c>
      <c r="M1276" s="11"/>
      <c r="N1276" s="10"/>
      <c r="O1276" s="11"/>
      <c r="P1276" s="11"/>
      <c r="Q1276" s="11"/>
      <c r="R1276" s="11"/>
      <c r="S1276" s="11" t="s">
        <v>1181</v>
      </c>
      <c r="T1276" s="117"/>
    </row>
    <row r="1277" spans="1:20" x14ac:dyDescent="0.2">
      <c r="A1277" s="33"/>
      <c r="B1277" s="20"/>
      <c r="E1277" s="233" t="s">
        <v>980</v>
      </c>
      <c r="F1277" s="234">
        <v>1</v>
      </c>
      <c r="G1277" s="234">
        <v>1</v>
      </c>
      <c r="H1277" s="234"/>
      <c r="I1277" s="234">
        <f t="shared" si="231"/>
        <v>2</v>
      </c>
      <c r="J1277" s="9"/>
      <c r="K1277" s="240" t="s">
        <v>1415</v>
      </c>
      <c r="L1277" s="11" t="s">
        <v>797</v>
      </c>
      <c r="M1277" s="11"/>
      <c r="N1277" s="10"/>
      <c r="O1277" s="11"/>
      <c r="P1277" s="11"/>
      <c r="Q1277" s="11"/>
      <c r="R1277" s="11"/>
      <c r="S1277" s="11" t="s">
        <v>1181</v>
      </c>
      <c r="T1277" s="117"/>
    </row>
    <row r="1278" spans="1:20" x14ac:dyDescent="0.2">
      <c r="A1278" s="33"/>
      <c r="B1278" s="20"/>
      <c r="E1278" s="233" t="s">
        <v>490</v>
      </c>
      <c r="F1278" s="234">
        <v>1</v>
      </c>
      <c r="G1278" s="234">
        <v>1</v>
      </c>
      <c r="H1278" s="234"/>
      <c r="I1278" s="234">
        <f t="shared" si="231"/>
        <v>2</v>
      </c>
      <c r="J1278" s="9"/>
      <c r="K1278" s="210" t="s">
        <v>658</v>
      </c>
      <c r="L1278" s="11" t="s">
        <v>797</v>
      </c>
      <c r="M1278" s="11"/>
      <c r="N1278" s="10"/>
      <c r="O1278" s="11"/>
      <c r="P1278" s="11"/>
      <c r="Q1278" s="11"/>
      <c r="R1278" s="11"/>
      <c r="S1278" s="11" t="s">
        <v>1181</v>
      </c>
      <c r="T1278" s="117"/>
    </row>
    <row r="1279" spans="1:20" x14ac:dyDescent="0.2">
      <c r="A1279" s="33"/>
      <c r="B1279" s="20"/>
      <c r="E1279" s="233" t="s">
        <v>981</v>
      </c>
      <c r="F1279" s="234">
        <v>1</v>
      </c>
      <c r="G1279" s="234">
        <v>1</v>
      </c>
      <c r="H1279" s="234"/>
      <c r="I1279" s="234">
        <f t="shared" si="231"/>
        <v>2</v>
      </c>
      <c r="J1279" s="9"/>
      <c r="K1279" s="1" t="s">
        <v>1125</v>
      </c>
      <c r="L1279" s="11" t="s">
        <v>797</v>
      </c>
      <c r="M1279" s="11"/>
      <c r="N1279" s="10"/>
      <c r="O1279" s="11"/>
      <c r="P1279" s="11"/>
      <c r="Q1279" s="11"/>
      <c r="R1279" s="11"/>
      <c r="S1279" s="11" t="s">
        <v>1181</v>
      </c>
      <c r="T1279" s="117"/>
    </row>
    <row r="1280" spans="1:20" x14ac:dyDescent="0.2">
      <c r="A1280" s="33"/>
      <c r="B1280" s="20"/>
      <c r="E1280" s="233" t="s">
        <v>1105</v>
      </c>
      <c r="F1280" s="234">
        <v>1</v>
      </c>
      <c r="G1280" s="234">
        <v>1</v>
      </c>
      <c r="H1280" s="234"/>
      <c r="I1280" s="234">
        <f t="shared" si="231"/>
        <v>2</v>
      </c>
      <c r="J1280" s="9"/>
      <c r="K1280" s="238" t="s">
        <v>1968</v>
      </c>
      <c r="L1280" s="11" t="s">
        <v>797</v>
      </c>
      <c r="M1280" s="11"/>
      <c r="N1280" s="10"/>
      <c r="O1280" s="11"/>
      <c r="P1280" s="11"/>
      <c r="Q1280" s="11"/>
      <c r="R1280" s="11"/>
      <c r="S1280" s="11" t="s">
        <v>1181</v>
      </c>
      <c r="T1280" s="117"/>
    </row>
    <row r="1281" spans="1:20" x14ac:dyDescent="0.2">
      <c r="A1281" s="33"/>
      <c r="B1281" s="20"/>
      <c r="E1281" s="233" t="s">
        <v>1106</v>
      </c>
      <c r="F1281" s="234">
        <v>1</v>
      </c>
      <c r="G1281" s="234">
        <v>1</v>
      </c>
      <c r="H1281" s="234"/>
      <c r="I1281" s="234">
        <f t="shared" si="231"/>
        <v>2</v>
      </c>
      <c r="J1281" s="9"/>
      <c r="K1281" s="241" t="s">
        <v>1971</v>
      </c>
      <c r="L1281" s="11" t="s">
        <v>797</v>
      </c>
      <c r="M1281" s="11"/>
      <c r="N1281" s="10"/>
      <c r="O1281" s="11"/>
      <c r="P1281" s="11"/>
      <c r="Q1281" s="11"/>
      <c r="R1281" s="11"/>
      <c r="S1281" s="11" t="s">
        <v>1181</v>
      </c>
      <c r="T1281" s="117"/>
    </row>
    <row r="1282" spans="1:20" x14ac:dyDescent="0.2">
      <c r="A1282" s="33"/>
      <c r="B1282" s="20"/>
      <c r="E1282" s="233" t="s">
        <v>1091</v>
      </c>
      <c r="F1282" s="234">
        <v>1</v>
      </c>
      <c r="G1282" s="234">
        <v>1</v>
      </c>
      <c r="H1282" s="234"/>
      <c r="I1282" s="234">
        <f t="shared" si="231"/>
        <v>2</v>
      </c>
      <c r="J1282" s="9"/>
      <c r="K1282" s="241" t="s">
        <v>1158</v>
      </c>
      <c r="L1282" s="11" t="s">
        <v>797</v>
      </c>
      <c r="M1282" s="11"/>
      <c r="N1282" s="10"/>
      <c r="O1282" s="11"/>
      <c r="P1282" s="11"/>
      <c r="Q1282" s="11"/>
      <c r="R1282" s="11"/>
      <c r="S1282" s="11" t="s">
        <v>1181</v>
      </c>
      <c r="T1282" s="117"/>
    </row>
    <row r="1283" spans="1:20" x14ac:dyDescent="0.2">
      <c r="A1283" s="33"/>
      <c r="B1283" s="20"/>
      <c r="E1283" s="233" t="s">
        <v>1502</v>
      </c>
      <c r="F1283" s="234">
        <v>1</v>
      </c>
      <c r="G1283" s="234">
        <v>1</v>
      </c>
      <c r="H1283" s="234"/>
      <c r="I1283" s="234">
        <f t="shared" si="231"/>
        <v>2</v>
      </c>
      <c r="J1283" s="9"/>
      <c r="K1283" s="241" t="s">
        <v>1933</v>
      </c>
      <c r="L1283" s="11" t="s">
        <v>797</v>
      </c>
      <c r="M1283" s="11"/>
      <c r="N1283" s="10"/>
      <c r="O1283" s="11"/>
      <c r="P1283" s="11"/>
      <c r="Q1283" s="11"/>
      <c r="R1283" s="11"/>
      <c r="S1283" s="11" t="s">
        <v>1181</v>
      </c>
      <c r="T1283" s="117"/>
    </row>
    <row r="1284" spans="1:20" x14ac:dyDescent="0.2">
      <c r="A1284" s="33"/>
      <c r="B1284" s="20"/>
      <c r="E1284" s="233" t="s">
        <v>1092</v>
      </c>
      <c r="F1284" s="234">
        <v>1</v>
      </c>
      <c r="G1284" s="234">
        <v>1</v>
      </c>
      <c r="H1284" s="234"/>
      <c r="I1284" s="234">
        <f t="shared" si="231"/>
        <v>2</v>
      </c>
      <c r="J1284" s="9"/>
      <c r="K1284" s="241" t="s">
        <v>1432</v>
      </c>
      <c r="L1284" s="11" t="s">
        <v>797</v>
      </c>
      <c r="M1284" s="11"/>
      <c r="N1284" s="10"/>
      <c r="O1284" s="11"/>
      <c r="P1284" s="11"/>
      <c r="Q1284" s="11"/>
      <c r="R1284" s="11"/>
      <c r="S1284" s="11" t="s">
        <v>1181</v>
      </c>
      <c r="T1284" s="117"/>
    </row>
    <row r="1285" spans="1:20" x14ac:dyDescent="0.2">
      <c r="A1285" s="33"/>
      <c r="B1285" s="20"/>
      <c r="E1285" s="233" t="s">
        <v>1608</v>
      </c>
      <c r="F1285" s="234">
        <v>1</v>
      </c>
      <c r="G1285" s="234">
        <v>1</v>
      </c>
      <c r="H1285" s="234"/>
      <c r="I1285" s="234">
        <f t="shared" si="231"/>
        <v>2</v>
      </c>
      <c r="J1285" s="9"/>
      <c r="K1285" s="266" t="s">
        <v>1162</v>
      </c>
      <c r="L1285" s="11" t="s">
        <v>797</v>
      </c>
      <c r="M1285" s="11"/>
      <c r="N1285" s="10"/>
      <c r="O1285" s="11"/>
      <c r="P1285" s="11"/>
      <c r="Q1285" s="11"/>
      <c r="R1285" s="11"/>
      <c r="S1285" s="11" t="s">
        <v>1181</v>
      </c>
      <c r="T1285" s="117"/>
    </row>
    <row r="1286" spans="1:20" x14ac:dyDescent="0.2">
      <c r="A1286" s="33"/>
      <c r="B1286" s="20"/>
      <c r="E1286" s="233" t="s">
        <v>1159</v>
      </c>
      <c r="F1286" s="234">
        <v>1</v>
      </c>
      <c r="G1286" s="234">
        <v>1</v>
      </c>
      <c r="H1286" s="234"/>
      <c r="I1286" s="234">
        <f t="shared" si="231"/>
        <v>2</v>
      </c>
      <c r="J1286" s="9"/>
      <c r="K1286" s="266" t="s">
        <v>1163</v>
      </c>
      <c r="L1286" s="11" t="s">
        <v>797</v>
      </c>
      <c r="M1286" s="11"/>
      <c r="N1286" s="10"/>
      <c r="O1286" s="11"/>
      <c r="P1286" s="11"/>
      <c r="Q1286" s="11"/>
      <c r="R1286" s="11"/>
      <c r="S1286" s="11" t="s">
        <v>1181</v>
      </c>
      <c r="T1286" s="117"/>
    </row>
    <row r="1287" spans="1:20" x14ac:dyDescent="0.2">
      <c r="A1287" s="33"/>
      <c r="B1287" s="20"/>
      <c r="E1287" s="233" t="s">
        <v>1609</v>
      </c>
      <c r="F1287" s="234">
        <v>1</v>
      </c>
      <c r="G1287" s="234">
        <v>1</v>
      </c>
      <c r="H1287" s="234"/>
      <c r="I1287" s="234">
        <f t="shared" si="231"/>
        <v>2</v>
      </c>
      <c r="J1287" s="9"/>
      <c r="K1287" s="266" t="s">
        <v>1164</v>
      </c>
      <c r="L1287" s="11" t="s">
        <v>797</v>
      </c>
      <c r="M1287" s="11"/>
      <c r="N1287" s="10"/>
      <c r="O1287" s="11"/>
      <c r="P1287" s="11"/>
      <c r="Q1287" s="11"/>
      <c r="R1287" s="11"/>
      <c r="S1287" s="11" t="s">
        <v>1181</v>
      </c>
      <c r="T1287" s="117"/>
    </row>
    <row r="1288" spans="1:20" x14ac:dyDescent="0.2">
      <c r="A1288" s="33"/>
      <c r="B1288" s="20"/>
      <c r="E1288" s="233" t="s">
        <v>1598</v>
      </c>
      <c r="F1288" s="234">
        <v>1</v>
      </c>
      <c r="G1288" s="234">
        <v>1</v>
      </c>
      <c r="H1288" s="234"/>
      <c r="I1288" s="234">
        <f t="shared" si="231"/>
        <v>2</v>
      </c>
      <c r="J1288" s="9"/>
      <c r="K1288" s="266" t="s">
        <v>1165</v>
      </c>
      <c r="L1288" s="11" t="s">
        <v>797</v>
      </c>
      <c r="M1288" s="11"/>
      <c r="N1288" s="10"/>
      <c r="O1288" s="11"/>
      <c r="P1288" s="11"/>
      <c r="Q1288" s="11"/>
      <c r="R1288" s="11"/>
      <c r="S1288" s="11" t="s">
        <v>1181</v>
      </c>
      <c r="T1288" s="117"/>
    </row>
    <row r="1289" spans="1:20" x14ac:dyDescent="0.2">
      <c r="A1289" s="33"/>
      <c r="B1289" s="20"/>
      <c r="E1289" s="233" t="s">
        <v>1603</v>
      </c>
      <c r="F1289" s="234">
        <v>1</v>
      </c>
      <c r="G1289" s="234">
        <v>1</v>
      </c>
      <c r="H1289" s="234"/>
      <c r="I1289" s="234">
        <f t="shared" si="231"/>
        <v>2</v>
      </c>
      <c r="J1289" s="9"/>
      <c r="K1289" s="266" t="s">
        <v>1169</v>
      </c>
      <c r="L1289" s="11" t="s">
        <v>797</v>
      </c>
      <c r="M1289" s="11"/>
      <c r="N1289" s="10"/>
      <c r="O1289" s="11"/>
      <c r="P1289" s="11"/>
      <c r="Q1289" s="11"/>
      <c r="R1289" s="11"/>
      <c r="S1289" s="11" t="s">
        <v>1181</v>
      </c>
      <c r="T1289" s="117"/>
    </row>
    <row r="1290" spans="1:20" x14ac:dyDescent="0.2">
      <c r="A1290" s="33"/>
      <c r="B1290" s="20"/>
      <c r="E1290" s="233" t="s">
        <v>1604</v>
      </c>
      <c r="F1290" s="234">
        <v>1</v>
      </c>
      <c r="G1290" s="234">
        <v>1</v>
      </c>
      <c r="H1290" s="234"/>
      <c r="I1290" s="234">
        <f t="shared" si="231"/>
        <v>2</v>
      </c>
      <c r="J1290" s="9"/>
      <c r="K1290" s="266" t="s">
        <v>1166</v>
      </c>
      <c r="L1290" s="11" t="s">
        <v>797</v>
      </c>
      <c r="M1290" s="11"/>
      <c r="N1290" s="10"/>
      <c r="O1290" s="11"/>
      <c r="P1290" s="11"/>
      <c r="Q1290" s="11"/>
      <c r="R1290" s="11"/>
      <c r="S1290" s="11" t="s">
        <v>1181</v>
      </c>
      <c r="T1290" s="117"/>
    </row>
    <row r="1291" spans="1:20" x14ac:dyDescent="0.2">
      <c r="A1291" s="33"/>
      <c r="B1291" s="20"/>
      <c r="E1291" s="233" t="s">
        <v>1160</v>
      </c>
      <c r="F1291" s="234">
        <v>1</v>
      </c>
      <c r="G1291" s="234">
        <v>1</v>
      </c>
      <c r="H1291" s="234"/>
      <c r="I1291" s="234">
        <f t="shared" si="231"/>
        <v>2</v>
      </c>
      <c r="J1291" s="9"/>
      <c r="K1291" s="266" t="s">
        <v>1167</v>
      </c>
      <c r="L1291" s="11" t="s">
        <v>797</v>
      </c>
      <c r="M1291" s="11"/>
      <c r="N1291" s="10"/>
      <c r="O1291" s="11"/>
      <c r="P1291" s="11"/>
      <c r="Q1291" s="11"/>
      <c r="R1291" s="11"/>
      <c r="S1291" s="11" t="s">
        <v>1181</v>
      </c>
      <c r="T1291" s="117"/>
    </row>
    <row r="1292" spans="1:20" x14ac:dyDescent="0.2">
      <c r="A1292" s="33"/>
      <c r="B1292" s="20"/>
      <c r="E1292" s="233" t="s">
        <v>1605</v>
      </c>
      <c r="F1292" s="234">
        <v>1</v>
      </c>
      <c r="G1292" s="234">
        <v>1</v>
      </c>
      <c r="H1292" s="234"/>
      <c r="I1292" s="234">
        <f t="shared" si="231"/>
        <v>2</v>
      </c>
      <c r="J1292" s="9"/>
      <c r="K1292" s="266" t="s">
        <v>1168</v>
      </c>
      <c r="L1292" s="11" t="s">
        <v>797</v>
      </c>
      <c r="M1292" s="11"/>
      <c r="N1292" s="10"/>
      <c r="O1292" s="11"/>
      <c r="P1292" s="11"/>
      <c r="Q1292" s="11"/>
      <c r="R1292" s="11"/>
      <c r="S1292" s="11" t="s">
        <v>1181</v>
      </c>
      <c r="T1292" s="117"/>
    </row>
    <row r="1293" spans="1:20" x14ac:dyDescent="0.2">
      <c r="A1293" s="33"/>
      <c r="B1293" s="20"/>
      <c r="E1293" s="233" t="s">
        <v>1602</v>
      </c>
      <c r="F1293" s="234">
        <v>1</v>
      </c>
      <c r="G1293" s="234">
        <v>1</v>
      </c>
      <c r="H1293" s="234"/>
      <c r="I1293" s="234">
        <f t="shared" si="231"/>
        <v>2</v>
      </c>
      <c r="J1293" s="9"/>
      <c r="K1293" s="266" t="s">
        <v>1170</v>
      </c>
      <c r="L1293" s="11" t="s">
        <v>797</v>
      </c>
      <c r="M1293" s="11"/>
      <c r="N1293" s="10"/>
      <c r="O1293" s="11"/>
      <c r="P1293" s="11"/>
      <c r="Q1293" s="11"/>
      <c r="R1293" s="11"/>
      <c r="S1293" s="11" t="s">
        <v>1181</v>
      </c>
      <c r="T1293" s="117"/>
    </row>
    <row r="1294" spans="1:20" x14ac:dyDescent="0.2">
      <c r="A1294" s="33"/>
      <c r="B1294" s="20"/>
      <c r="E1294" s="233" t="s">
        <v>1601</v>
      </c>
      <c r="F1294" s="234">
        <v>1</v>
      </c>
      <c r="G1294" s="234">
        <v>1</v>
      </c>
      <c r="H1294" s="234"/>
      <c r="I1294" s="234">
        <f t="shared" si="231"/>
        <v>2</v>
      </c>
      <c r="J1294" s="9"/>
      <c r="K1294" s="266" t="s">
        <v>1171</v>
      </c>
      <c r="L1294" s="11" t="s">
        <v>797</v>
      </c>
      <c r="M1294" s="11"/>
      <c r="N1294" s="10"/>
      <c r="O1294" s="11"/>
      <c r="P1294" s="11"/>
      <c r="Q1294" s="11"/>
      <c r="R1294" s="11"/>
      <c r="S1294" s="11" t="s">
        <v>1181</v>
      </c>
      <c r="T1294" s="117"/>
    </row>
    <row r="1295" spans="1:20" x14ac:dyDescent="0.2">
      <c r="A1295" s="33"/>
      <c r="B1295" s="20"/>
      <c r="E1295" s="233" t="s">
        <v>1606</v>
      </c>
      <c r="F1295" s="234">
        <v>1</v>
      </c>
      <c r="G1295" s="234">
        <v>1</v>
      </c>
      <c r="H1295" s="234"/>
      <c r="I1295" s="234">
        <f t="shared" si="231"/>
        <v>2</v>
      </c>
      <c r="J1295" s="9"/>
      <c r="K1295" s="266" t="s">
        <v>1172</v>
      </c>
      <c r="L1295" s="11" t="s">
        <v>797</v>
      </c>
      <c r="M1295" s="11"/>
      <c r="N1295" s="10"/>
      <c r="O1295" s="11"/>
      <c r="P1295" s="11"/>
      <c r="Q1295" s="11"/>
      <c r="R1295" s="11"/>
      <c r="S1295" s="11" t="s">
        <v>1181</v>
      </c>
      <c r="T1295" s="117"/>
    </row>
    <row r="1296" spans="1:20" x14ac:dyDescent="0.2">
      <c r="A1296" s="33"/>
      <c r="B1296" s="20"/>
      <c r="E1296" s="233" t="s">
        <v>1161</v>
      </c>
      <c r="F1296" s="234">
        <v>1</v>
      </c>
      <c r="G1296" s="234">
        <v>1</v>
      </c>
      <c r="H1296" s="234"/>
      <c r="I1296" s="234">
        <f t="shared" si="231"/>
        <v>2</v>
      </c>
      <c r="J1296" s="9"/>
      <c r="K1296" s="266" t="s">
        <v>1174</v>
      </c>
      <c r="L1296" s="11" t="s">
        <v>797</v>
      </c>
      <c r="M1296" s="11"/>
      <c r="N1296" s="10"/>
      <c r="O1296" s="11"/>
      <c r="P1296" s="11"/>
      <c r="Q1296" s="11"/>
      <c r="R1296" s="11"/>
      <c r="S1296" s="11" t="s">
        <v>1181</v>
      </c>
      <c r="T1296" s="117"/>
    </row>
    <row r="1297" spans="1:20" x14ac:dyDescent="0.2">
      <c r="A1297" s="33"/>
      <c r="B1297" s="20"/>
      <c r="E1297" s="233" t="s">
        <v>1607</v>
      </c>
      <c r="F1297" s="234">
        <v>1</v>
      </c>
      <c r="G1297" s="234">
        <v>1</v>
      </c>
      <c r="H1297" s="234"/>
      <c r="I1297" s="234">
        <f t="shared" si="231"/>
        <v>2</v>
      </c>
      <c r="J1297" s="9"/>
      <c r="K1297" s="266" t="s">
        <v>1173</v>
      </c>
      <c r="L1297" s="11" t="s">
        <v>797</v>
      </c>
      <c r="M1297" s="11"/>
      <c r="N1297" s="10"/>
      <c r="O1297" s="11"/>
      <c r="P1297" s="11"/>
      <c r="Q1297" s="11"/>
      <c r="R1297" s="11"/>
      <c r="S1297" s="11" t="s">
        <v>1181</v>
      </c>
      <c r="T1297" s="117"/>
    </row>
    <row r="1298" spans="1:20" x14ac:dyDescent="0.2">
      <c r="A1298" s="33"/>
      <c r="B1298" s="20"/>
      <c r="E1298" s="233" t="s">
        <v>1600</v>
      </c>
      <c r="F1298" s="234">
        <v>1</v>
      </c>
      <c r="G1298" s="234">
        <v>1</v>
      </c>
      <c r="H1298" s="234"/>
      <c r="I1298" s="234">
        <f t="shared" si="231"/>
        <v>2</v>
      </c>
      <c r="J1298" s="9"/>
      <c r="K1298" s="266" t="s">
        <v>1175</v>
      </c>
      <c r="L1298" s="11" t="s">
        <v>797</v>
      </c>
      <c r="M1298" s="11"/>
      <c r="N1298" s="10"/>
      <c r="O1298" s="11"/>
      <c r="P1298" s="11"/>
      <c r="Q1298" s="11"/>
      <c r="R1298" s="11"/>
      <c r="S1298" s="11" t="s">
        <v>1181</v>
      </c>
      <c r="T1298" s="117"/>
    </row>
    <row r="1299" spans="1:20" x14ac:dyDescent="0.2">
      <c r="A1299" s="33"/>
      <c r="B1299" s="20"/>
      <c r="E1299" s="233" t="s">
        <v>1599</v>
      </c>
      <c r="F1299" s="234">
        <v>1</v>
      </c>
      <c r="G1299" s="234">
        <v>1</v>
      </c>
      <c r="H1299" s="234"/>
      <c r="I1299" s="234">
        <f t="shared" si="231"/>
        <v>2</v>
      </c>
      <c r="J1299" s="9"/>
      <c r="K1299" s="266" t="s">
        <v>1176</v>
      </c>
      <c r="L1299" s="11" t="s">
        <v>797</v>
      </c>
      <c r="M1299" s="11"/>
      <c r="N1299" s="10"/>
      <c r="O1299" s="11"/>
      <c r="P1299" s="11"/>
      <c r="Q1299" s="11"/>
      <c r="R1299" s="11"/>
      <c r="S1299" s="11" t="s">
        <v>1181</v>
      </c>
      <c r="T1299" s="117"/>
    </row>
    <row r="1300" spans="1:20" x14ac:dyDescent="0.2">
      <c r="A1300" s="33"/>
      <c r="B1300" s="20"/>
      <c r="E1300" s="233"/>
      <c r="F1300" s="234"/>
      <c r="G1300" s="234"/>
      <c r="H1300" s="234"/>
      <c r="I1300" s="234"/>
      <c r="J1300" s="9"/>
      <c r="K1300" s="266"/>
      <c r="L1300" s="11"/>
      <c r="M1300" s="11"/>
      <c r="N1300" s="10"/>
      <c r="O1300" s="11"/>
      <c r="P1300" s="34"/>
      <c r="Q1300" s="34"/>
      <c r="R1300" s="145"/>
      <c r="S1300" s="145"/>
      <c r="T1300" s="117"/>
    </row>
    <row r="1301" spans="1:20" x14ac:dyDescent="0.2">
      <c r="A1301" s="33"/>
      <c r="B1301" s="20"/>
      <c r="E1301" s="20" t="s">
        <v>1614</v>
      </c>
      <c r="F1301" s="9"/>
      <c r="G1301" s="9"/>
      <c r="H1301" s="9"/>
      <c r="I1301" s="9"/>
      <c r="J1301" s="9"/>
      <c r="K1301" s="10"/>
      <c r="L1301" s="10"/>
      <c r="M1301" s="10"/>
      <c r="N1301" s="10"/>
      <c r="O1301" s="11"/>
      <c r="P1301" s="34"/>
      <c r="Q1301" s="34"/>
      <c r="R1301" s="145"/>
      <c r="S1301" s="145"/>
      <c r="T1301" s="117"/>
    </row>
    <row r="1302" spans="1:20" x14ac:dyDescent="0.2">
      <c r="A1302" s="33"/>
      <c r="B1302" s="173" t="s">
        <v>802</v>
      </c>
      <c r="E1302" s="21"/>
      <c r="F1302" s="9">
        <f>SUM(F1272:F1301)</f>
        <v>28</v>
      </c>
      <c r="G1302" s="9">
        <f>SUM(G1272:G1301)</f>
        <v>26</v>
      </c>
      <c r="H1302" s="9"/>
      <c r="I1302" s="9">
        <f>SUM(I1272:I1301)</f>
        <v>52</v>
      </c>
      <c r="J1302" s="9"/>
      <c r="K1302" s="10"/>
      <c r="L1302" s="10"/>
      <c r="M1302" s="10"/>
      <c r="N1302" s="10"/>
      <c r="O1302" s="11"/>
      <c r="P1302" s="34"/>
      <c r="Q1302" s="34"/>
      <c r="R1302" s="145"/>
      <c r="S1302" s="145"/>
      <c r="T1302" s="117"/>
    </row>
    <row r="1303" spans="1:20" x14ac:dyDescent="0.2">
      <c r="A1303" s="33"/>
      <c r="B1303" s="174"/>
      <c r="C1303" s="169"/>
      <c r="D1303" s="170"/>
      <c r="E1303" s="175"/>
      <c r="F1303" s="170"/>
      <c r="G1303" s="170"/>
      <c r="H1303" s="170"/>
      <c r="I1303" s="170"/>
      <c r="J1303" s="170"/>
      <c r="K1303" s="49"/>
      <c r="L1303" s="49"/>
      <c r="M1303" s="49"/>
      <c r="N1303" s="49"/>
      <c r="O1303" s="32"/>
      <c r="P1303" s="29"/>
      <c r="Q1303" s="29"/>
      <c r="R1303" s="143"/>
      <c r="S1303" s="143"/>
      <c r="T1303" s="156"/>
    </row>
    <row r="1304" spans="1:20" x14ac:dyDescent="0.2">
      <c r="A1304" s="33"/>
      <c r="B1304" s="20" t="s">
        <v>801</v>
      </c>
      <c r="E1304" s="21"/>
      <c r="F1304" s="9"/>
      <c r="G1304" s="9"/>
      <c r="H1304" s="9"/>
      <c r="I1304" s="9"/>
      <c r="J1304" s="9"/>
      <c r="K1304" s="10"/>
      <c r="L1304" s="11"/>
      <c r="M1304" s="11"/>
      <c r="N1304" s="11"/>
      <c r="O1304" s="11"/>
      <c r="P1304" s="34"/>
      <c r="Q1304" s="34"/>
      <c r="R1304" s="145"/>
      <c r="S1304" s="145"/>
      <c r="T1304" s="117"/>
    </row>
    <row r="1305" spans="1:20" x14ac:dyDescent="0.2">
      <c r="A1305" s="33"/>
      <c r="B1305" s="8" t="s">
        <v>807</v>
      </c>
      <c r="E1305" s="20" t="s">
        <v>491</v>
      </c>
      <c r="F1305" s="9">
        <v>256</v>
      </c>
      <c r="G1305" s="9">
        <f>G1302 * F1305</f>
        <v>6656</v>
      </c>
      <c r="H1305" s="9"/>
      <c r="I1305" s="9">
        <f>F1305*I1302</f>
        <v>13312</v>
      </c>
      <c r="J1305" s="9"/>
      <c r="K1305" s="10"/>
      <c r="L1305" s="11"/>
      <c r="M1305" s="11"/>
      <c r="N1305" s="11"/>
      <c r="O1305" s="11"/>
      <c r="P1305" s="34"/>
      <c r="Q1305" s="34"/>
      <c r="R1305" s="145"/>
      <c r="S1305" s="145"/>
      <c r="T1305" s="117"/>
    </row>
    <row r="1306" spans="1:20" x14ac:dyDescent="0.2">
      <c r="A1306" s="33"/>
      <c r="B1306" s="20" t="s">
        <v>803</v>
      </c>
      <c r="E1306" s="7"/>
      <c r="F1306" s="9"/>
      <c r="G1306" s="9"/>
      <c r="H1306" s="9"/>
      <c r="I1306" s="9"/>
      <c r="J1306" s="9"/>
      <c r="K1306" s="10"/>
      <c r="L1306" s="10"/>
      <c r="M1306" s="10"/>
      <c r="N1306" s="10"/>
      <c r="O1306" s="11"/>
      <c r="P1306" s="34"/>
      <c r="Q1306" s="34"/>
      <c r="R1306" s="145"/>
      <c r="S1306" s="145"/>
      <c r="T1306" s="117"/>
    </row>
    <row r="1307" spans="1:20" x14ac:dyDescent="0.2">
      <c r="A1307" s="33"/>
      <c r="B1307" s="52" t="s">
        <v>1316</v>
      </c>
      <c r="C1307" s="30"/>
      <c r="D1307" s="31"/>
      <c r="E1307" s="53"/>
      <c r="F1307" s="31" t="s">
        <v>487</v>
      </c>
      <c r="G1307" s="31" t="s">
        <v>488</v>
      </c>
      <c r="H1307" s="31"/>
      <c r="I1307" s="31" t="s">
        <v>489</v>
      </c>
      <c r="J1307" s="31"/>
      <c r="K1307" s="29"/>
      <c r="L1307" s="29"/>
      <c r="M1307" s="29"/>
      <c r="N1307" s="29"/>
      <c r="O1307" s="109"/>
      <c r="P1307" s="34"/>
      <c r="Q1307" s="34"/>
      <c r="R1307" s="149"/>
      <c r="S1307" s="149"/>
      <c r="T1307" s="160"/>
    </row>
    <row r="1308" spans="1:20" x14ac:dyDescent="0.2">
      <c r="A1308" s="33"/>
      <c r="B1308" s="469" t="s">
        <v>2358</v>
      </c>
      <c r="C1308" s="469"/>
      <c r="D1308" s="469"/>
      <c r="E1308" s="469"/>
      <c r="F1308" s="469"/>
      <c r="G1308" s="469"/>
      <c r="H1308" s="469"/>
      <c r="I1308" s="469"/>
      <c r="J1308" s="469"/>
      <c r="K1308" s="469"/>
      <c r="L1308" s="469"/>
      <c r="M1308" s="469"/>
      <c r="N1308" s="469"/>
      <c r="O1308" s="109"/>
      <c r="P1308" s="34"/>
      <c r="Q1308" s="34"/>
      <c r="R1308" s="149"/>
      <c r="S1308" s="149"/>
      <c r="T1308" s="160"/>
    </row>
    <row r="1309" spans="1:20" ht="12.75" x14ac:dyDescent="0.2">
      <c r="A1309" s="33"/>
      <c r="B1309" s="356"/>
      <c r="C1309" s="351"/>
      <c r="D1309" s="351"/>
      <c r="E1309" s="351"/>
      <c r="F1309" s="351"/>
      <c r="G1309" s="351"/>
      <c r="H1309" s="351"/>
      <c r="I1309" s="351"/>
      <c r="J1309" s="351"/>
      <c r="K1309" s="351"/>
      <c r="L1309" s="351"/>
      <c r="M1309" s="351"/>
      <c r="N1309" s="351"/>
      <c r="O1309" s="357"/>
      <c r="P1309" s="136"/>
      <c r="Q1309" s="136"/>
      <c r="R1309" s="358"/>
      <c r="S1309" s="358"/>
      <c r="T1309" s="359"/>
    </row>
    <row r="1310" spans="1:20" x14ac:dyDescent="0.2">
      <c r="A1310" s="33"/>
      <c r="B1310" s="173"/>
      <c r="E1310" s="173" t="s">
        <v>2357</v>
      </c>
      <c r="F1310" s="9"/>
      <c r="G1310" s="9"/>
      <c r="H1310" s="9"/>
      <c r="I1310" s="9"/>
      <c r="J1310" s="9"/>
      <c r="K1310" s="10"/>
      <c r="L1310" s="20"/>
      <c r="M1310" s="20"/>
      <c r="N1310" s="20"/>
      <c r="O1310" s="9"/>
      <c r="P1310" s="10"/>
      <c r="Q1310" s="10"/>
      <c r="R1310" s="145"/>
      <c r="S1310" s="145"/>
      <c r="T1310" s="117"/>
    </row>
    <row r="1311" spans="1:20" x14ac:dyDescent="0.2">
      <c r="A1311" s="33"/>
      <c r="B1311" s="173"/>
      <c r="E1311" s="20" t="s">
        <v>2359</v>
      </c>
      <c r="F1311" s="9">
        <v>1</v>
      </c>
      <c r="G1311" s="9">
        <v>1</v>
      </c>
      <c r="H1311" s="9"/>
      <c r="I1311" s="9">
        <f>2*G1311</f>
        <v>2</v>
      </c>
      <c r="J1311" s="9"/>
      <c r="K1311" s="165" t="s">
        <v>2368</v>
      </c>
      <c r="L1311" s="11" t="s">
        <v>797</v>
      </c>
      <c r="M1311" s="11"/>
      <c r="N1311" s="20"/>
      <c r="O1311" s="11"/>
      <c r="P1311" s="11"/>
      <c r="Q1311" s="11"/>
      <c r="R1311" s="11"/>
      <c r="S1311" s="11" t="s">
        <v>1181</v>
      </c>
      <c r="T1311" s="117"/>
    </row>
    <row r="1312" spans="1:20" x14ac:dyDescent="0.2">
      <c r="A1312" s="33"/>
      <c r="B1312" s="20"/>
      <c r="E1312" s="20" t="s">
        <v>2360</v>
      </c>
      <c r="F1312" s="9">
        <v>1</v>
      </c>
      <c r="G1312" s="9">
        <v>1</v>
      </c>
      <c r="H1312" s="9"/>
      <c r="I1312" s="9">
        <f>2*G1312</f>
        <v>2</v>
      </c>
      <c r="J1312" s="9"/>
      <c r="K1312" s="165" t="s">
        <v>2369</v>
      </c>
      <c r="L1312" s="11" t="s">
        <v>797</v>
      </c>
      <c r="M1312" s="11"/>
      <c r="N1312" s="20"/>
      <c r="O1312" s="11"/>
      <c r="P1312" s="11"/>
      <c r="Q1312" s="11"/>
      <c r="R1312" s="11"/>
      <c r="S1312" s="11" t="s">
        <v>1181</v>
      </c>
      <c r="T1312" s="117"/>
    </row>
    <row r="1313" spans="1:20" x14ac:dyDescent="0.2">
      <c r="A1313" s="33"/>
      <c r="B1313" s="20"/>
      <c r="E1313" s="20" t="s">
        <v>2361</v>
      </c>
      <c r="F1313" s="234">
        <v>1</v>
      </c>
      <c r="G1313" s="234">
        <v>1</v>
      </c>
      <c r="H1313" s="234"/>
      <c r="I1313" s="234">
        <f>F1313*G1313*2</f>
        <v>2</v>
      </c>
      <c r="J1313" s="9"/>
      <c r="K1313" s="421" t="s">
        <v>2369</v>
      </c>
      <c r="L1313" s="11" t="s">
        <v>797</v>
      </c>
      <c r="M1313" s="11"/>
      <c r="N1313" s="286"/>
      <c r="O1313" s="11"/>
      <c r="P1313" s="11"/>
      <c r="Q1313" s="11"/>
      <c r="R1313" s="11"/>
      <c r="S1313" s="11" t="s">
        <v>1181</v>
      </c>
      <c r="T1313" s="117"/>
    </row>
    <row r="1314" spans="1:20" x14ac:dyDescent="0.2">
      <c r="A1314" s="33"/>
      <c r="B1314" s="20"/>
      <c r="E1314" s="20" t="s">
        <v>2362</v>
      </c>
      <c r="F1314" s="234">
        <v>1</v>
      </c>
      <c r="G1314" s="234">
        <v>1</v>
      </c>
      <c r="H1314" s="234"/>
      <c r="I1314" s="234">
        <f>F1314*G1314*2</f>
        <v>2</v>
      </c>
      <c r="J1314" s="9"/>
      <c r="K1314" s="422" t="s">
        <v>2370</v>
      </c>
      <c r="L1314" s="11" t="s">
        <v>797</v>
      </c>
      <c r="M1314" s="11"/>
      <c r="N1314" s="20"/>
      <c r="O1314" s="11"/>
      <c r="P1314" s="11"/>
      <c r="Q1314" s="11"/>
      <c r="R1314" s="11"/>
      <c r="S1314" s="11" t="s">
        <v>1181</v>
      </c>
      <c r="T1314" s="117"/>
    </row>
    <row r="1315" spans="1:20" x14ac:dyDescent="0.2">
      <c r="A1315" s="33"/>
      <c r="B1315" s="20"/>
      <c r="E1315" s="20" t="s">
        <v>2363</v>
      </c>
      <c r="F1315" s="234">
        <v>1</v>
      </c>
      <c r="G1315" s="234">
        <v>1</v>
      </c>
      <c r="H1315" s="234"/>
      <c r="I1315" s="234">
        <f>F1315*G1315*2</f>
        <v>2</v>
      </c>
      <c r="J1315" s="9"/>
      <c r="K1315" s="423" t="s">
        <v>2372</v>
      </c>
      <c r="L1315" s="11" t="s">
        <v>797</v>
      </c>
      <c r="M1315" s="11"/>
      <c r="N1315" s="20"/>
      <c r="O1315" s="11"/>
      <c r="P1315" s="11"/>
      <c r="Q1315" s="11"/>
      <c r="R1315" s="11"/>
      <c r="S1315" s="11" t="s">
        <v>1181</v>
      </c>
      <c r="T1315" s="117"/>
    </row>
    <row r="1316" spans="1:20" x14ac:dyDescent="0.2">
      <c r="A1316" s="33"/>
      <c r="B1316" s="20"/>
      <c r="E1316" s="20" t="s">
        <v>2364</v>
      </c>
      <c r="F1316" s="234">
        <v>1</v>
      </c>
      <c r="G1316" s="234">
        <v>1</v>
      </c>
      <c r="H1316" s="234"/>
      <c r="I1316" s="234">
        <f>F1316*G1316*2</f>
        <v>2</v>
      </c>
      <c r="J1316" s="9"/>
      <c r="K1316" s="422" t="s">
        <v>2371</v>
      </c>
      <c r="L1316" s="11" t="s">
        <v>797</v>
      </c>
      <c r="M1316" s="11"/>
      <c r="N1316" s="20"/>
      <c r="O1316" s="11"/>
      <c r="P1316" s="11"/>
      <c r="Q1316" s="11"/>
      <c r="R1316" s="11"/>
      <c r="S1316" s="11" t="s">
        <v>1181</v>
      </c>
      <c r="T1316" s="117"/>
    </row>
    <row r="1317" spans="1:20" x14ac:dyDescent="0.2">
      <c r="A1317" s="33"/>
      <c r="B1317" s="20"/>
      <c r="E1317" s="20" t="s">
        <v>2365</v>
      </c>
      <c r="F1317" s="234">
        <v>1</v>
      </c>
      <c r="G1317" s="234">
        <v>1</v>
      </c>
      <c r="H1317" s="234"/>
      <c r="I1317" s="234">
        <f>F1317*G1317*2</f>
        <v>2</v>
      </c>
      <c r="J1317" s="9"/>
      <c r="K1317" s="422" t="s">
        <v>2371</v>
      </c>
      <c r="L1317" s="11" t="s">
        <v>797</v>
      </c>
      <c r="M1317" s="11"/>
      <c r="N1317" s="20"/>
      <c r="O1317" s="11"/>
      <c r="P1317" s="11"/>
      <c r="Q1317" s="11"/>
      <c r="R1317" s="11"/>
      <c r="S1317" s="11" t="s">
        <v>1181</v>
      </c>
      <c r="T1317" s="117"/>
    </row>
    <row r="1318" spans="1:20" x14ac:dyDescent="0.2">
      <c r="A1318" s="33"/>
      <c r="B1318" s="20"/>
      <c r="E1318" s="20" t="s">
        <v>2366</v>
      </c>
      <c r="F1318" s="234">
        <v>1</v>
      </c>
      <c r="G1318" s="234">
        <v>1</v>
      </c>
      <c r="H1318" s="234"/>
      <c r="I1318" s="234">
        <f>G1318*2</f>
        <v>2</v>
      </c>
      <c r="J1318" s="9"/>
      <c r="K1318" s="422" t="s">
        <v>2371</v>
      </c>
      <c r="L1318" s="11" t="s">
        <v>797</v>
      </c>
      <c r="M1318" s="11"/>
      <c r="N1318" s="20"/>
      <c r="O1318" s="11"/>
      <c r="P1318" s="11"/>
      <c r="Q1318" s="11"/>
      <c r="R1318" s="11"/>
      <c r="S1318" s="11" t="s">
        <v>1181</v>
      </c>
      <c r="T1318" s="117"/>
    </row>
    <row r="1319" spans="1:20" x14ac:dyDescent="0.2">
      <c r="A1319" s="33"/>
      <c r="B1319" s="20"/>
      <c r="E1319" s="20" t="s">
        <v>2367</v>
      </c>
      <c r="F1319" s="9">
        <v>1</v>
      </c>
      <c r="G1319" s="9">
        <v>1</v>
      </c>
      <c r="H1319" s="234"/>
      <c r="I1319" s="234">
        <f>G1319*2</f>
        <v>2</v>
      </c>
      <c r="J1319" s="9"/>
      <c r="K1319" s="422" t="s">
        <v>2371</v>
      </c>
      <c r="L1319" s="11" t="s">
        <v>797</v>
      </c>
      <c r="M1319" s="11"/>
      <c r="N1319" s="20"/>
      <c r="O1319" s="11"/>
      <c r="P1319" s="11"/>
      <c r="Q1319" s="11"/>
      <c r="R1319" s="11"/>
      <c r="S1319" s="11" t="s">
        <v>1181</v>
      </c>
      <c r="T1319" s="117"/>
    </row>
    <row r="1320" spans="1:20" x14ac:dyDescent="0.2">
      <c r="A1320" s="33"/>
      <c r="B1320" s="20"/>
      <c r="E1320" s="20"/>
      <c r="F1320" s="9"/>
      <c r="G1320" s="9"/>
      <c r="H1320" s="234"/>
      <c r="I1320" s="234"/>
      <c r="J1320" s="9"/>
      <c r="K1320" s="211"/>
      <c r="L1320" s="11"/>
      <c r="M1320" s="11"/>
      <c r="N1320" s="20"/>
      <c r="O1320" s="9"/>
      <c r="P1320" s="10"/>
      <c r="Q1320" s="10"/>
      <c r="R1320" s="145"/>
      <c r="S1320" s="145"/>
      <c r="T1320" s="117"/>
    </row>
    <row r="1321" spans="1:20" x14ac:dyDescent="0.2">
      <c r="A1321" s="33"/>
      <c r="B1321" s="173" t="s">
        <v>2375</v>
      </c>
      <c r="C1321" s="425"/>
      <c r="E1321" s="290"/>
      <c r="F1321" s="9">
        <f>SUM(F1311:F1319)</f>
        <v>9</v>
      </c>
      <c r="G1321" s="9">
        <f>SUM(G1311:G1319)</f>
        <v>9</v>
      </c>
      <c r="H1321" s="9"/>
      <c r="I1321" s="9">
        <f>SUM(I1311:I1319)</f>
        <v>18</v>
      </c>
      <c r="J1321" s="9"/>
      <c r="K1321" s="10"/>
      <c r="L1321" s="20"/>
      <c r="M1321" s="20"/>
      <c r="N1321" s="20"/>
      <c r="O1321" s="9"/>
      <c r="P1321" s="10"/>
      <c r="Q1321" s="10"/>
      <c r="R1321" s="145"/>
      <c r="S1321" s="145"/>
      <c r="T1321" s="117"/>
    </row>
    <row r="1322" spans="1:20" x14ac:dyDescent="0.2">
      <c r="A1322" s="33"/>
      <c r="B1322" s="173"/>
      <c r="E1322" s="290"/>
      <c r="F1322" s="9"/>
      <c r="G1322" s="9"/>
      <c r="H1322" s="9"/>
      <c r="I1322" s="9"/>
      <c r="J1322" s="9"/>
      <c r="K1322" s="10"/>
      <c r="L1322" s="20"/>
      <c r="M1322" s="20"/>
      <c r="N1322" s="20"/>
      <c r="O1322" s="9"/>
      <c r="P1322" s="10"/>
      <c r="Q1322" s="10"/>
      <c r="R1322" s="145"/>
      <c r="S1322" s="145"/>
      <c r="T1322" s="117"/>
    </row>
    <row r="1323" spans="1:20" x14ac:dyDescent="0.2">
      <c r="A1323" s="33"/>
      <c r="B1323" s="173"/>
      <c r="E1323" s="173"/>
      <c r="F1323" s="9"/>
      <c r="G1323" s="9"/>
      <c r="H1323" s="9"/>
      <c r="I1323" s="9"/>
      <c r="J1323" s="9"/>
      <c r="K1323" s="10"/>
      <c r="L1323" s="20"/>
      <c r="M1323" s="20"/>
      <c r="N1323" s="20"/>
      <c r="O1323" s="9"/>
      <c r="P1323" s="10"/>
      <c r="Q1323" s="10"/>
      <c r="R1323" s="145"/>
      <c r="S1323" s="145"/>
      <c r="T1323" s="117"/>
    </row>
    <row r="1324" spans="1:20" ht="11.25" customHeight="1" x14ac:dyDescent="0.2">
      <c r="A1324" s="33"/>
      <c r="B1324" s="173"/>
      <c r="E1324" s="20"/>
      <c r="F1324" s="9"/>
      <c r="G1324" s="9"/>
      <c r="H1324" s="9"/>
      <c r="I1324" s="9"/>
      <c r="J1324" s="9"/>
      <c r="K1324" s="165"/>
      <c r="L1324" s="11"/>
      <c r="M1324" s="11"/>
      <c r="N1324" s="20"/>
      <c r="O1324" s="11"/>
      <c r="P1324" s="11"/>
      <c r="Q1324" s="11"/>
      <c r="R1324" s="11"/>
      <c r="S1324" s="11"/>
      <c r="T1324" s="117"/>
    </row>
    <row r="1325" spans="1:20" x14ac:dyDescent="0.2">
      <c r="A1325" s="33"/>
      <c r="B1325" s="20"/>
      <c r="E1325" s="20"/>
      <c r="F1325" s="9"/>
      <c r="G1325" s="9"/>
      <c r="H1325" s="9"/>
      <c r="I1325" s="9"/>
      <c r="J1325" s="9"/>
      <c r="K1325" s="165"/>
      <c r="L1325" s="11"/>
      <c r="M1325" s="11"/>
      <c r="N1325" s="20"/>
      <c r="O1325" s="11"/>
      <c r="P1325" s="11"/>
      <c r="Q1325" s="11"/>
      <c r="R1325" s="11"/>
      <c r="S1325" s="11"/>
      <c r="T1325" s="117"/>
    </row>
    <row r="1326" spans="1:20" x14ac:dyDescent="0.2">
      <c r="A1326" s="33"/>
      <c r="B1326" s="20"/>
      <c r="E1326" s="20"/>
      <c r="F1326" s="234"/>
      <c r="G1326" s="234"/>
      <c r="H1326" s="234"/>
      <c r="I1326" s="234"/>
      <c r="J1326" s="9"/>
      <c r="K1326" s="268"/>
      <c r="L1326" s="11"/>
      <c r="M1326" s="11"/>
      <c r="N1326" s="286"/>
      <c r="O1326" s="11"/>
      <c r="P1326" s="11"/>
      <c r="Q1326" s="11"/>
      <c r="R1326" s="11"/>
      <c r="S1326" s="11"/>
      <c r="T1326" s="117"/>
    </row>
    <row r="1327" spans="1:20" x14ac:dyDescent="0.2">
      <c r="A1327" s="33"/>
      <c r="B1327" s="20"/>
      <c r="E1327" s="20"/>
      <c r="F1327" s="234"/>
      <c r="G1327" s="234"/>
      <c r="H1327" s="234"/>
      <c r="I1327" s="234"/>
      <c r="J1327" s="9"/>
      <c r="K1327" s="268"/>
      <c r="L1327" s="11"/>
      <c r="M1327" s="11"/>
      <c r="N1327" s="20"/>
      <c r="O1327" s="11"/>
      <c r="P1327" s="11"/>
      <c r="Q1327" s="11"/>
      <c r="R1327" s="11"/>
      <c r="S1327" s="11"/>
      <c r="T1327" s="117"/>
    </row>
    <row r="1328" spans="1:20" x14ac:dyDescent="0.2">
      <c r="A1328" s="33"/>
      <c r="B1328" s="20"/>
      <c r="E1328" s="20"/>
      <c r="F1328" s="234"/>
      <c r="G1328" s="234"/>
      <c r="H1328" s="234"/>
      <c r="I1328" s="234"/>
      <c r="J1328" s="9"/>
      <c r="K1328" s="268"/>
      <c r="L1328" s="11"/>
      <c r="M1328" s="11"/>
      <c r="N1328" s="20"/>
      <c r="O1328" s="11"/>
      <c r="P1328" s="11"/>
      <c r="Q1328" s="11"/>
      <c r="R1328" s="11"/>
      <c r="S1328" s="11"/>
      <c r="T1328" s="117"/>
    </row>
    <row r="1329" spans="1:20" ht="11.25" customHeight="1" x14ac:dyDescent="0.2">
      <c r="A1329" s="33"/>
      <c r="B1329" s="20"/>
      <c r="E1329" s="20"/>
      <c r="F1329" s="234"/>
      <c r="G1329" s="234"/>
      <c r="H1329" s="234"/>
      <c r="I1329" s="234"/>
      <c r="J1329" s="9"/>
      <c r="K1329" s="268"/>
      <c r="L1329" s="11"/>
      <c r="M1329" s="11"/>
      <c r="N1329" s="20"/>
      <c r="O1329" s="11"/>
      <c r="P1329" s="11"/>
      <c r="Q1329" s="11"/>
      <c r="R1329" s="11"/>
      <c r="S1329" s="11"/>
      <c r="T1329" s="117"/>
    </row>
    <row r="1330" spans="1:20" x14ac:dyDescent="0.2">
      <c r="A1330" s="33"/>
      <c r="B1330" s="20"/>
      <c r="E1330" s="20"/>
      <c r="F1330" s="234"/>
      <c r="G1330" s="234"/>
      <c r="H1330" s="234"/>
      <c r="I1330" s="234"/>
      <c r="J1330" s="9"/>
      <c r="K1330" s="268"/>
      <c r="L1330" s="11"/>
      <c r="M1330" s="11"/>
      <c r="N1330" s="20"/>
      <c r="O1330" s="11"/>
      <c r="P1330" s="11"/>
      <c r="Q1330" s="11"/>
      <c r="R1330" s="11"/>
      <c r="S1330" s="11"/>
      <c r="T1330" s="117"/>
    </row>
    <row r="1331" spans="1:20" x14ac:dyDescent="0.2">
      <c r="A1331" s="33"/>
      <c r="B1331" s="20"/>
      <c r="E1331" s="20"/>
      <c r="F1331" s="234"/>
      <c r="G1331" s="234"/>
      <c r="H1331" s="234"/>
      <c r="I1331" s="234"/>
      <c r="J1331" s="9"/>
      <c r="K1331" s="268"/>
      <c r="L1331" s="11"/>
      <c r="M1331" s="11"/>
      <c r="N1331" s="20"/>
      <c r="O1331" s="11"/>
      <c r="P1331" s="11"/>
      <c r="Q1331" s="11"/>
      <c r="R1331" s="11"/>
      <c r="S1331" s="11"/>
      <c r="T1331" s="117"/>
    </row>
    <row r="1332" spans="1:20" x14ac:dyDescent="0.2">
      <c r="A1332" s="33"/>
      <c r="B1332" s="20"/>
      <c r="E1332" s="20"/>
      <c r="F1332" s="9"/>
      <c r="G1332" s="9"/>
      <c r="H1332" s="234"/>
      <c r="I1332" s="234"/>
      <c r="J1332" s="9"/>
      <c r="K1332" s="211"/>
      <c r="L1332" s="11"/>
      <c r="M1332" s="11"/>
      <c r="N1332" s="20"/>
      <c r="O1332" s="11"/>
      <c r="P1332" s="11"/>
      <c r="Q1332" s="11"/>
      <c r="R1332" s="11"/>
      <c r="S1332" s="11"/>
      <c r="T1332" s="117"/>
    </row>
    <row r="1333" spans="1:20" x14ac:dyDescent="0.2">
      <c r="A1333" s="33"/>
      <c r="B1333" s="20"/>
      <c r="E1333" s="20"/>
      <c r="F1333" s="9"/>
      <c r="G1333" s="9"/>
      <c r="H1333" s="234"/>
      <c r="I1333" s="234"/>
      <c r="J1333" s="9"/>
      <c r="K1333" s="211"/>
      <c r="L1333" s="11"/>
      <c r="M1333" s="11"/>
      <c r="N1333" s="20"/>
      <c r="O1333" s="11"/>
      <c r="P1333" s="11"/>
      <c r="Q1333" s="11"/>
      <c r="R1333" s="11"/>
      <c r="S1333" s="11"/>
      <c r="T1333" s="117"/>
    </row>
    <row r="1334" spans="1:20" x14ac:dyDescent="0.2">
      <c r="A1334" s="33"/>
      <c r="B1334" s="20"/>
      <c r="E1334" s="20"/>
      <c r="F1334" s="9"/>
      <c r="G1334" s="9"/>
      <c r="H1334" s="234"/>
      <c r="I1334" s="234"/>
      <c r="J1334" s="9"/>
      <c r="K1334" s="211"/>
      <c r="L1334" s="11"/>
      <c r="M1334" s="11"/>
      <c r="N1334" s="20"/>
      <c r="O1334" s="9"/>
      <c r="P1334" s="10"/>
      <c r="Q1334" s="10"/>
      <c r="R1334" s="145"/>
      <c r="S1334" s="145"/>
      <c r="T1334" s="117"/>
    </row>
    <row r="1335" spans="1:20" x14ac:dyDescent="0.2">
      <c r="A1335" s="33"/>
      <c r="B1335" s="173"/>
      <c r="E1335" s="290"/>
      <c r="F1335" s="9"/>
      <c r="G1335" s="9"/>
      <c r="H1335" s="9"/>
      <c r="I1335" s="9"/>
      <c r="J1335" s="9"/>
      <c r="K1335" s="10"/>
      <c r="L1335" s="20"/>
      <c r="M1335" s="20"/>
      <c r="N1335" s="20"/>
      <c r="O1335" s="9"/>
      <c r="P1335" s="10"/>
      <c r="Q1335" s="10"/>
      <c r="R1335" s="145"/>
      <c r="S1335" s="145"/>
      <c r="T1335" s="117"/>
    </row>
    <row r="1336" spans="1:20" x14ac:dyDescent="0.2">
      <c r="A1336" s="33"/>
      <c r="B1336" s="174"/>
      <c r="C1336" s="169"/>
      <c r="D1336" s="170"/>
      <c r="E1336" s="175"/>
      <c r="F1336" s="170"/>
      <c r="G1336" s="170"/>
      <c r="H1336" s="170"/>
      <c r="I1336" s="170"/>
      <c r="J1336" s="170"/>
      <c r="K1336" s="49"/>
      <c r="L1336" s="49"/>
      <c r="M1336" s="49"/>
      <c r="N1336" s="49"/>
      <c r="O1336" s="32"/>
      <c r="P1336" s="29"/>
      <c r="Q1336" s="29"/>
      <c r="R1336" s="143"/>
      <c r="S1336" s="143"/>
      <c r="T1336" s="156"/>
    </row>
    <row r="1337" spans="1:20" x14ac:dyDescent="0.2">
      <c r="A1337" s="33"/>
      <c r="B1337" s="173" t="s">
        <v>801</v>
      </c>
      <c r="E1337" s="7"/>
      <c r="F1337" s="9"/>
      <c r="G1337" s="9"/>
      <c r="H1337" s="9"/>
      <c r="I1337" s="9"/>
      <c r="J1337" s="9"/>
      <c r="K1337" s="10"/>
      <c r="L1337" s="11"/>
      <c r="M1337" s="11"/>
      <c r="N1337" s="11"/>
      <c r="O1337" s="11"/>
      <c r="P1337" s="34"/>
      <c r="Q1337" s="34"/>
      <c r="R1337" s="145"/>
      <c r="S1337" s="145"/>
      <c r="T1337" s="117"/>
    </row>
    <row r="1338" spans="1:20" x14ac:dyDescent="0.2">
      <c r="A1338" s="33"/>
      <c r="B1338" s="8" t="s">
        <v>1809</v>
      </c>
      <c r="E1338" s="20" t="s">
        <v>1319</v>
      </c>
      <c r="F1338" s="9">
        <v>8</v>
      </c>
      <c r="G1338" s="9">
        <f>G1321 * F1338</f>
        <v>72</v>
      </c>
      <c r="H1338" s="9"/>
      <c r="I1338" s="9">
        <f>F1338*I1321</f>
        <v>144</v>
      </c>
      <c r="J1338" s="9"/>
      <c r="K1338" s="10"/>
      <c r="L1338" s="11" t="s">
        <v>797</v>
      </c>
      <c r="M1338" s="11"/>
      <c r="N1338" s="11"/>
      <c r="O1338" s="11"/>
      <c r="P1338" s="34"/>
      <c r="Q1338" s="34"/>
      <c r="R1338" s="145"/>
      <c r="S1338" s="145"/>
      <c r="T1338" s="117"/>
    </row>
    <row r="1339" spans="1:20" x14ac:dyDescent="0.2">
      <c r="A1339" s="33"/>
      <c r="B1339" s="8"/>
      <c r="E1339" s="20"/>
      <c r="F1339" s="9"/>
      <c r="G1339" s="9"/>
      <c r="H1339" s="9"/>
      <c r="I1339" s="9"/>
      <c r="J1339" s="9"/>
      <c r="K1339" s="10"/>
      <c r="L1339" s="11"/>
      <c r="M1339" s="11"/>
      <c r="N1339" s="11"/>
      <c r="O1339" s="11"/>
      <c r="P1339" s="34"/>
      <c r="Q1339" s="34"/>
      <c r="R1339" s="145"/>
      <c r="S1339" s="145"/>
      <c r="T1339" s="117"/>
    </row>
    <row r="1340" spans="1:20" x14ac:dyDescent="0.2">
      <c r="A1340" s="33"/>
      <c r="B1340" s="20" t="s">
        <v>803</v>
      </c>
      <c r="E1340" s="7"/>
      <c r="F1340" s="9"/>
      <c r="G1340" s="9"/>
      <c r="H1340" s="9"/>
      <c r="I1340" s="9"/>
      <c r="J1340" s="9"/>
      <c r="K1340" s="10"/>
      <c r="L1340" s="10"/>
      <c r="M1340" s="10"/>
      <c r="N1340" s="10"/>
      <c r="O1340" s="11"/>
      <c r="P1340" s="34"/>
      <c r="Q1340" s="34"/>
      <c r="R1340" s="145"/>
      <c r="S1340" s="145"/>
      <c r="T1340" s="117"/>
    </row>
    <row r="1341" spans="1:20" x14ac:dyDescent="0.2">
      <c r="A1341" s="33"/>
      <c r="B1341" s="26" t="s">
        <v>1072</v>
      </c>
      <c r="C1341" s="30"/>
      <c r="D1341" s="31"/>
      <c r="E1341" s="26"/>
      <c r="F1341" s="30" t="s">
        <v>487</v>
      </c>
      <c r="G1341" s="30" t="s">
        <v>488</v>
      </c>
      <c r="H1341" s="30"/>
      <c r="I1341" s="31" t="s">
        <v>489</v>
      </c>
      <c r="J1341" s="31"/>
      <c r="K1341" s="29"/>
      <c r="L1341" s="29"/>
      <c r="M1341" s="29"/>
      <c r="N1341" s="29"/>
      <c r="O1341" s="109"/>
      <c r="P1341" s="120"/>
      <c r="Q1341" s="120"/>
      <c r="R1341" s="149"/>
      <c r="S1341" s="149"/>
      <c r="T1341" s="160"/>
    </row>
    <row r="1342" spans="1:20" x14ac:dyDescent="0.2">
      <c r="A1342" s="33"/>
      <c r="B1342" s="173" t="s">
        <v>800</v>
      </c>
      <c r="E1342" s="7"/>
      <c r="F1342" s="9"/>
      <c r="G1342" s="9"/>
      <c r="H1342" s="9"/>
      <c r="I1342" s="9"/>
      <c r="J1342" s="9"/>
      <c r="K1342" s="10"/>
      <c r="L1342" s="10"/>
      <c r="M1342" s="10"/>
      <c r="N1342" s="10"/>
      <c r="O1342" s="11"/>
      <c r="P1342" s="120"/>
      <c r="Q1342" s="120"/>
      <c r="R1342" s="145"/>
      <c r="S1342" s="145"/>
      <c r="T1342" s="117"/>
    </row>
    <row r="1343" spans="1:20" ht="22.5" x14ac:dyDescent="0.2">
      <c r="A1343" s="33"/>
      <c r="B1343" s="173"/>
      <c r="E1343" s="20" t="s">
        <v>9</v>
      </c>
      <c r="F1343" s="9">
        <v>1</v>
      </c>
      <c r="G1343" s="9">
        <v>0.5</v>
      </c>
      <c r="H1343" s="9"/>
      <c r="I1343" s="9">
        <f t="shared" ref="I1343:I1356" si="232">2*G1343</f>
        <v>1</v>
      </c>
      <c r="J1343" s="9"/>
      <c r="K1343" s="165" t="s">
        <v>1409</v>
      </c>
      <c r="L1343" s="11" t="s">
        <v>797</v>
      </c>
      <c r="M1343" s="11"/>
      <c r="N1343" s="10"/>
      <c r="O1343" s="11"/>
      <c r="P1343" s="11"/>
      <c r="Q1343" s="11"/>
      <c r="R1343" s="11"/>
      <c r="S1343" s="11" t="s">
        <v>1181</v>
      </c>
      <c r="T1343" s="117"/>
    </row>
    <row r="1344" spans="1:20" ht="22.5" x14ac:dyDescent="0.2">
      <c r="A1344" s="33"/>
      <c r="B1344" s="173"/>
      <c r="E1344" s="7" t="s">
        <v>10</v>
      </c>
      <c r="F1344" s="267">
        <v>1</v>
      </c>
      <c r="G1344" s="267">
        <v>0.5</v>
      </c>
      <c r="H1344" s="267"/>
      <c r="I1344" s="9">
        <f t="shared" si="232"/>
        <v>1</v>
      </c>
      <c r="J1344" s="9"/>
      <c r="K1344" s="165" t="s">
        <v>1410</v>
      </c>
      <c r="L1344" s="11" t="s">
        <v>797</v>
      </c>
      <c r="M1344" s="11"/>
      <c r="N1344" s="10"/>
      <c r="O1344" s="11"/>
      <c r="P1344" s="11"/>
      <c r="Q1344" s="11"/>
      <c r="R1344" s="11"/>
      <c r="S1344" s="11" t="s">
        <v>1181</v>
      </c>
      <c r="T1344" s="117"/>
    </row>
    <row r="1345" spans="1:20" x14ac:dyDescent="0.2">
      <c r="A1345" s="33"/>
      <c r="B1345" s="20"/>
      <c r="E1345" s="20" t="s">
        <v>1867</v>
      </c>
      <c r="F1345" s="9">
        <v>1</v>
      </c>
      <c r="G1345" s="9">
        <v>0.5</v>
      </c>
      <c r="H1345" s="9"/>
      <c r="I1345" s="9">
        <v>1</v>
      </c>
      <c r="J1345" s="9"/>
      <c r="K1345" s="165" t="s">
        <v>1871</v>
      </c>
      <c r="L1345" s="11" t="s">
        <v>797</v>
      </c>
      <c r="M1345" s="11"/>
      <c r="N1345" s="10"/>
      <c r="O1345" s="11"/>
      <c r="P1345" s="11"/>
      <c r="Q1345" s="11"/>
      <c r="R1345" s="11"/>
      <c r="S1345" s="11" t="s">
        <v>1181</v>
      </c>
      <c r="T1345" s="117"/>
    </row>
    <row r="1346" spans="1:20" x14ac:dyDescent="0.2">
      <c r="A1346" s="33"/>
      <c r="B1346" s="20"/>
      <c r="E1346" s="20" t="s">
        <v>1868</v>
      </c>
      <c r="F1346" s="9">
        <v>1</v>
      </c>
      <c r="G1346" s="9">
        <v>0.5</v>
      </c>
      <c r="H1346" s="9"/>
      <c r="I1346" s="9">
        <v>1</v>
      </c>
      <c r="J1346" s="9"/>
      <c r="K1346" s="165" t="s">
        <v>1866</v>
      </c>
      <c r="L1346" s="11" t="s">
        <v>797</v>
      </c>
      <c r="M1346" s="11"/>
      <c r="N1346" s="10"/>
      <c r="O1346" s="11"/>
      <c r="P1346" s="11"/>
      <c r="Q1346" s="11"/>
      <c r="R1346" s="11"/>
      <c r="S1346" s="11" t="s">
        <v>1181</v>
      </c>
      <c r="T1346" s="117"/>
    </row>
    <row r="1347" spans="1:20" x14ac:dyDescent="0.2">
      <c r="A1347" s="33"/>
      <c r="B1347" s="173"/>
      <c r="E1347" s="7" t="s">
        <v>13</v>
      </c>
      <c r="F1347" s="267">
        <v>1</v>
      </c>
      <c r="G1347" s="267">
        <v>1</v>
      </c>
      <c r="H1347" s="267"/>
      <c r="I1347" s="9">
        <f t="shared" si="232"/>
        <v>2</v>
      </c>
      <c r="J1347" s="9"/>
      <c r="K1347" s="268" t="s">
        <v>1190</v>
      </c>
      <c r="L1347" s="11" t="s">
        <v>797</v>
      </c>
      <c r="M1347" s="11"/>
      <c r="N1347" s="10"/>
      <c r="O1347" s="11"/>
      <c r="P1347" s="11"/>
      <c r="Q1347" s="11"/>
      <c r="R1347" s="11"/>
      <c r="S1347" s="11" t="s">
        <v>1181</v>
      </c>
      <c r="T1347" s="117"/>
    </row>
    <row r="1348" spans="1:20" x14ac:dyDescent="0.2">
      <c r="A1348" s="33"/>
      <c r="B1348" s="173"/>
      <c r="E1348" s="7" t="s">
        <v>12</v>
      </c>
      <c r="F1348" s="267">
        <v>1</v>
      </c>
      <c r="G1348" s="267">
        <v>1</v>
      </c>
      <c r="H1348" s="267"/>
      <c r="I1348" s="9">
        <f t="shared" si="232"/>
        <v>2</v>
      </c>
      <c r="J1348" s="9"/>
      <c r="K1348" s="268" t="s">
        <v>1191</v>
      </c>
      <c r="L1348" s="11" t="s">
        <v>797</v>
      </c>
      <c r="M1348" s="11"/>
      <c r="N1348" s="10"/>
      <c r="O1348" s="11"/>
      <c r="P1348" s="11"/>
      <c r="Q1348" s="11"/>
      <c r="R1348" s="11"/>
      <c r="S1348" s="11" t="s">
        <v>1181</v>
      </c>
      <c r="T1348" s="117"/>
    </row>
    <row r="1349" spans="1:20" ht="11.25" customHeight="1" x14ac:dyDescent="0.2">
      <c r="A1349" s="33"/>
      <c r="B1349" s="173"/>
      <c r="E1349" s="7" t="s">
        <v>1447</v>
      </c>
      <c r="F1349" s="267">
        <v>1</v>
      </c>
      <c r="G1349" s="267">
        <v>1</v>
      </c>
      <c r="H1349" s="267"/>
      <c r="I1349" s="9">
        <f t="shared" si="232"/>
        <v>2</v>
      </c>
      <c r="J1349" s="9"/>
      <c r="K1349" s="172" t="s">
        <v>1448</v>
      </c>
      <c r="L1349" s="11" t="s">
        <v>797</v>
      </c>
      <c r="M1349" s="11"/>
      <c r="N1349" s="10"/>
      <c r="O1349" s="11"/>
      <c r="P1349" s="11"/>
      <c r="Q1349" s="11"/>
      <c r="R1349" s="11"/>
      <c r="S1349" s="11" t="s">
        <v>1181</v>
      </c>
      <c r="T1349" s="117"/>
    </row>
    <row r="1350" spans="1:20" x14ac:dyDescent="0.2">
      <c r="A1350" s="33"/>
      <c r="B1350" s="173"/>
      <c r="E1350" s="7" t="s">
        <v>11</v>
      </c>
      <c r="F1350" s="267">
        <v>1</v>
      </c>
      <c r="G1350" s="267">
        <v>1</v>
      </c>
      <c r="H1350" s="267"/>
      <c r="I1350" s="9">
        <f t="shared" si="232"/>
        <v>2</v>
      </c>
      <c r="J1350" s="9"/>
      <c r="K1350" s="268" t="s">
        <v>1192</v>
      </c>
      <c r="L1350" s="11" t="s">
        <v>797</v>
      </c>
      <c r="M1350" s="11"/>
      <c r="N1350" s="10"/>
      <c r="O1350" s="11"/>
      <c r="P1350" s="11"/>
      <c r="Q1350" s="11"/>
      <c r="R1350" s="11"/>
      <c r="S1350" s="11" t="s">
        <v>1181</v>
      </c>
      <c r="T1350" s="117"/>
    </row>
    <row r="1351" spans="1:20" x14ac:dyDescent="0.2">
      <c r="A1351" s="33"/>
      <c r="B1351" s="173"/>
      <c r="E1351" s="7" t="s">
        <v>1187</v>
      </c>
      <c r="F1351" s="267">
        <v>1</v>
      </c>
      <c r="G1351" s="267">
        <v>1</v>
      </c>
      <c r="H1351" s="267"/>
      <c r="I1351" s="9">
        <f t="shared" si="232"/>
        <v>2</v>
      </c>
      <c r="J1351" s="9"/>
      <c r="K1351" s="268" t="s">
        <v>1193</v>
      </c>
      <c r="L1351" s="11" t="s">
        <v>797</v>
      </c>
      <c r="M1351" s="11"/>
      <c r="N1351" s="10"/>
      <c r="O1351" s="11"/>
      <c r="P1351" s="11"/>
      <c r="Q1351" s="11"/>
      <c r="R1351" s="11"/>
      <c r="S1351" s="11" t="s">
        <v>1181</v>
      </c>
      <c r="T1351" s="117"/>
    </row>
    <row r="1352" spans="1:20" x14ac:dyDescent="0.2">
      <c r="A1352" s="33"/>
      <c r="B1352" s="173"/>
      <c r="E1352" s="7" t="s">
        <v>1198</v>
      </c>
      <c r="F1352" s="267">
        <v>1</v>
      </c>
      <c r="G1352" s="267">
        <v>1</v>
      </c>
      <c r="H1352" s="267"/>
      <c r="I1352" s="9">
        <f t="shared" si="232"/>
        <v>2</v>
      </c>
      <c r="J1352" s="9"/>
      <c r="K1352" s="268" t="s">
        <v>1197</v>
      </c>
      <c r="L1352" s="11" t="s">
        <v>797</v>
      </c>
      <c r="M1352" s="11"/>
      <c r="N1352" s="10"/>
      <c r="O1352" s="11"/>
      <c r="P1352" s="11"/>
      <c r="Q1352" s="11"/>
      <c r="R1352" s="11"/>
      <c r="S1352" s="11" t="s">
        <v>1181</v>
      </c>
      <c r="T1352" s="117"/>
    </row>
    <row r="1353" spans="1:20" x14ac:dyDescent="0.2">
      <c r="A1353" s="33"/>
      <c r="B1353" s="20"/>
      <c r="E1353" s="7" t="s">
        <v>1188</v>
      </c>
      <c r="F1353" s="267">
        <v>1</v>
      </c>
      <c r="G1353" s="267">
        <v>1</v>
      </c>
      <c r="H1353" s="267"/>
      <c r="I1353" s="9">
        <f t="shared" si="232"/>
        <v>2</v>
      </c>
      <c r="J1353" s="9"/>
      <c r="K1353" s="7" t="s">
        <v>1211</v>
      </c>
      <c r="L1353" s="11" t="s">
        <v>797</v>
      </c>
      <c r="M1353" s="11"/>
      <c r="N1353" s="10"/>
      <c r="O1353" s="11"/>
      <c r="P1353" s="11"/>
      <c r="Q1353" s="11"/>
      <c r="R1353" s="11"/>
      <c r="S1353" s="11" t="s">
        <v>1181</v>
      </c>
      <c r="T1353" s="117"/>
    </row>
    <row r="1354" spans="1:20" ht="11.25" customHeight="1" x14ac:dyDescent="0.2">
      <c r="A1354" s="33"/>
      <c r="B1354" s="20"/>
      <c r="E1354" s="7" t="s">
        <v>14</v>
      </c>
      <c r="F1354" s="267">
        <v>1</v>
      </c>
      <c r="G1354" s="267">
        <v>1</v>
      </c>
      <c r="H1354" s="267"/>
      <c r="I1354" s="9">
        <f t="shared" si="232"/>
        <v>2</v>
      </c>
      <c r="J1354" s="9"/>
      <c r="K1354" s="268" t="s">
        <v>1194</v>
      </c>
      <c r="L1354" s="11" t="s">
        <v>797</v>
      </c>
      <c r="M1354" s="11"/>
      <c r="N1354" s="10"/>
      <c r="O1354" s="11"/>
      <c r="P1354" s="11"/>
      <c r="Q1354" s="11"/>
      <c r="R1354" s="11"/>
      <c r="S1354" s="11" t="s">
        <v>1181</v>
      </c>
      <c r="T1354" s="117"/>
    </row>
    <row r="1355" spans="1:20" x14ac:dyDescent="0.2">
      <c r="A1355" s="33"/>
      <c r="B1355" s="20"/>
      <c r="E1355" s="7" t="s">
        <v>15</v>
      </c>
      <c r="F1355" s="267">
        <v>4</v>
      </c>
      <c r="G1355" s="267">
        <v>20</v>
      </c>
      <c r="H1355" s="267"/>
      <c r="I1355" s="9">
        <f t="shared" si="232"/>
        <v>40</v>
      </c>
      <c r="J1355" s="9"/>
      <c r="K1355" s="268" t="s">
        <v>1195</v>
      </c>
      <c r="L1355" s="11" t="s">
        <v>797</v>
      </c>
      <c r="M1355" s="11"/>
      <c r="N1355" s="10"/>
      <c r="O1355" s="11"/>
      <c r="P1355" s="11"/>
      <c r="Q1355" s="11"/>
      <c r="R1355" s="11"/>
      <c r="S1355" s="11" t="s">
        <v>1181</v>
      </c>
      <c r="T1355" s="117"/>
    </row>
    <row r="1356" spans="1:20" x14ac:dyDescent="0.2">
      <c r="A1356" s="33"/>
      <c r="B1356" s="20"/>
      <c r="E1356" s="7" t="s">
        <v>1189</v>
      </c>
      <c r="F1356" s="267">
        <v>16</v>
      </c>
      <c r="G1356" s="267">
        <v>32</v>
      </c>
      <c r="H1356" s="267"/>
      <c r="I1356" s="9">
        <f t="shared" si="232"/>
        <v>64</v>
      </c>
      <c r="J1356" s="9"/>
      <c r="K1356" s="268" t="s">
        <v>1196</v>
      </c>
      <c r="L1356" s="11" t="s">
        <v>797</v>
      </c>
      <c r="M1356" s="11"/>
      <c r="N1356" s="10"/>
      <c r="O1356" s="11"/>
      <c r="P1356" s="11"/>
      <c r="Q1356" s="11"/>
      <c r="R1356" s="11"/>
      <c r="S1356" s="11" t="s">
        <v>1181</v>
      </c>
      <c r="T1356" s="117"/>
    </row>
    <row r="1357" spans="1:20" x14ac:dyDescent="0.2">
      <c r="A1357" s="33"/>
      <c r="B1357" s="20"/>
      <c r="E1357" s="21"/>
      <c r="F1357" s="17"/>
      <c r="G1357" s="17"/>
      <c r="H1357" s="17"/>
      <c r="I1357" s="17"/>
      <c r="J1357" s="9"/>
      <c r="K1357" s="165"/>
      <c r="L1357" s="10"/>
      <c r="M1357" s="10"/>
      <c r="N1357" s="10"/>
      <c r="O1357" s="11"/>
      <c r="P1357" s="120"/>
      <c r="Q1357" s="120"/>
      <c r="R1357" s="145"/>
      <c r="S1357" s="145"/>
      <c r="T1357" s="117"/>
    </row>
    <row r="1358" spans="1:20" x14ac:dyDescent="0.2">
      <c r="A1358" s="54"/>
      <c r="B1358" s="173" t="s">
        <v>802</v>
      </c>
      <c r="E1358" s="7" t="s">
        <v>803</v>
      </c>
      <c r="F1358" s="9">
        <f>SUM(F1343:F1357)</f>
        <v>32</v>
      </c>
      <c r="G1358" s="9">
        <f>SUM(G1343:G1357)</f>
        <v>62</v>
      </c>
      <c r="H1358" s="9"/>
      <c r="I1358" s="9">
        <f>SUM(I1343:I1357)</f>
        <v>124</v>
      </c>
      <c r="J1358" s="9"/>
      <c r="K1358" s="10"/>
      <c r="L1358" s="10"/>
      <c r="M1358" s="10"/>
      <c r="N1358" s="10"/>
      <c r="O1358" s="11"/>
      <c r="P1358" s="120"/>
      <c r="Q1358" s="120"/>
      <c r="R1358" s="145"/>
      <c r="S1358" s="145"/>
      <c r="T1358" s="117"/>
    </row>
    <row r="1359" spans="1:20" x14ac:dyDescent="0.2">
      <c r="A1359" s="54"/>
      <c r="B1359" s="13"/>
      <c r="C1359" s="46"/>
      <c r="D1359" s="48"/>
      <c r="E1359" s="48"/>
      <c r="F1359" s="30" t="s">
        <v>487</v>
      </c>
      <c r="G1359" s="30" t="s">
        <v>488</v>
      </c>
      <c r="H1359" s="30"/>
      <c r="I1359" s="31" t="s">
        <v>489</v>
      </c>
      <c r="J1359" s="48"/>
      <c r="K1359" s="49"/>
      <c r="L1359" s="49"/>
      <c r="M1359" s="49"/>
      <c r="N1359" s="49"/>
      <c r="O1359" s="32"/>
      <c r="P1359" s="29"/>
      <c r="Q1359" s="29"/>
      <c r="R1359" s="143"/>
      <c r="S1359" s="143"/>
      <c r="T1359" s="156"/>
    </row>
    <row r="1360" spans="1:20" x14ac:dyDescent="0.2">
      <c r="A1360" s="54"/>
      <c r="B1360" s="173" t="s">
        <v>801</v>
      </c>
      <c r="E1360" s="7"/>
      <c r="F1360" s="9"/>
      <c r="G1360" s="9"/>
      <c r="H1360" s="9"/>
      <c r="I1360" s="9"/>
      <c r="J1360" s="9"/>
      <c r="K1360" s="10"/>
      <c r="L1360" s="11"/>
      <c r="M1360" s="11"/>
      <c r="N1360" s="11"/>
      <c r="O1360" s="11"/>
      <c r="P1360" s="120"/>
      <c r="Q1360" s="120"/>
      <c r="R1360" s="145"/>
      <c r="S1360" s="145"/>
      <c r="T1360" s="117"/>
    </row>
    <row r="1361" spans="1:20" x14ac:dyDescent="0.2">
      <c r="A1361" s="54"/>
      <c r="B1361" s="8" t="s">
        <v>807</v>
      </c>
      <c r="E1361" s="20" t="s">
        <v>382</v>
      </c>
      <c r="F1361" s="9">
        <v>256</v>
      </c>
      <c r="G1361" s="9">
        <f>G1358 * F1361</f>
        <v>15872</v>
      </c>
      <c r="H1361" s="9"/>
      <c r="I1361" s="9">
        <f>F1361*I1358</f>
        <v>31744</v>
      </c>
      <c r="J1361" s="9"/>
      <c r="K1361" s="10"/>
      <c r="L1361" s="11" t="s">
        <v>797</v>
      </c>
      <c r="M1361" s="11"/>
      <c r="N1361" s="11"/>
      <c r="O1361" s="11"/>
      <c r="P1361" s="120"/>
      <c r="Q1361" s="49"/>
      <c r="R1361" s="144"/>
      <c r="S1361" s="144"/>
      <c r="T1361" s="117"/>
    </row>
    <row r="1362" spans="1:20" x14ac:dyDescent="0.2">
      <c r="A1362" s="33"/>
      <c r="B1362" s="20" t="s">
        <v>803</v>
      </c>
      <c r="E1362" s="7"/>
      <c r="F1362" s="9"/>
      <c r="G1362" s="9"/>
      <c r="H1362" s="9"/>
      <c r="I1362" s="9"/>
      <c r="J1362" s="9"/>
      <c r="K1362" s="10"/>
      <c r="L1362" s="10"/>
      <c r="M1362" s="10"/>
      <c r="N1362" s="10"/>
      <c r="O1362" s="11"/>
      <c r="P1362" s="120"/>
      <c r="Q1362" s="49"/>
      <c r="R1362" s="145"/>
      <c r="S1362" s="145"/>
      <c r="T1362" s="117"/>
    </row>
    <row r="1363" spans="1:20" x14ac:dyDescent="0.2">
      <c r="A1363" s="33"/>
      <c r="B1363" s="26" t="s">
        <v>1073</v>
      </c>
      <c r="C1363" s="30"/>
      <c r="D1363" s="31"/>
      <c r="E1363" s="30"/>
      <c r="F1363" s="31"/>
      <c r="G1363" s="31"/>
      <c r="H1363" s="31"/>
      <c r="I1363" s="31"/>
      <c r="J1363" s="31"/>
      <c r="K1363" s="29"/>
      <c r="L1363" s="29"/>
      <c r="M1363" s="29"/>
      <c r="N1363" s="29"/>
      <c r="O1363" s="109"/>
      <c r="P1363" s="120"/>
      <c r="Q1363" s="49"/>
      <c r="R1363" s="149"/>
      <c r="S1363" s="149"/>
      <c r="T1363" s="160"/>
    </row>
    <row r="1364" spans="1:20" x14ac:dyDescent="0.2">
      <c r="A1364" s="33"/>
      <c r="B1364" s="173" t="s">
        <v>800</v>
      </c>
      <c r="E1364" s="20"/>
      <c r="F1364" s="9"/>
      <c r="G1364" s="9"/>
      <c r="H1364" s="9"/>
      <c r="I1364" s="9"/>
      <c r="J1364" s="9"/>
      <c r="K1364" s="10"/>
      <c r="L1364" s="10"/>
      <c r="M1364" s="10"/>
      <c r="N1364" s="10"/>
      <c r="O1364" s="11"/>
      <c r="P1364" s="120"/>
      <c r="Q1364" s="49"/>
      <c r="R1364" s="145"/>
      <c r="S1364" s="145"/>
      <c r="T1364" s="117"/>
    </row>
    <row r="1365" spans="1:20" x14ac:dyDescent="0.2">
      <c r="A1365" s="33"/>
      <c r="B1365" s="173"/>
      <c r="E1365" s="20" t="s">
        <v>19</v>
      </c>
      <c r="F1365" s="9">
        <v>1</v>
      </c>
      <c r="G1365" s="9">
        <v>0.5</v>
      </c>
      <c r="H1365" s="9"/>
      <c r="I1365" s="9">
        <f>2*G1365</f>
        <v>1</v>
      </c>
      <c r="J1365" s="9"/>
      <c r="K1365" s="165" t="s">
        <v>1416</v>
      </c>
      <c r="L1365" s="11" t="s">
        <v>797</v>
      </c>
      <c r="M1365" s="11"/>
      <c r="N1365" s="10"/>
      <c r="O1365" s="11"/>
      <c r="P1365" s="11"/>
      <c r="Q1365" s="11"/>
      <c r="R1365" s="11"/>
      <c r="S1365" s="11" t="s">
        <v>1181</v>
      </c>
      <c r="T1365" s="117"/>
    </row>
    <row r="1366" spans="1:20" x14ac:dyDescent="0.2">
      <c r="A1366" s="33"/>
      <c r="B1366" s="173"/>
      <c r="E1366" s="7" t="s">
        <v>20</v>
      </c>
      <c r="F1366" s="267">
        <v>1</v>
      </c>
      <c r="G1366" s="267">
        <v>0.5</v>
      </c>
      <c r="H1366" s="267"/>
      <c r="I1366" s="9">
        <f>2*G1366</f>
        <v>1</v>
      </c>
      <c r="J1366" s="9"/>
      <c r="K1366" s="165" t="s">
        <v>1417</v>
      </c>
      <c r="L1366" s="11" t="s">
        <v>797</v>
      </c>
      <c r="M1366" s="11"/>
      <c r="N1366" s="10"/>
      <c r="O1366" s="11"/>
      <c r="P1366" s="11"/>
      <c r="Q1366" s="11"/>
      <c r="R1366" s="11"/>
      <c r="S1366" s="11" t="s">
        <v>1181</v>
      </c>
      <c r="T1366" s="117"/>
    </row>
    <row r="1367" spans="1:20" x14ac:dyDescent="0.2">
      <c r="A1367" s="33"/>
      <c r="B1367" s="20"/>
      <c r="E1367" s="20" t="s">
        <v>1869</v>
      </c>
      <c r="F1367" s="9">
        <v>1</v>
      </c>
      <c r="G1367" s="9">
        <v>0.5</v>
      </c>
      <c r="H1367" s="9"/>
      <c r="I1367" s="9">
        <v>1</v>
      </c>
      <c r="J1367" s="9"/>
      <c r="K1367" s="165" t="s">
        <v>1871</v>
      </c>
      <c r="L1367" s="11" t="s">
        <v>797</v>
      </c>
      <c r="M1367" s="11"/>
      <c r="N1367" s="10"/>
      <c r="O1367" s="11"/>
      <c r="P1367" s="11"/>
      <c r="Q1367" s="11"/>
      <c r="R1367" s="11"/>
      <c r="S1367" s="11" t="s">
        <v>1181</v>
      </c>
      <c r="T1367" s="117"/>
    </row>
    <row r="1368" spans="1:20" x14ac:dyDescent="0.2">
      <c r="A1368" s="33"/>
      <c r="B1368" s="20"/>
      <c r="E1368" s="20" t="s">
        <v>1870</v>
      </c>
      <c r="F1368" s="9">
        <v>1</v>
      </c>
      <c r="G1368" s="9">
        <v>0.5</v>
      </c>
      <c r="H1368" s="9"/>
      <c r="I1368" s="9">
        <v>1</v>
      </c>
      <c r="J1368" s="9"/>
      <c r="K1368" s="165" t="s">
        <v>1866</v>
      </c>
      <c r="L1368" s="11" t="s">
        <v>797</v>
      </c>
      <c r="M1368" s="11"/>
      <c r="N1368" s="10"/>
      <c r="O1368" s="11"/>
      <c r="P1368" s="11"/>
      <c r="Q1368" s="11"/>
      <c r="R1368" s="11"/>
      <c r="S1368" s="11" t="s">
        <v>1181</v>
      </c>
      <c r="T1368" s="117"/>
    </row>
    <row r="1369" spans="1:20" x14ac:dyDescent="0.2">
      <c r="A1369" s="33"/>
      <c r="B1369" s="20"/>
      <c r="E1369" s="20" t="s">
        <v>31</v>
      </c>
      <c r="F1369" s="9">
        <v>1024</v>
      </c>
      <c r="G1369" s="9">
        <v>64</v>
      </c>
      <c r="H1369" s="9"/>
      <c r="I1369" s="9">
        <f>2*G1369</f>
        <v>128</v>
      </c>
      <c r="J1369" s="9"/>
      <c r="K1369" s="232" t="s">
        <v>31</v>
      </c>
      <c r="L1369" s="10"/>
      <c r="M1369" s="10"/>
      <c r="N1369" s="10"/>
      <c r="O1369" s="11"/>
      <c r="P1369" s="11"/>
      <c r="Q1369" s="11"/>
      <c r="R1369" s="11"/>
      <c r="S1369" s="11" t="s">
        <v>1181</v>
      </c>
      <c r="T1369" s="117"/>
    </row>
    <row r="1370" spans="1:20" x14ac:dyDescent="0.2">
      <c r="A1370" s="33"/>
      <c r="B1370" s="20"/>
      <c r="E1370" s="20"/>
      <c r="F1370" s="9"/>
      <c r="G1370" s="9"/>
      <c r="H1370" s="9"/>
      <c r="I1370" s="9"/>
      <c r="J1370" s="9"/>
      <c r="K1370" s="298"/>
      <c r="L1370" s="10"/>
      <c r="M1370" s="10"/>
      <c r="N1370" s="10"/>
      <c r="O1370" s="11"/>
      <c r="P1370" s="11"/>
      <c r="Q1370" s="11"/>
      <c r="R1370" s="11"/>
      <c r="S1370" s="11" t="s">
        <v>1181</v>
      </c>
      <c r="T1370" s="117"/>
    </row>
    <row r="1371" spans="1:20" x14ac:dyDescent="0.2">
      <c r="A1371" s="33"/>
      <c r="B1371" s="20"/>
      <c r="E1371" s="20"/>
      <c r="F1371" s="9"/>
      <c r="G1371" s="9">
        <f>SUM(G1365:G1369)</f>
        <v>66</v>
      </c>
      <c r="H1371" s="9"/>
      <c r="I1371" s="9">
        <f>SUM(I1365:I1369)</f>
        <v>132</v>
      </c>
      <c r="J1371" s="9"/>
      <c r="K1371" s="298"/>
      <c r="L1371" s="10"/>
      <c r="M1371" s="10"/>
      <c r="N1371" s="10"/>
      <c r="O1371" s="11"/>
      <c r="P1371" s="124"/>
      <c r="Q1371" s="124"/>
      <c r="R1371" s="145"/>
      <c r="S1371" s="145"/>
      <c r="T1371" s="117"/>
    </row>
    <row r="1372" spans="1:20" x14ac:dyDescent="0.2">
      <c r="A1372" s="33"/>
      <c r="B1372" s="13"/>
      <c r="C1372" s="46"/>
      <c r="D1372" s="48"/>
      <c r="E1372" s="48"/>
      <c r="F1372" s="48"/>
      <c r="G1372" s="48"/>
      <c r="H1372" s="48"/>
      <c r="I1372" s="48"/>
      <c r="J1372" s="48"/>
      <c r="K1372" s="49"/>
      <c r="L1372" s="49"/>
      <c r="M1372" s="49"/>
      <c r="N1372" s="49"/>
      <c r="O1372" s="32"/>
      <c r="P1372" s="29"/>
      <c r="Q1372" s="29"/>
      <c r="R1372" s="143"/>
      <c r="S1372" s="143"/>
      <c r="T1372" s="156"/>
    </row>
    <row r="1373" spans="1:20" x14ac:dyDescent="0.2">
      <c r="A1373" s="33"/>
      <c r="B1373" s="173" t="s">
        <v>801</v>
      </c>
      <c r="E1373" s="7"/>
      <c r="F1373" s="9"/>
      <c r="G1373" s="9"/>
      <c r="H1373" s="9"/>
      <c r="I1373" s="9"/>
      <c r="J1373" s="9"/>
      <c r="K1373" s="10"/>
      <c r="L1373" s="11"/>
      <c r="M1373" s="11"/>
      <c r="N1373" s="11"/>
      <c r="O1373" s="11"/>
      <c r="P1373" s="120"/>
      <c r="Q1373" s="120"/>
      <c r="R1373" s="145"/>
      <c r="S1373" s="145"/>
      <c r="T1373" s="117"/>
    </row>
    <row r="1374" spans="1:20" x14ac:dyDescent="0.2">
      <c r="A1374" s="33"/>
      <c r="B1374" s="8" t="s">
        <v>29</v>
      </c>
      <c r="E1374" s="20" t="s">
        <v>30</v>
      </c>
      <c r="F1374" s="9">
        <v>64</v>
      </c>
      <c r="G1374" s="9">
        <f>G1371 * F1374</f>
        <v>4224</v>
      </c>
      <c r="H1374" s="9"/>
      <c r="I1374" s="9">
        <f>F1374*I1371</f>
        <v>8448</v>
      </c>
      <c r="J1374" s="9"/>
      <c r="K1374" s="10"/>
      <c r="L1374" s="11" t="s">
        <v>797</v>
      </c>
      <c r="M1374" s="11"/>
      <c r="N1374" s="11"/>
      <c r="O1374" s="11"/>
      <c r="P1374" s="120"/>
      <c r="Q1374" s="49"/>
      <c r="R1374" s="144"/>
      <c r="S1374" s="144"/>
      <c r="T1374" s="117"/>
    </row>
    <row r="1375" spans="1:20" x14ac:dyDescent="0.2">
      <c r="A1375" s="33"/>
      <c r="B1375" s="20" t="s">
        <v>803</v>
      </c>
      <c r="E1375" s="7"/>
      <c r="F1375" s="9"/>
      <c r="G1375" s="9"/>
      <c r="H1375" s="9"/>
      <c r="I1375" s="9"/>
      <c r="J1375" s="9"/>
      <c r="K1375" s="10"/>
      <c r="L1375" s="10"/>
      <c r="M1375" s="10"/>
      <c r="N1375" s="10"/>
      <c r="O1375" s="11"/>
      <c r="P1375" s="120"/>
      <c r="Q1375" s="49"/>
      <c r="R1375" s="145"/>
      <c r="S1375" s="145"/>
      <c r="T1375" s="117"/>
    </row>
    <row r="1376" spans="1:20" x14ac:dyDescent="0.2">
      <c r="A1376" s="33"/>
      <c r="B1376" s="26" t="s">
        <v>1074</v>
      </c>
      <c r="C1376" s="46"/>
      <c r="D1376" s="48"/>
      <c r="E1376" s="48"/>
      <c r="F1376" s="30" t="s">
        <v>487</v>
      </c>
      <c r="G1376" s="30" t="s">
        <v>488</v>
      </c>
      <c r="H1376" s="30"/>
      <c r="I1376" s="31" t="s">
        <v>489</v>
      </c>
      <c r="J1376" s="48"/>
      <c r="K1376" s="49"/>
      <c r="L1376" s="49"/>
      <c r="M1376" s="49"/>
      <c r="N1376" s="49"/>
      <c r="O1376" s="32"/>
      <c r="P1376" s="29"/>
      <c r="Q1376" s="29"/>
      <c r="R1376" s="143"/>
      <c r="S1376" s="143"/>
      <c r="T1376" s="156"/>
    </row>
    <row r="1377" spans="1:58" x14ac:dyDescent="0.2">
      <c r="A1377" s="33"/>
      <c r="B1377" s="173" t="s">
        <v>800</v>
      </c>
      <c r="E1377" s="7"/>
      <c r="F1377" s="9"/>
      <c r="G1377" s="9"/>
      <c r="H1377" s="9"/>
      <c r="I1377" s="9"/>
      <c r="J1377" s="9"/>
      <c r="K1377" s="10"/>
      <c r="L1377" s="10"/>
      <c r="M1377" s="10"/>
      <c r="N1377" s="10"/>
      <c r="O1377" s="11"/>
      <c r="P1377" s="120"/>
      <c r="Q1377" s="49"/>
      <c r="R1377" s="145"/>
      <c r="S1377" s="145"/>
      <c r="T1377" s="117"/>
    </row>
    <row r="1378" spans="1:58" x14ac:dyDescent="0.2">
      <c r="A1378" s="33"/>
      <c r="B1378" s="20"/>
      <c r="E1378" s="20" t="s">
        <v>32</v>
      </c>
      <c r="F1378" s="9">
        <v>1</v>
      </c>
      <c r="G1378" s="9">
        <v>0.5</v>
      </c>
      <c r="H1378" s="9"/>
      <c r="I1378" s="9">
        <f>2*G1378</f>
        <v>1</v>
      </c>
      <c r="J1378" s="9"/>
      <c r="K1378" s="299" t="s">
        <v>1416</v>
      </c>
      <c r="L1378" s="11" t="s">
        <v>797</v>
      </c>
      <c r="M1378" s="11"/>
      <c r="N1378" s="10"/>
      <c r="O1378" s="11"/>
      <c r="P1378" s="11"/>
      <c r="Q1378" s="11"/>
      <c r="R1378" s="11"/>
      <c r="S1378" s="11" t="s">
        <v>1181</v>
      </c>
      <c r="T1378" s="117"/>
    </row>
    <row r="1379" spans="1:58" x14ac:dyDescent="0.2">
      <c r="A1379" s="33"/>
      <c r="B1379" s="20"/>
      <c r="E1379" s="7" t="s">
        <v>33</v>
      </c>
      <c r="F1379" s="267">
        <v>1</v>
      </c>
      <c r="G1379" s="267">
        <v>0.5</v>
      </c>
      <c r="H1379" s="267"/>
      <c r="I1379" s="9">
        <f>2*G1379</f>
        <v>1</v>
      </c>
      <c r="J1379" s="9"/>
      <c r="K1379" s="299" t="s">
        <v>1417</v>
      </c>
      <c r="L1379" s="11" t="s">
        <v>797</v>
      </c>
      <c r="M1379" s="11"/>
      <c r="N1379" s="10"/>
      <c r="O1379" s="11"/>
      <c r="P1379" s="11"/>
      <c r="Q1379" s="11"/>
      <c r="R1379" s="11"/>
      <c r="S1379" s="11" t="s">
        <v>1181</v>
      </c>
      <c r="T1379" s="117"/>
    </row>
    <row r="1380" spans="1:58" x14ac:dyDescent="0.2">
      <c r="A1380" s="33"/>
      <c r="B1380" s="20"/>
      <c r="E1380" s="20" t="s">
        <v>35</v>
      </c>
      <c r="F1380" s="9"/>
      <c r="G1380" s="9"/>
      <c r="H1380" s="9"/>
      <c r="I1380" s="9"/>
      <c r="J1380" s="9"/>
      <c r="K1380" s="299"/>
      <c r="L1380" s="11" t="s">
        <v>797</v>
      </c>
      <c r="M1380" s="11"/>
      <c r="N1380" s="10"/>
      <c r="O1380" s="11"/>
      <c r="P1380" s="11"/>
      <c r="Q1380" s="11"/>
      <c r="R1380" s="11"/>
      <c r="S1380" s="11" t="s">
        <v>1181</v>
      </c>
      <c r="T1380" s="117"/>
    </row>
    <row r="1381" spans="1:58" x14ac:dyDescent="0.2">
      <c r="A1381" s="33"/>
      <c r="B1381" s="20"/>
      <c r="E1381" s="21" t="s">
        <v>36</v>
      </c>
      <c r="F1381" s="9">
        <v>1</v>
      </c>
      <c r="G1381" s="9">
        <v>0.5</v>
      </c>
      <c r="H1381" s="9"/>
      <c r="I1381" s="9">
        <f>F1381*2*G1381</f>
        <v>1</v>
      </c>
      <c r="J1381" s="9"/>
      <c r="K1381" s="303" t="s">
        <v>36</v>
      </c>
      <c r="L1381" s="11" t="s">
        <v>797</v>
      </c>
      <c r="M1381" s="11"/>
      <c r="N1381" s="10"/>
      <c r="O1381" s="11"/>
      <c r="P1381" s="11"/>
      <c r="Q1381" s="11"/>
      <c r="R1381" s="11"/>
      <c r="S1381" s="11" t="s">
        <v>1181</v>
      </c>
      <c r="T1381" s="117"/>
    </row>
    <row r="1382" spans="1:58" x14ac:dyDescent="0.2">
      <c r="A1382" s="33"/>
      <c r="B1382" s="20"/>
      <c r="E1382" s="21" t="s">
        <v>40</v>
      </c>
      <c r="F1382" s="9">
        <v>1</v>
      </c>
      <c r="G1382" s="9">
        <v>0.5</v>
      </c>
      <c r="H1382" s="9"/>
      <c r="I1382" s="9">
        <f>F1382*2*G1382</f>
        <v>1</v>
      </c>
      <c r="J1382" s="9"/>
      <c r="K1382" s="304" t="s">
        <v>40</v>
      </c>
      <c r="L1382" s="11" t="s">
        <v>797</v>
      </c>
      <c r="M1382" s="11"/>
      <c r="N1382" s="10"/>
      <c r="O1382" s="11"/>
      <c r="P1382" s="11"/>
      <c r="Q1382" s="11"/>
      <c r="R1382" s="11"/>
      <c r="S1382" s="11" t="s">
        <v>1181</v>
      </c>
      <c r="T1382" s="117"/>
    </row>
    <row r="1383" spans="1:58" x14ac:dyDescent="0.2">
      <c r="A1383" s="33"/>
      <c r="B1383" s="20"/>
      <c r="E1383" s="21" t="s">
        <v>37</v>
      </c>
      <c r="F1383" s="9">
        <v>1</v>
      </c>
      <c r="G1383" s="9">
        <v>1</v>
      </c>
      <c r="H1383" s="9"/>
      <c r="I1383" s="9">
        <f>F1383*2*G1383</f>
        <v>2</v>
      </c>
      <c r="J1383" s="9"/>
      <c r="K1383" s="304" t="s">
        <v>37</v>
      </c>
      <c r="L1383" s="11" t="s">
        <v>797</v>
      </c>
      <c r="M1383" s="11"/>
      <c r="N1383" s="10"/>
      <c r="O1383" s="11"/>
      <c r="P1383" s="11"/>
      <c r="Q1383" s="11"/>
      <c r="R1383" s="11"/>
      <c r="S1383" s="11" t="s">
        <v>1181</v>
      </c>
      <c r="T1383" s="117"/>
      <c r="U1383" s="117"/>
      <c r="V1383" s="203"/>
      <c r="W1383" s="10"/>
      <c r="X1383" s="10"/>
      <c r="Y1383" s="10"/>
      <c r="Z1383" s="10"/>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0"/>
      <c r="BC1383" s="10"/>
      <c r="BD1383" s="10"/>
      <c r="BE1383" s="10"/>
      <c r="BF1383" s="11"/>
    </row>
    <row r="1384" spans="1:58" x14ac:dyDescent="0.2">
      <c r="A1384" s="33"/>
      <c r="B1384" s="20"/>
      <c r="E1384" s="20" t="s">
        <v>38</v>
      </c>
      <c r="F1384" s="9"/>
      <c r="G1384" s="9"/>
      <c r="H1384" s="9"/>
      <c r="I1384" s="9"/>
      <c r="J1384" s="9"/>
      <c r="K1384" s="299"/>
      <c r="L1384" s="11" t="s">
        <v>797</v>
      </c>
      <c r="M1384" s="11"/>
      <c r="N1384" s="10"/>
      <c r="O1384" s="11"/>
      <c r="P1384" s="11"/>
      <c r="Q1384" s="11"/>
      <c r="R1384" s="11"/>
      <c r="S1384" s="11" t="s">
        <v>1181</v>
      </c>
      <c r="T1384" s="117"/>
      <c r="U1384" s="117"/>
      <c r="V1384" s="154"/>
      <c r="W1384" s="20"/>
      <c r="X1384" s="20"/>
      <c r="Y1384" s="20"/>
      <c r="Z1384" s="20"/>
      <c r="AA1384" s="20"/>
      <c r="AB1384" s="20"/>
      <c r="AC1384" s="20"/>
      <c r="AD1384" s="20"/>
      <c r="AE1384" s="20"/>
      <c r="AF1384" s="20"/>
      <c r="AG1384" s="20"/>
      <c r="AH1384" s="20"/>
      <c r="AI1384" s="20"/>
      <c r="AJ1384" s="20"/>
      <c r="AK1384" s="20"/>
      <c r="AL1384" s="20"/>
      <c r="AM1384" s="20"/>
      <c r="AN1384" s="20"/>
      <c r="AO1384" s="20"/>
      <c r="AP1384" s="20"/>
      <c r="AQ1384" s="20"/>
      <c r="AR1384" s="20"/>
      <c r="AS1384" s="20"/>
      <c r="AT1384" s="20"/>
      <c r="AU1384" s="20"/>
      <c r="AV1384" s="20"/>
      <c r="AW1384" s="20"/>
      <c r="AX1384" s="20"/>
      <c r="AY1384" s="20"/>
      <c r="AZ1384" s="20"/>
      <c r="BA1384" s="20"/>
      <c r="BB1384" s="20"/>
      <c r="BC1384" s="360"/>
      <c r="BD1384" s="10"/>
      <c r="BE1384" s="10"/>
      <c r="BF1384" s="11"/>
    </row>
    <row r="1385" spans="1:58" x14ac:dyDescent="0.2">
      <c r="A1385" s="33"/>
      <c r="B1385" s="20"/>
      <c r="E1385" s="21" t="s">
        <v>39</v>
      </c>
      <c r="F1385" s="9">
        <v>1</v>
      </c>
      <c r="G1385" s="9">
        <v>0.5</v>
      </c>
      <c r="H1385" s="9"/>
      <c r="I1385" s="9">
        <f>F1385*2*G1385</f>
        <v>1</v>
      </c>
      <c r="J1385" s="9"/>
      <c r="K1385" s="304" t="s">
        <v>39</v>
      </c>
      <c r="L1385" s="11" t="s">
        <v>797</v>
      </c>
      <c r="M1385" s="11"/>
      <c r="N1385" s="10"/>
      <c r="O1385" s="11"/>
      <c r="P1385" s="11"/>
      <c r="Q1385" s="11"/>
      <c r="R1385" s="11"/>
      <c r="S1385" s="11" t="s">
        <v>1181</v>
      </c>
      <c r="T1385" s="117"/>
      <c r="U1385" s="359"/>
      <c r="V1385" s="154"/>
      <c r="W1385" s="20"/>
      <c r="X1385" s="20"/>
      <c r="Y1385" s="5"/>
      <c r="Z1385" s="20"/>
      <c r="AA1385" s="20"/>
      <c r="AB1385" s="20"/>
      <c r="AC1385" s="20"/>
      <c r="AD1385" s="20"/>
      <c r="AE1385" s="57"/>
      <c r="AF1385" s="57"/>
      <c r="AG1385" s="57"/>
      <c r="AH1385" s="57"/>
      <c r="AI1385" s="57"/>
      <c r="AJ1385" s="57"/>
      <c r="AK1385" s="57"/>
      <c r="AL1385" s="57"/>
      <c r="AM1385" s="57"/>
      <c r="AN1385" s="57"/>
      <c r="AO1385" s="57"/>
      <c r="AP1385" s="57"/>
      <c r="AQ1385" s="57"/>
      <c r="AR1385" s="57"/>
      <c r="AS1385" s="57"/>
      <c r="AT1385" s="57"/>
      <c r="AU1385" s="57"/>
      <c r="AV1385" s="57"/>
      <c r="AW1385" s="57"/>
      <c r="AX1385" s="57"/>
      <c r="AY1385" s="57"/>
      <c r="AZ1385" s="57"/>
      <c r="BA1385" s="57"/>
      <c r="BB1385" s="57"/>
      <c r="BC1385" s="380"/>
      <c r="BD1385" s="10"/>
      <c r="BE1385" s="10"/>
      <c r="BF1385" s="11"/>
    </row>
    <row r="1386" spans="1:58" x14ac:dyDescent="0.2">
      <c r="A1386" s="33"/>
      <c r="B1386" s="20"/>
      <c r="E1386" s="21" t="s">
        <v>41</v>
      </c>
      <c r="F1386" s="9">
        <v>1</v>
      </c>
      <c r="G1386" s="9">
        <v>0.5</v>
      </c>
      <c r="H1386" s="9"/>
      <c r="I1386" s="9">
        <f>F1386*2*G1386</f>
        <v>1</v>
      </c>
      <c r="J1386" s="9"/>
      <c r="K1386" s="211" t="s">
        <v>41</v>
      </c>
      <c r="L1386" s="11" t="s">
        <v>797</v>
      </c>
      <c r="M1386" s="11"/>
      <c r="N1386" s="10"/>
      <c r="O1386" s="11"/>
      <c r="P1386" s="11"/>
      <c r="Q1386" s="11"/>
      <c r="R1386" s="11"/>
      <c r="S1386" s="11" t="s">
        <v>1181</v>
      </c>
      <c r="T1386" s="117"/>
      <c r="U1386" s="117"/>
      <c r="V1386" s="154"/>
      <c r="W1386" s="20"/>
      <c r="X1386" s="5"/>
      <c r="Y1386" s="20"/>
      <c r="Z1386" s="20"/>
      <c r="AA1386" s="20"/>
      <c r="AB1386" s="20"/>
      <c r="AC1386" s="20"/>
      <c r="AD1386" s="20"/>
      <c r="AE1386" s="57"/>
      <c r="AF1386" s="57"/>
      <c r="AG1386" s="57"/>
      <c r="AH1386" s="57"/>
      <c r="AI1386" s="57"/>
      <c r="AJ1386" s="57"/>
      <c r="AK1386" s="57"/>
      <c r="AL1386" s="57"/>
      <c r="AM1386" s="57"/>
      <c r="AN1386" s="57"/>
      <c r="AO1386" s="57"/>
      <c r="AP1386" s="57"/>
      <c r="AQ1386" s="57"/>
      <c r="AR1386" s="57"/>
      <c r="AS1386" s="57"/>
      <c r="AT1386" s="57"/>
      <c r="AU1386" s="57"/>
      <c r="AV1386" s="57"/>
      <c r="AW1386" s="57"/>
      <c r="AX1386" s="57"/>
      <c r="AY1386" s="57"/>
      <c r="AZ1386" s="57"/>
      <c r="BA1386" s="57"/>
      <c r="BB1386" s="57"/>
      <c r="BC1386" s="361"/>
      <c r="BD1386" s="10"/>
      <c r="BE1386" s="10"/>
      <c r="BF1386" s="11"/>
    </row>
    <row r="1387" spans="1:58" x14ac:dyDescent="0.2">
      <c r="A1387" s="33"/>
      <c r="B1387" s="20"/>
      <c r="E1387" s="21" t="s">
        <v>42</v>
      </c>
      <c r="F1387" s="9">
        <v>1</v>
      </c>
      <c r="G1387" s="9">
        <v>1</v>
      </c>
      <c r="H1387" s="9"/>
      <c r="I1387" s="9">
        <f>F1387*2*G1387</f>
        <v>2</v>
      </c>
      <c r="J1387" s="9"/>
      <c r="K1387" s="304" t="s">
        <v>42</v>
      </c>
      <c r="L1387" s="11" t="s">
        <v>797</v>
      </c>
      <c r="M1387" s="11"/>
      <c r="N1387" s="10"/>
      <c r="O1387" s="11"/>
      <c r="P1387" s="11"/>
      <c r="Q1387" s="11"/>
      <c r="R1387" s="11"/>
      <c r="S1387" s="11" t="s">
        <v>1181</v>
      </c>
      <c r="T1387" s="117"/>
      <c r="U1387" s="117"/>
      <c r="V1387" s="154"/>
      <c r="W1387" s="20"/>
      <c r="X1387" s="20"/>
      <c r="Y1387" s="20"/>
      <c r="Z1387" s="20"/>
      <c r="AA1387" s="20"/>
      <c r="AB1387" s="20"/>
      <c r="AC1387" s="20"/>
      <c r="AD1387" s="20"/>
      <c r="AE1387" s="57"/>
      <c r="AF1387" s="57"/>
      <c r="AG1387" s="57"/>
      <c r="AH1387" s="57"/>
      <c r="AI1387" s="57"/>
      <c r="AJ1387" s="57"/>
      <c r="AK1387" s="57"/>
      <c r="AL1387" s="57"/>
      <c r="AM1387" s="57"/>
      <c r="AN1387" s="57"/>
      <c r="AO1387" s="57"/>
      <c r="AP1387" s="57"/>
      <c r="AQ1387" s="57"/>
      <c r="AR1387" s="57"/>
      <c r="AS1387" s="57"/>
      <c r="AT1387" s="57"/>
      <c r="AU1387" s="57"/>
      <c r="AV1387" s="57"/>
      <c r="AW1387" s="57"/>
      <c r="AX1387" s="57"/>
      <c r="AY1387" s="57"/>
      <c r="AZ1387" s="57"/>
      <c r="BA1387" s="57"/>
      <c r="BB1387" s="57"/>
      <c r="BD1387" s="10"/>
      <c r="BE1387" s="10"/>
      <c r="BF1387" s="11"/>
    </row>
    <row r="1388" spans="1:58" x14ac:dyDescent="0.2">
      <c r="A1388" s="33"/>
      <c r="B1388" s="20"/>
      <c r="E1388" s="20" t="s">
        <v>43</v>
      </c>
      <c r="F1388" s="9"/>
      <c r="G1388" s="9"/>
      <c r="H1388" s="9"/>
      <c r="I1388" s="9"/>
      <c r="J1388" s="9"/>
      <c r="K1388" s="117"/>
      <c r="L1388" s="11" t="s">
        <v>797</v>
      </c>
      <c r="M1388" s="11"/>
      <c r="N1388" s="10"/>
      <c r="O1388" s="11"/>
      <c r="P1388" s="11"/>
      <c r="Q1388" s="11"/>
      <c r="R1388" s="11"/>
      <c r="S1388" s="11" t="s">
        <v>1181</v>
      </c>
      <c r="T1388" s="117"/>
      <c r="U1388" s="117"/>
      <c r="V1388" s="154"/>
      <c r="W1388" s="20"/>
      <c r="X1388" s="20"/>
      <c r="Y1388" s="20"/>
      <c r="Z1388" s="20"/>
      <c r="AA1388" s="20"/>
      <c r="AB1388" s="20"/>
      <c r="AC1388" s="20"/>
      <c r="AD1388" s="20"/>
      <c r="AE1388" s="57"/>
      <c r="AF1388" s="57"/>
      <c r="AG1388" s="57"/>
      <c r="AH1388" s="57"/>
      <c r="AI1388" s="57"/>
      <c r="AJ1388" s="57"/>
      <c r="AK1388" s="57"/>
      <c r="AL1388" s="57"/>
      <c r="AM1388" s="57"/>
      <c r="AN1388" s="57"/>
      <c r="AO1388" s="57"/>
      <c r="AP1388" s="57"/>
      <c r="AQ1388" s="57"/>
      <c r="AR1388" s="57"/>
      <c r="AS1388" s="57"/>
      <c r="AT1388" s="57"/>
      <c r="AU1388" s="57"/>
      <c r="AV1388" s="57"/>
      <c r="AW1388" s="57"/>
      <c r="AX1388" s="57"/>
      <c r="AY1388" s="57"/>
      <c r="AZ1388" s="57"/>
      <c r="BA1388" s="57"/>
      <c r="BB1388" s="57"/>
      <c r="BD1388" s="10"/>
      <c r="BE1388" s="10"/>
      <c r="BF1388" s="11"/>
    </row>
    <row r="1389" spans="1:58" x14ac:dyDescent="0.2">
      <c r="A1389" s="33"/>
      <c r="B1389" s="173"/>
      <c r="E1389" s="21" t="s">
        <v>619</v>
      </c>
      <c r="F1389" s="9">
        <v>1</v>
      </c>
      <c r="G1389" s="9">
        <v>1</v>
      </c>
      <c r="H1389" s="9"/>
      <c r="I1389" s="9">
        <f>F1389*2*G1389</f>
        <v>2</v>
      </c>
      <c r="J1389" s="9"/>
      <c r="K1389" s="304" t="s">
        <v>619</v>
      </c>
      <c r="L1389" s="11" t="s">
        <v>797</v>
      </c>
      <c r="M1389" s="11"/>
      <c r="N1389" s="10"/>
      <c r="O1389" s="11"/>
      <c r="P1389" s="11"/>
      <c r="Q1389" s="11"/>
      <c r="R1389" s="11"/>
      <c r="S1389" s="11" t="s">
        <v>1181</v>
      </c>
      <c r="T1389" s="117"/>
      <c r="U1389" s="114"/>
      <c r="V1389" s="154"/>
      <c r="W1389" s="20"/>
      <c r="X1389" s="20"/>
      <c r="Y1389" s="20"/>
      <c r="Z1389" s="20"/>
      <c r="AA1389" s="20"/>
      <c r="AB1389" s="20"/>
      <c r="AC1389" s="20"/>
      <c r="AD1389" s="20"/>
      <c r="AE1389" s="20"/>
      <c r="AF1389" s="20"/>
      <c r="AG1389" s="20"/>
      <c r="AH1389" s="20"/>
      <c r="AI1389" s="20"/>
      <c r="AJ1389" s="20"/>
      <c r="AK1389" s="20"/>
      <c r="AL1389" s="20"/>
      <c r="AM1389" s="57"/>
      <c r="AN1389" s="57"/>
      <c r="AO1389" s="57"/>
      <c r="AP1389" s="57"/>
      <c r="AQ1389" s="57"/>
      <c r="AR1389" s="57"/>
      <c r="AS1389" s="57"/>
      <c r="AT1389" s="57"/>
      <c r="AU1389" s="57"/>
      <c r="AV1389" s="57"/>
      <c r="AW1389" s="57"/>
      <c r="AX1389" s="57"/>
      <c r="AY1389" s="57"/>
      <c r="AZ1389" s="57"/>
      <c r="BA1389" s="57"/>
      <c r="BB1389" s="57"/>
      <c r="BD1389" s="10"/>
      <c r="BE1389" s="10"/>
      <c r="BF1389" s="11"/>
    </row>
    <row r="1390" spans="1:58" x14ac:dyDescent="0.2">
      <c r="A1390" s="33"/>
      <c r="B1390" s="20"/>
      <c r="E1390" s="21" t="s">
        <v>278</v>
      </c>
      <c r="F1390" s="9">
        <v>1</v>
      </c>
      <c r="G1390" s="9">
        <v>6</v>
      </c>
      <c r="H1390" s="9"/>
      <c r="I1390" s="9">
        <f>F1390*2*G1390</f>
        <v>12</v>
      </c>
      <c r="J1390" s="9"/>
      <c r="K1390" s="304" t="s">
        <v>278</v>
      </c>
      <c r="L1390" s="11" t="s">
        <v>797</v>
      </c>
      <c r="M1390" s="11"/>
      <c r="N1390" s="10"/>
      <c r="O1390" s="11"/>
      <c r="P1390" s="11"/>
      <c r="Q1390" s="11"/>
      <c r="R1390" s="11"/>
      <c r="S1390" s="11" t="s">
        <v>1181</v>
      </c>
      <c r="T1390" s="117"/>
      <c r="U1390" s="117"/>
      <c r="V1390" s="154"/>
      <c r="W1390" s="20"/>
      <c r="X1390" s="20"/>
      <c r="Y1390" s="20"/>
      <c r="Z1390" s="20"/>
      <c r="AA1390" s="20"/>
      <c r="AB1390" s="20"/>
      <c r="AC1390" s="20"/>
      <c r="AD1390" s="20"/>
      <c r="AE1390" s="20"/>
      <c r="AF1390" s="20"/>
      <c r="AG1390" s="20"/>
      <c r="AH1390" s="20"/>
      <c r="AI1390" s="20"/>
      <c r="AJ1390" s="20"/>
      <c r="AK1390" s="20"/>
      <c r="AL1390" s="20"/>
      <c r="AM1390" s="57"/>
      <c r="AN1390" s="57"/>
      <c r="AO1390" s="57"/>
      <c r="AP1390" s="57"/>
      <c r="AQ1390" s="57"/>
      <c r="AR1390" s="57"/>
      <c r="AS1390" s="57"/>
      <c r="AT1390" s="57"/>
      <c r="AU1390" s="57"/>
      <c r="AV1390" s="57"/>
      <c r="AW1390" s="57"/>
      <c r="AX1390" s="57"/>
      <c r="AY1390" s="57"/>
      <c r="AZ1390" s="57"/>
      <c r="BA1390" s="57"/>
      <c r="BB1390" s="57"/>
      <c r="BD1390" s="10"/>
      <c r="BE1390" s="10"/>
      <c r="BF1390" s="11"/>
    </row>
    <row r="1391" spans="1:58" x14ac:dyDescent="0.2">
      <c r="A1391" s="33"/>
      <c r="B1391" s="173"/>
      <c r="E1391" s="20"/>
      <c r="F1391" s="9"/>
      <c r="G1391" s="9"/>
      <c r="H1391" s="9"/>
      <c r="I1391" s="9"/>
      <c r="J1391" s="9"/>
      <c r="K1391" s="10"/>
      <c r="L1391" s="20"/>
      <c r="M1391" s="10"/>
      <c r="N1391" s="10"/>
      <c r="O1391" s="11"/>
      <c r="P1391" s="120"/>
      <c r="Q1391" s="49"/>
      <c r="R1391" s="145"/>
      <c r="S1391" s="145"/>
      <c r="T1391" s="117"/>
      <c r="U1391" s="117"/>
      <c r="V1391" s="154"/>
      <c r="W1391" s="5"/>
      <c r="X1391" s="20"/>
      <c r="Y1391" s="20"/>
      <c r="Z1391" s="20"/>
      <c r="AA1391" s="20"/>
      <c r="AB1391" s="20"/>
      <c r="AC1391" s="20"/>
      <c r="AD1391" s="20"/>
      <c r="AE1391" s="20"/>
      <c r="AF1391" s="20"/>
      <c r="AG1391" s="20"/>
      <c r="AH1391" s="20"/>
      <c r="AI1391" s="20"/>
      <c r="AJ1391" s="20"/>
      <c r="AK1391" s="20"/>
      <c r="AL1391" s="20"/>
      <c r="AM1391" s="57"/>
      <c r="AN1391" s="57"/>
      <c r="AO1391" s="57"/>
      <c r="AP1391" s="57"/>
      <c r="AQ1391" s="57"/>
      <c r="AR1391" s="57"/>
      <c r="AS1391" s="57"/>
      <c r="AT1391" s="57"/>
      <c r="AU1391" s="57"/>
      <c r="AV1391" s="57"/>
      <c r="AW1391" s="57"/>
      <c r="AX1391" s="57"/>
      <c r="AY1391" s="57"/>
      <c r="AZ1391" s="57"/>
      <c r="BA1391" s="57"/>
      <c r="BB1391" s="57"/>
      <c r="BD1391" s="10"/>
      <c r="BE1391" s="10"/>
      <c r="BF1391" s="11"/>
    </row>
    <row r="1392" spans="1:58" x14ac:dyDescent="0.2">
      <c r="A1392" s="33"/>
      <c r="B1392" s="173" t="s">
        <v>301</v>
      </c>
      <c r="E1392" s="21"/>
      <c r="F1392" s="9">
        <f>SUM(F1378:F1391)</f>
        <v>10</v>
      </c>
      <c r="G1392" s="9">
        <f>SUM(G1378:G1390)</f>
        <v>12</v>
      </c>
      <c r="H1392" s="9"/>
      <c r="I1392" s="9">
        <f>SUM(I1378:I1390)</f>
        <v>24</v>
      </c>
      <c r="J1392" s="9"/>
      <c r="K1392" s="10"/>
      <c r="L1392" s="10"/>
      <c r="M1392" s="10"/>
      <c r="N1392" s="10"/>
      <c r="O1392" s="11"/>
      <c r="P1392" s="121"/>
      <c r="Q1392" s="121"/>
      <c r="R1392" s="145"/>
      <c r="S1392" s="145"/>
      <c r="T1392" s="117"/>
      <c r="U1392" s="117"/>
      <c r="V1392" s="154"/>
      <c r="W1392" s="20"/>
      <c r="X1392" s="20"/>
      <c r="Y1392" s="20"/>
      <c r="Z1392" s="20"/>
      <c r="AA1392" s="20"/>
      <c r="AB1392" s="20"/>
      <c r="AC1392" s="20"/>
      <c r="AD1392" s="20"/>
      <c r="AE1392" s="20"/>
      <c r="AF1392" s="20"/>
      <c r="AG1392" s="20"/>
      <c r="AH1392" s="20"/>
      <c r="AI1392" s="20"/>
      <c r="AJ1392" s="20"/>
      <c r="AK1392" s="20"/>
      <c r="AL1392" s="20"/>
      <c r="AM1392" s="57"/>
      <c r="AN1392" s="57"/>
      <c r="AO1392" s="57"/>
      <c r="AP1392" s="57"/>
      <c r="AQ1392" s="57"/>
      <c r="AR1392" s="57"/>
      <c r="AS1392" s="57"/>
      <c r="AT1392" s="57"/>
      <c r="AU1392" s="57"/>
      <c r="AV1392" s="57"/>
      <c r="AW1392" s="57"/>
      <c r="AX1392" s="57"/>
      <c r="AY1392" s="57"/>
      <c r="AZ1392" s="57"/>
      <c r="BA1392" s="57"/>
      <c r="BB1392" s="57"/>
      <c r="BD1392" s="10"/>
      <c r="BE1392" s="10"/>
      <c r="BF1392" s="11"/>
    </row>
    <row r="1393" spans="1:58" x14ac:dyDescent="0.2">
      <c r="A1393" s="33"/>
      <c r="B1393" s="13"/>
      <c r="C1393" s="46"/>
      <c r="D1393" s="48"/>
      <c r="E1393" s="48"/>
      <c r="F1393" s="48"/>
      <c r="G1393" s="48"/>
      <c r="H1393" s="48"/>
      <c r="I1393" s="48"/>
      <c r="J1393" s="48"/>
      <c r="K1393" s="49"/>
      <c r="L1393" s="49"/>
      <c r="M1393" s="49"/>
      <c r="N1393" s="49"/>
      <c r="O1393" s="32"/>
      <c r="P1393" s="29"/>
      <c r="Q1393" s="29"/>
      <c r="R1393" s="143"/>
      <c r="S1393" s="143"/>
      <c r="T1393" s="156"/>
      <c r="U1393" s="114"/>
      <c r="V1393" s="154"/>
      <c r="W1393" s="20"/>
      <c r="X1393" s="20"/>
      <c r="Y1393" s="20"/>
      <c r="Z1393" s="20"/>
      <c r="AA1393" s="20"/>
      <c r="AB1393" s="20"/>
      <c r="AC1393" s="20"/>
      <c r="AD1393" s="20"/>
      <c r="AE1393" s="20"/>
      <c r="AF1393" s="20"/>
      <c r="AG1393" s="20"/>
      <c r="AH1393" s="20"/>
      <c r="AI1393" s="20"/>
      <c r="AJ1393" s="20"/>
      <c r="AK1393" s="20"/>
      <c r="AL1393" s="20"/>
      <c r="AM1393" s="57"/>
      <c r="AN1393" s="57"/>
      <c r="AO1393" s="57"/>
      <c r="AP1393" s="57"/>
      <c r="AQ1393" s="57"/>
      <c r="AR1393" s="57"/>
      <c r="AS1393" s="57"/>
      <c r="AT1393" s="57"/>
      <c r="AU1393" s="57"/>
      <c r="AV1393" s="57"/>
      <c r="AW1393" s="57"/>
      <c r="AX1393" s="57"/>
      <c r="AY1393" s="57"/>
      <c r="AZ1393" s="57"/>
      <c r="BA1393" s="57"/>
      <c r="BB1393" s="57"/>
      <c r="BD1393" s="10"/>
      <c r="BE1393" s="10"/>
      <c r="BF1393" s="11"/>
    </row>
    <row r="1394" spans="1:58" x14ac:dyDescent="0.2">
      <c r="A1394" s="33"/>
      <c r="B1394" s="173" t="s">
        <v>801</v>
      </c>
      <c r="E1394" s="21"/>
      <c r="F1394" s="9"/>
      <c r="G1394" s="9"/>
      <c r="H1394" s="9"/>
      <c r="I1394" s="9"/>
      <c r="J1394" s="9"/>
      <c r="K1394" s="10"/>
      <c r="L1394" s="11"/>
      <c r="M1394" s="11"/>
      <c r="N1394" s="11"/>
      <c r="O1394" s="11"/>
      <c r="P1394" s="121"/>
      <c r="Q1394" s="121"/>
      <c r="R1394" s="145"/>
      <c r="S1394" s="145"/>
      <c r="T1394" s="117"/>
      <c r="U1394" s="117"/>
      <c r="V1394" s="154"/>
      <c r="W1394" s="20"/>
      <c r="X1394" s="20"/>
      <c r="Y1394" s="20"/>
      <c r="Z1394" s="20"/>
      <c r="AA1394" s="20"/>
      <c r="AB1394" s="20"/>
      <c r="AC1394" s="20"/>
      <c r="AD1394" s="20"/>
      <c r="AE1394" s="20"/>
      <c r="AF1394" s="20"/>
      <c r="AG1394" s="20"/>
      <c r="AH1394" s="20"/>
      <c r="AI1394" s="20"/>
      <c r="AJ1394" s="20"/>
      <c r="AK1394" s="20"/>
      <c r="AL1394" s="20"/>
      <c r="AM1394" s="57"/>
      <c r="AN1394" s="57"/>
      <c r="AO1394" s="57"/>
      <c r="AP1394" s="57"/>
      <c r="AQ1394" s="57"/>
      <c r="AR1394" s="57"/>
      <c r="AS1394" s="57"/>
      <c r="AT1394" s="57"/>
      <c r="AU1394" s="57"/>
      <c r="AV1394" s="57"/>
      <c r="AW1394" s="57"/>
      <c r="AX1394" s="57"/>
      <c r="AY1394" s="57"/>
      <c r="AZ1394" s="57"/>
      <c r="BA1394" s="57"/>
      <c r="BB1394" s="57"/>
      <c r="BD1394" s="10"/>
      <c r="BE1394" s="10"/>
      <c r="BF1394" s="11"/>
    </row>
    <row r="1395" spans="1:58" x14ac:dyDescent="0.2">
      <c r="A1395" s="33"/>
      <c r="B1395" s="8" t="s">
        <v>1363</v>
      </c>
      <c r="C1395" s="242"/>
      <c r="E1395" s="117" t="s">
        <v>1580</v>
      </c>
      <c r="F1395" s="9">
        <v>128</v>
      </c>
      <c r="G1395" s="9">
        <f>G1392 * F1395 *8</f>
        <v>12288</v>
      </c>
      <c r="H1395" s="9"/>
      <c r="I1395" s="9">
        <f>2*G1395</f>
        <v>24576</v>
      </c>
      <c r="J1395" s="9"/>
      <c r="L1395" s="11" t="s">
        <v>797</v>
      </c>
      <c r="M1395" s="11"/>
      <c r="N1395" s="11"/>
      <c r="O1395" s="11"/>
      <c r="P1395" s="121"/>
      <c r="Q1395" s="121"/>
      <c r="R1395" s="145"/>
      <c r="S1395" s="145"/>
      <c r="T1395" s="117"/>
      <c r="U1395" s="117"/>
      <c r="V1395" s="154"/>
      <c r="W1395" s="20"/>
      <c r="X1395" s="20"/>
      <c r="Y1395" s="20"/>
      <c r="Z1395" s="20"/>
      <c r="AA1395" s="20"/>
      <c r="AB1395" s="20"/>
      <c r="AC1395" s="20"/>
      <c r="AD1395" s="20"/>
      <c r="AE1395" s="20"/>
      <c r="AF1395" s="20"/>
      <c r="AG1395" s="20"/>
      <c r="AH1395" s="20"/>
      <c r="AI1395" s="20"/>
      <c r="AJ1395" s="20"/>
      <c r="AK1395" s="20"/>
      <c r="AL1395" s="20"/>
      <c r="AM1395" s="57"/>
      <c r="AN1395" s="57"/>
      <c r="AO1395" s="57"/>
      <c r="AP1395" s="57"/>
      <c r="AQ1395" s="57"/>
      <c r="AR1395" s="57"/>
      <c r="AS1395" s="57"/>
      <c r="AT1395" s="57"/>
      <c r="AU1395" s="57"/>
      <c r="AV1395" s="57"/>
      <c r="AW1395" s="57"/>
      <c r="AX1395" s="57"/>
      <c r="AY1395" s="57"/>
      <c r="AZ1395" s="57"/>
      <c r="BA1395" s="57"/>
      <c r="BB1395" s="57"/>
      <c r="BD1395" s="10"/>
      <c r="BE1395" s="10"/>
      <c r="BF1395" s="11"/>
    </row>
    <row r="1396" spans="1:58" x14ac:dyDescent="0.2">
      <c r="A1396" s="33"/>
      <c r="B1396" s="20" t="s">
        <v>803</v>
      </c>
      <c r="E1396" s="7"/>
      <c r="F1396" s="9"/>
      <c r="G1396" s="9"/>
      <c r="H1396" s="9"/>
      <c r="I1396" s="9"/>
      <c r="J1396" s="9"/>
      <c r="K1396" s="10"/>
      <c r="L1396" s="10"/>
      <c r="M1396" s="10"/>
      <c r="N1396" s="10"/>
      <c r="O1396" s="11"/>
      <c r="P1396" s="121"/>
      <c r="Q1396" s="121"/>
      <c r="R1396" s="145"/>
      <c r="S1396" s="145"/>
      <c r="T1396" s="117"/>
      <c r="U1396" s="117"/>
      <c r="V1396" s="154"/>
      <c r="W1396" s="20"/>
      <c r="X1396" s="20"/>
      <c r="Y1396" s="20"/>
      <c r="Z1396" s="20"/>
      <c r="AA1396" s="20"/>
      <c r="AB1396" s="20"/>
      <c r="AC1396" s="20"/>
      <c r="AD1396" s="20"/>
      <c r="AE1396" s="20"/>
      <c r="AF1396" s="20"/>
      <c r="AG1396" s="20"/>
      <c r="AH1396" s="20"/>
      <c r="AI1396" s="20"/>
      <c r="AJ1396" s="20"/>
      <c r="AK1396" s="20"/>
      <c r="AL1396" s="20"/>
      <c r="AM1396" s="57"/>
      <c r="AN1396" s="57"/>
      <c r="AO1396" s="57"/>
      <c r="AP1396" s="57"/>
      <c r="AQ1396" s="57"/>
      <c r="AR1396" s="57"/>
      <c r="AS1396" s="57"/>
      <c r="AT1396" s="57"/>
      <c r="AU1396" s="57"/>
      <c r="AV1396" s="57"/>
      <c r="AW1396" s="57"/>
      <c r="AX1396" s="57"/>
      <c r="AY1396" s="57"/>
      <c r="AZ1396" s="57"/>
      <c r="BA1396" s="57"/>
      <c r="BB1396" s="57"/>
      <c r="BD1396" s="10"/>
      <c r="BE1396" s="10"/>
      <c r="BF1396" s="11"/>
    </row>
    <row r="1397" spans="1:58" x14ac:dyDescent="0.2">
      <c r="A1397" s="33"/>
      <c r="B1397" s="52" t="s">
        <v>1075</v>
      </c>
      <c r="C1397" s="30"/>
      <c r="D1397" s="31"/>
      <c r="E1397" s="53"/>
      <c r="F1397" s="30" t="s">
        <v>487</v>
      </c>
      <c r="G1397" s="30" t="s">
        <v>488</v>
      </c>
      <c r="H1397" s="30"/>
      <c r="I1397" s="31" t="s">
        <v>489</v>
      </c>
      <c r="J1397" s="31"/>
      <c r="K1397" s="29"/>
      <c r="L1397" s="29"/>
      <c r="M1397" s="29"/>
      <c r="N1397" s="29"/>
      <c r="O1397" s="109"/>
      <c r="P1397" s="121"/>
      <c r="Q1397" s="121"/>
      <c r="R1397" s="149"/>
      <c r="S1397" s="149"/>
      <c r="T1397" s="160"/>
      <c r="U1397" s="117"/>
      <c r="V1397" s="154"/>
      <c r="W1397" s="20"/>
      <c r="X1397" s="20"/>
      <c r="Y1397" s="20"/>
      <c r="Z1397" s="20"/>
      <c r="AA1397" s="20"/>
      <c r="AB1397" s="20"/>
      <c r="AC1397" s="20"/>
      <c r="AD1397" s="20"/>
      <c r="AE1397" s="20"/>
      <c r="AF1397" s="20"/>
      <c r="AG1397" s="20"/>
      <c r="AH1397" s="20"/>
      <c r="AI1397" s="20"/>
      <c r="AJ1397" s="20"/>
      <c r="AK1397" s="20"/>
      <c r="AL1397" s="20"/>
      <c r="AM1397" s="20"/>
      <c r="AN1397" s="20"/>
      <c r="AO1397" s="20"/>
      <c r="AP1397" s="20"/>
      <c r="AQ1397" s="20"/>
      <c r="AR1397" s="20"/>
      <c r="AS1397" s="20"/>
      <c r="AT1397" s="20"/>
      <c r="AU1397" s="20"/>
      <c r="AV1397" s="20"/>
      <c r="AW1397" s="20"/>
      <c r="AX1397" s="20"/>
      <c r="AY1397" s="20"/>
      <c r="AZ1397" s="20"/>
      <c r="BA1397" s="20"/>
      <c r="BB1397" s="20"/>
      <c r="BC1397" s="10"/>
      <c r="BD1397" s="10"/>
      <c r="BE1397" s="10"/>
      <c r="BF1397" s="11"/>
    </row>
    <row r="1398" spans="1:58" x14ac:dyDescent="0.2">
      <c r="A1398" s="33"/>
      <c r="B1398" s="173" t="s">
        <v>800</v>
      </c>
      <c r="E1398" s="20"/>
      <c r="F1398" s="9"/>
      <c r="G1398" s="9"/>
      <c r="H1398" s="9"/>
      <c r="I1398" s="9"/>
      <c r="J1398" s="9"/>
      <c r="K1398" s="10"/>
      <c r="L1398" s="10"/>
      <c r="M1398" s="10"/>
      <c r="N1398" s="10"/>
      <c r="O1398" s="11"/>
      <c r="P1398" s="121"/>
      <c r="Q1398" s="121"/>
      <c r="R1398" s="145"/>
      <c r="S1398" s="145"/>
      <c r="T1398" s="117"/>
      <c r="U1398" s="117"/>
      <c r="V1398" s="154"/>
      <c r="W1398" s="20"/>
      <c r="X1398" s="20"/>
      <c r="Y1398" s="20"/>
      <c r="Z1398" s="20"/>
      <c r="AA1398" s="20"/>
      <c r="AB1398" s="20"/>
      <c r="AC1398" s="20"/>
      <c r="AD1398" s="20"/>
      <c r="AE1398" s="20"/>
      <c r="AF1398" s="20"/>
      <c r="AG1398" s="20"/>
      <c r="AH1398" s="20"/>
      <c r="AI1398" s="20"/>
      <c r="AJ1398" s="20"/>
      <c r="AK1398" s="20"/>
      <c r="AL1398" s="20"/>
      <c r="AM1398" s="20"/>
      <c r="AN1398" s="20"/>
      <c r="AO1398" s="20"/>
      <c r="AP1398" s="20"/>
      <c r="AQ1398" s="20"/>
      <c r="AR1398" s="20"/>
      <c r="AS1398" s="20"/>
      <c r="AT1398" s="20"/>
      <c r="AU1398" s="20"/>
      <c r="AV1398" s="20"/>
      <c r="AW1398" s="20"/>
      <c r="AX1398" s="20"/>
      <c r="AY1398" s="20"/>
      <c r="AZ1398" s="20"/>
      <c r="BA1398" s="20"/>
      <c r="BB1398" s="20"/>
      <c r="BC1398" s="277"/>
      <c r="BD1398" s="10"/>
      <c r="BE1398" s="10"/>
      <c r="BF1398" s="11"/>
    </row>
    <row r="1399" spans="1:58" x14ac:dyDescent="0.2">
      <c r="A1399" s="33"/>
      <c r="B1399" s="173"/>
      <c r="E1399" s="20" t="s">
        <v>22</v>
      </c>
      <c r="F1399" s="9">
        <v>1</v>
      </c>
      <c r="G1399" s="9">
        <v>0.5</v>
      </c>
      <c r="H1399" s="9"/>
      <c r="I1399" s="9">
        <f>2*G1399</f>
        <v>1</v>
      </c>
      <c r="J1399" s="9"/>
      <c r="K1399" s="165" t="s">
        <v>1418</v>
      </c>
      <c r="L1399" s="11" t="s">
        <v>797</v>
      </c>
      <c r="M1399" s="11"/>
      <c r="N1399" s="10"/>
      <c r="O1399" s="11"/>
      <c r="P1399" s="11"/>
      <c r="Q1399" s="11"/>
      <c r="R1399" s="11"/>
      <c r="S1399" s="11" t="s">
        <v>1181</v>
      </c>
      <c r="T1399" s="117"/>
      <c r="U1399" s="117"/>
      <c r="V1399" s="154"/>
      <c r="W1399" s="20"/>
      <c r="X1399" s="20"/>
      <c r="Y1399" s="20"/>
      <c r="Z1399" s="20"/>
      <c r="AA1399" s="20"/>
      <c r="AB1399" s="20"/>
      <c r="AC1399" s="20"/>
      <c r="AD1399" s="20"/>
      <c r="AE1399" s="20"/>
      <c r="AF1399" s="20"/>
      <c r="AG1399" s="20"/>
      <c r="AH1399" s="20"/>
      <c r="AI1399" s="20"/>
      <c r="AJ1399" s="20"/>
      <c r="AK1399" s="20"/>
      <c r="AL1399" s="20"/>
      <c r="AM1399" s="20"/>
      <c r="AN1399" s="20"/>
      <c r="AO1399" s="20"/>
      <c r="AP1399" s="20"/>
      <c r="AQ1399" s="20"/>
      <c r="AR1399" s="20"/>
      <c r="AS1399" s="20"/>
      <c r="AT1399" s="20"/>
      <c r="AU1399" s="20"/>
      <c r="AV1399" s="20"/>
      <c r="AW1399" s="20"/>
      <c r="AX1399" s="20"/>
      <c r="AY1399" s="20"/>
      <c r="AZ1399" s="20"/>
      <c r="BA1399" s="20"/>
      <c r="BB1399" s="20"/>
      <c r="BC1399" s="277"/>
      <c r="BD1399" s="10"/>
      <c r="BE1399" s="10"/>
      <c r="BF1399" s="11"/>
    </row>
    <row r="1400" spans="1:58" x14ac:dyDescent="0.2">
      <c r="A1400" s="33"/>
      <c r="B1400" s="173"/>
      <c r="E1400" s="7" t="s">
        <v>23</v>
      </c>
      <c r="F1400" s="267">
        <v>1</v>
      </c>
      <c r="G1400" s="267">
        <v>0.5</v>
      </c>
      <c r="H1400" s="267"/>
      <c r="I1400" s="9">
        <f>2*G1400</f>
        <v>1</v>
      </c>
      <c r="J1400" s="9"/>
      <c r="K1400" s="165" t="s">
        <v>1419</v>
      </c>
      <c r="L1400" s="11" t="s">
        <v>797</v>
      </c>
      <c r="M1400" s="11"/>
      <c r="N1400" s="10"/>
      <c r="O1400" s="11"/>
      <c r="P1400" s="11"/>
      <c r="Q1400" s="11"/>
      <c r="R1400" s="11"/>
      <c r="S1400" s="11" t="s">
        <v>1181</v>
      </c>
      <c r="T1400" s="117"/>
      <c r="U1400" s="117"/>
    </row>
    <row r="1401" spans="1:58" x14ac:dyDescent="0.2">
      <c r="A1401" s="33"/>
      <c r="B1401" s="20"/>
      <c r="E1401" s="20" t="s">
        <v>1886</v>
      </c>
      <c r="F1401" s="9">
        <v>1</v>
      </c>
      <c r="G1401" s="9">
        <v>0.5</v>
      </c>
      <c r="H1401" s="9"/>
      <c r="I1401" s="9">
        <v>1</v>
      </c>
      <c r="J1401" s="9"/>
      <c r="K1401" s="165" t="s">
        <v>1871</v>
      </c>
      <c r="L1401" s="11" t="s">
        <v>797</v>
      </c>
      <c r="M1401" s="11"/>
      <c r="N1401" s="10"/>
      <c r="O1401" s="11"/>
      <c r="P1401" s="11"/>
      <c r="Q1401" s="11"/>
      <c r="R1401" s="11"/>
      <c r="S1401" s="11" t="s">
        <v>1181</v>
      </c>
      <c r="T1401" s="117"/>
      <c r="U1401" s="379"/>
    </row>
    <row r="1402" spans="1:58" x14ac:dyDescent="0.2">
      <c r="A1402" s="33"/>
      <c r="B1402" s="20"/>
      <c r="E1402" s="20" t="s">
        <v>1887</v>
      </c>
      <c r="F1402" s="9">
        <v>1</v>
      </c>
      <c r="G1402" s="9">
        <v>0.5</v>
      </c>
      <c r="H1402" s="9"/>
      <c r="I1402" s="9">
        <v>1</v>
      </c>
      <c r="J1402" s="9"/>
      <c r="K1402" s="165" t="s">
        <v>1928</v>
      </c>
      <c r="L1402" s="11" t="s">
        <v>797</v>
      </c>
      <c r="M1402" s="11"/>
      <c r="N1402" s="10"/>
      <c r="O1402" s="11"/>
      <c r="P1402" s="11"/>
      <c r="Q1402" s="11"/>
      <c r="R1402" s="11"/>
      <c r="S1402" s="11" t="s">
        <v>1181</v>
      </c>
      <c r="T1402" s="117"/>
      <c r="U1402" s="359"/>
    </row>
    <row r="1403" spans="1:58" x14ac:dyDescent="0.2">
      <c r="A1403" s="33"/>
      <c r="B1403" s="173"/>
      <c r="E1403" s="7" t="s">
        <v>1589</v>
      </c>
      <c r="F1403" s="267">
        <v>1</v>
      </c>
      <c r="G1403" s="267">
        <v>1</v>
      </c>
      <c r="H1403" s="267"/>
      <c r="I1403" s="278">
        <f t="shared" ref="I1403:I1420" si="233">F1403*2*G1403</f>
        <v>2</v>
      </c>
      <c r="J1403" s="9"/>
      <c r="K1403" s="165" t="s">
        <v>1275</v>
      </c>
      <c r="L1403" s="11" t="s">
        <v>797</v>
      </c>
      <c r="M1403" s="11"/>
      <c r="N1403" s="10"/>
      <c r="O1403" s="11"/>
      <c r="P1403" s="11"/>
      <c r="Q1403" s="11"/>
      <c r="R1403" s="11"/>
      <c r="S1403" s="11" t="s">
        <v>1181</v>
      </c>
      <c r="T1403" s="117"/>
      <c r="U1403" s="359"/>
    </row>
    <row r="1404" spans="1:58" x14ac:dyDescent="0.2">
      <c r="A1404" s="33"/>
      <c r="B1404" s="277"/>
      <c r="C1404" s="277"/>
      <c r="D1404" s="278"/>
      <c r="E1404" s="277" t="s">
        <v>1581</v>
      </c>
      <c r="F1404" s="278">
        <v>1</v>
      </c>
      <c r="G1404" s="278">
        <v>1</v>
      </c>
      <c r="H1404" s="278"/>
      <c r="I1404" s="278">
        <f t="shared" si="233"/>
        <v>2</v>
      </c>
      <c r="J1404" s="278"/>
      <c r="K1404" s="279" t="s">
        <v>892</v>
      </c>
      <c r="L1404" s="11" t="s">
        <v>797</v>
      </c>
      <c r="M1404" s="11"/>
      <c r="N1404" s="277"/>
      <c r="O1404" s="11"/>
      <c r="P1404" s="11"/>
      <c r="Q1404" s="11"/>
      <c r="R1404" s="11"/>
      <c r="S1404" s="11" t="s">
        <v>1181</v>
      </c>
      <c r="T1404" s="117"/>
      <c r="U1404" s="359"/>
    </row>
    <row r="1405" spans="1:58" x14ac:dyDescent="0.2">
      <c r="A1405" s="33"/>
      <c r="B1405" s="20"/>
      <c r="E1405" s="20" t="s">
        <v>1582</v>
      </c>
      <c r="F1405" s="9">
        <v>1</v>
      </c>
      <c r="G1405" s="267">
        <v>1</v>
      </c>
      <c r="H1405" s="9"/>
      <c r="I1405" s="9">
        <f t="shared" si="233"/>
        <v>2</v>
      </c>
      <c r="J1405" s="9"/>
      <c r="K1405" s="268" t="s">
        <v>622</v>
      </c>
      <c r="L1405" s="11" t="s">
        <v>797</v>
      </c>
      <c r="M1405" s="11"/>
      <c r="N1405" s="280"/>
      <c r="O1405" s="11"/>
      <c r="P1405" s="11"/>
      <c r="Q1405" s="11"/>
      <c r="R1405" s="11"/>
      <c r="S1405" s="11" t="s">
        <v>1181</v>
      </c>
      <c r="T1405" s="117"/>
      <c r="U1405" s="359"/>
    </row>
    <row r="1406" spans="1:58" x14ac:dyDescent="0.2">
      <c r="A1406" s="33"/>
      <c r="B1406" s="20"/>
      <c r="E1406" s="20" t="s">
        <v>1583</v>
      </c>
      <c r="F1406" s="9">
        <v>1</v>
      </c>
      <c r="G1406" s="267">
        <v>1</v>
      </c>
      <c r="H1406" s="9"/>
      <c r="I1406" s="9">
        <f t="shared" si="233"/>
        <v>2</v>
      </c>
      <c r="J1406" s="9"/>
      <c r="K1406" s="268" t="s">
        <v>623</v>
      </c>
      <c r="L1406" s="11" t="s">
        <v>797</v>
      </c>
      <c r="M1406" s="11"/>
      <c r="N1406" s="281"/>
      <c r="O1406" s="11"/>
      <c r="P1406" s="11"/>
      <c r="Q1406" s="11"/>
      <c r="R1406" s="11"/>
      <c r="S1406" s="11" t="s">
        <v>1181</v>
      </c>
      <c r="T1406" s="117"/>
      <c r="U1406" s="359"/>
    </row>
    <row r="1407" spans="1:58" x14ac:dyDescent="0.2">
      <c r="A1407" s="33"/>
      <c r="B1407" s="20"/>
      <c r="E1407" s="20" t="s">
        <v>1584</v>
      </c>
      <c r="F1407" s="9">
        <v>1</v>
      </c>
      <c r="G1407" s="267">
        <v>1</v>
      </c>
      <c r="H1407" s="9"/>
      <c r="I1407" s="9">
        <f t="shared" si="233"/>
        <v>2</v>
      </c>
      <c r="J1407" s="9"/>
      <c r="K1407" s="268" t="s">
        <v>624</v>
      </c>
      <c r="L1407" s="11" t="s">
        <v>797</v>
      </c>
      <c r="M1407" s="11"/>
      <c r="N1407" s="20"/>
      <c r="O1407" s="11"/>
      <c r="P1407" s="11"/>
      <c r="Q1407" s="11"/>
      <c r="R1407" s="11"/>
      <c r="S1407" s="11" t="s">
        <v>1181</v>
      </c>
      <c r="T1407" s="117"/>
      <c r="U1407" s="11"/>
      <c r="V1407" s="20"/>
      <c r="W1407" s="20"/>
      <c r="X1407" s="20"/>
      <c r="Y1407" s="20"/>
      <c r="Z1407" s="20"/>
      <c r="AA1407" s="20"/>
      <c r="AB1407" s="20"/>
      <c r="AC1407" s="20"/>
      <c r="AD1407" s="20"/>
      <c r="AE1407" s="20"/>
      <c r="AF1407" s="20"/>
      <c r="AG1407" s="20"/>
      <c r="AH1407" s="20"/>
      <c r="AI1407" s="20"/>
      <c r="AJ1407" s="20"/>
      <c r="AK1407" s="20"/>
      <c r="AL1407" s="20"/>
      <c r="AM1407" s="20"/>
      <c r="AN1407" s="20"/>
      <c r="AO1407" s="20"/>
      <c r="AP1407" s="20"/>
      <c r="AQ1407" s="20"/>
      <c r="AR1407" s="20"/>
      <c r="AS1407" s="20"/>
      <c r="AT1407" s="20"/>
      <c r="AU1407" s="20"/>
      <c r="AV1407" s="20"/>
      <c r="AW1407" s="20"/>
      <c r="AX1407" s="20"/>
      <c r="AY1407" s="20"/>
      <c r="AZ1407" s="20"/>
      <c r="BA1407" s="20"/>
      <c r="BB1407" s="380"/>
      <c r="BC1407" s="10"/>
      <c r="BD1407" s="10"/>
      <c r="BE1407" s="11"/>
    </row>
    <row r="1408" spans="1:58" x14ac:dyDescent="0.2">
      <c r="A1408" s="33"/>
      <c r="B1408" s="20"/>
      <c r="E1408" s="20" t="s">
        <v>1585</v>
      </c>
      <c r="F1408" s="9">
        <v>1</v>
      </c>
      <c r="G1408" s="267">
        <v>1</v>
      </c>
      <c r="H1408" s="9"/>
      <c r="I1408" s="9">
        <f t="shared" si="233"/>
        <v>2</v>
      </c>
      <c r="J1408" s="9"/>
      <c r="K1408" s="268" t="s">
        <v>625</v>
      </c>
      <c r="L1408" s="11" t="s">
        <v>797</v>
      </c>
      <c r="M1408" s="11"/>
      <c r="N1408" s="20"/>
      <c r="O1408" s="11"/>
      <c r="P1408" s="11"/>
      <c r="Q1408" s="11"/>
      <c r="R1408" s="11"/>
      <c r="S1408" s="11" t="s">
        <v>1181</v>
      </c>
      <c r="T1408" s="117"/>
      <c r="U1408" s="11"/>
      <c r="V1408" s="20"/>
      <c r="W1408" s="20"/>
      <c r="X1408" s="20"/>
      <c r="Y1408" s="20"/>
      <c r="Z1408" s="20"/>
      <c r="AA1408" s="20"/>
      <c r="AB1408" s="20"/>
      <c r="AC1408" s="20"/>
      <c r="AD1408" s="20"/>
      <c r="AE1408" s="20"/>
      <c r="AF1408" s="20"/>
      <c r="AG1408" s="20"/>
      <c r="AH1408" s="20"/>
      <c r="AI1408" s="20"/>
      <c r="AJ1408" s="20"/>
      <c r="AK1408" s="20"/>
      <c r="AL1408" s="20"/>
      <c r="AM1408" s="20"/>
      <c r="AN1408" s="20"/>
      <c r="AO1408" s="20"/>
      <c r="AP1408" s="20"/>
      <c r="AQ1408" s="20"/>
      <c r="AR1408" s="20"/>
      <c r="AS1408" s="20"/>
      <c r="AT1408" s="20"/>
      <c r="AU1408" s="20"/>
      <c r="AV1408" s="20"/>
      <c r="AW1408" s="20"/>
      <c r="AX1408" s="20"/>
      <c r="AY1408" s="20"/>
      <c r="AZ1408" s="20"/>
      <c r="BA1408" s="20"/>
      <c r="BB1408" s="380"/>
      <c r="BC1408" s="10"/>
      <c r="BD1408" s="10"/>
      <c r="BE1408" s="11"/>
    </row>
    <row r="1409" spans="1:57" x14ac:dyDescent="0.2">
      <c r="A1409" s="33"/>
      <c r="B1409" s="20"/>
      <c r="E1409" s="20" t="s">
        <v>1586</v>
      </c>
      <c r="F1409" s="9">
        <v>1</v>
      </c>
      <c r="G1409" s="267">
        <v>1</v>
      </c>
      <c r="H1409" s="9"/>
      <c r="I1409" s="9">
        <f t="shared" si="233"/>
        <v>2</v>
      </c>
      <c r="J1409" s="9"/>
      <c r="K1409" s="268" t="s">
        <v>626</v>
      </c>
      <c r="L1409" s="11" t="s">
        <v>797</v>
      </c>
      <c r="M1409" s="11"/>
      <c r="N1409" s="20"/>
      <c r="O1409" s="11"/>
      <c r="P1409" s="11"/>
      <c r="Q1409" s="11"/>
      <c r="R1409" s="11"/>
      <c r="S1409" s="11" t="s">
        <v>1181</v>
      </c>
      <c r="T1409" s="117"/>
      <c r="U1409" s="154"/>
      <c r="V1409" s="20"/>
      <c r="W1409" s="20"/>
      <c r="X1409" s="5"/>
      <c r="Y1409" s="20"/>
      <c r="Z1409" s="20"/>
      <c r="AA1409" s="20"/>
      <c r="AB1409" s="20"/>
      <c r="AC1409" s="20"/>
      <c r="AD1409" s="57"/>
      <c r="AE1409" s="57"/>
      <c r="AF1409" s="57"/>
      <c r="AG1409" s="57"/>
      <c r="AH1409" s="57"/>
      <c r="AI1409" s="57"/>
      <c r="AJ1409" s="57"/>
      <c r="AK1409" s="57"/>
      <c r="AL1409" s="57"/>
      <c r="AM1409" s="57"/>
      <c r="AN1409" s="57"/>
      <c r="AO1409" s="57"/>
      <c r="AP1409" s="57"/>
      <c r="AQ1409" s="57"/>
      <c r="AR1409" s="57"/>
      <c r="AS1409" s="57"/>
      <c r="AT1409" s="57"/>
      <c r="AU1409" s="57"/>
      <c r="AV1409" s="57"/>
      <c r="AW1409" s="57"/>
      <c r="AX1409" s="57"/>
      <c r="AY1409" s="57"/>
      <c r="AZ1409" s="57"/>
      <c r="BA1409" s="57"/>
      <c r="BB1409" s="380"/>
      <c r="BC1409" s="10"/>
      <c r="BD1409" s="10"/>
      <c r="BE1409" s="11"/>
    </row>
    <row r="1410" spans="1:57" x14ac:dyDescent="0.2">
      <c r="A1410" s="33"/>
      <c r="B1410" s="20"/>
      <c r="E1410" s="20" t="s">
        <v>1587</v>
      </c>
      <c r="F1410" s="9">
        <v>1</v>
      </c>
      <c r="G1410" s="278">
        <v>1</v>
      </c>
      <c r="H1410" s="9"/>
      <c r="I1410" s="9">
        <f t="shared" si="233"/>
        <v>2</v>
      </c>
      <c r="J1410" s="9"/>
      <c r="K1410" s="268" t="s">
        <v>627</v>
      </c>
      <c r="L1410" s="11" t="s">
        <v>797</v>
      </c>
      <c r="M1410" s="11"/>
      <c r="N1410" s="20"/>
      <c r="O1410" s="11"/>
      <c r="P1410" s="11"/>
      <c r="Q1410" s="11"/>
      <c r="R1410" s="11"/>
      <c r="S1410" s="11" t="s">
        <v>1181</v>
      </c>
      <c r="T1410" s="117"/>
      <c r="U1410" s="11"/>
      <c r="V1410" s="20"/>
      <c r="W1410" s="5"/>
      <c r="X1410" s="20"/>
      <c r="Y1410" s="20"/>
      <c r="Z1410" s="20"/>
      <c r="AA1410" s="20"/>
      <c r="AB1410" s="20"/>
      <c r="AC1410" s="2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361"/>
      <c r="BC1410" s="10"/>
      <c r="BD1410" s="10"/>
      <c r="BE1410" s="11"/>
    </row>
    <row r="1411" spans="1:57" ht="12.75" x14ac:dyDescent="0.2">
      <c r="A1411" s="33"/>
      <c r="B1411" s="20"/>
      <c r="E1411" s="20" t="s">
        <v>1588</v>
      </c>
      <c r="F1411" s="9">
        <v>1</v>
      </c>
      <c r="G1411" s="278">
        <v>1</v>
      </c>
      <c r="H1411" s="9"/>
      <c r="I1411" s="9">
        <f t="shared" si="233"/>
        <v>2</v>
      </c>
      <c r="J1411" s="9"/>
      <c r="K1411" s="268" t="s">
        <v>619</v>
      </c>
      <c r="L1411" s="11" t="s">
        <v>797</v>
      </c>
      <c r="M1411" s="11"/>
      <c r="N1411" s="20"/>
      <c r="O1411" s="11"/>
      <c r="P1411" s="11"/>
      <c r="Q1411" s="11"/>
      <c r="R1411" s="11"/>
      <c r="S1411" s="11" t="s">
        <v>1181</v>
      </c>
      <c r="T1411" s="117"/>
      <c r="U1411" s="362"/>
      <c r="V1411" s="20"/>
      <c r="W1411" s="20"/>
      <c r="X1411" s="20"/>
      <c r="Y1411" s="20"/>
      <c r="Z1411" s="20"/>
      <c r="AA1411" s="20"/>
      <c r="AB1411" s="20"/>
      <c r="AC1411" s="363"/>
      <c r="AD1411" s="20"/>
      <c r="AE1411" s="20"/>
      <c r="AF1411" s="20"/>
      <c r="AG1411" s="20"/>
      <c r="AH1411" s="20"/>
      <c r="AI1411" s="20"/>
      <c r="AJ1411" s="20"/>
      <c r="AK1411" s="20"/>
      <c r="AL1411" s="10"/>
      <c r="AM1411" s="10"/>
      <c r="AN1411" s="10"/>
      <c r="AO1411" s="10"/>
      <c r="AP1411" s="10"/>
      <c r="AQ1411" s="10"/>
      <c r="AR1411" s="10"/>
      <c r="AS1411" s="10"/>
      <c r="AT1411" s="10"/>
      <c r="AU1411" s="10"/>
      <c r="AV1411" s="10"/>
      <c r="AW1411" s="10"/>
      <c r="AX1411" s="10"/>
      <c r="AY1411" s="10"/>
      <c r="AZ1411" s="10"/>
      <c r="BA1411" s="10"/>
      <c r="BB1411" s="10"/>
      <c r="BC1411" s="10"/>
      <c r="BD1411" s="10"/>
      <c r="BE1411" s="11"/>
    </row>
    <row r="1412" spans="1:57" x14ac:dyDescent="0.2">
      <c r="A1412" s="33"/>
      <c r="B1412" s="20"/>
      <c r="E1412" s="20" t="s">
        <v>1590</v>
      </c>
      <c r="F1412" s="9">
        <v>1</v>
      </c>
      <c r="G1412" s="278">
        <v>1</v>
      </c>
      <c r="H1412" s="9"/>
      <c r="I1412" s="9">
        <f t="shared" si="233"/>
        <v>2</v>
      </c>
      <c r="J1412" s="9"/>
      <c r="K1412" s="232" t="s">
        <v>257</v>
      </c>
      <c r="L1412" s="11" t="s">
        <v>797</v>
      </c>
      <c r="M1412" s="11"/>
      <c r="N1412" s="20"/>
      <c r="O1412" s="11"/>
      <c r="P1412" s="11"/>
      <c r="Q1412" s="11"/>
      <c r="R1412" s="11"/>
      <c r="S1412" s="11" t="s">
        <v>1181</v>
      </c>
      <c r="T1412" s="117"/>
      <c r="U1412" s="11"/>
      <c r="V1412" s="20"/>
      <c r="W1412" s="20"/>
      <c r="X1412" s="20"/>
      <c r="Y1412" s="20"/>
      <c r="Z1412" s="20"/>
      <c r="AA1412" s="20"/>
      <c r="AB1412" s="20"/>
      <c r="AC1412" s="20"/>
      <c r="AD1412" s="20"/>
      <c r="AE1412" s="20"/>
      <c r="AF1412" s="20"/>
      <c r="AG1412" s="20"/>
      <c r="AH1412" s="20"/>
      <c r="AI1412" s="20"/>
      <c r="AJ1412" s="20"/>
      <c r="AK1412" s="20"/>
      <c r="AL1412" s="10"/>
      <c r="AM1412" s="10"/>
      <c r="AN1412" s="10"/>
      <c r="AO1412" s="10"/>
      <c r="AP1412" s="10"/>
      <c r="AQ1412" s="10"/>
      <c r="AR1412" s="10"/>
      <c r="AS1412" s="10"/>
      <c r="AT1412" s="10"/>
      <c r="AU1412" s="10"/>
      <c r="AV1412" s="10"/>
      <c r="AW1412" s="10"/>
      <c r="AX1412" s="10"/>
      <c r="AY1412" s="10"/>
      <c r="AZ1412" s="10"/>
      <c r="BA1412" s="10"/>
      <c r="BC1412" s="10"/>
      <c r="BD1412" s="10"/>
      <c r="BE1412" s="11"/>
    </row>
    <row r="1413" spans="1:57" x14ac:dyDescent="0.2">
      <c r="A1413" s="33"/>
      <c r="B1413" s="20"/>
      <c r="E1413" s="20" t="s">
        <v>1591</v>
      </c>
      <c r="F1413" s="9">
        <v>1</v>
      </c>
      <c r="G1413" s="278">
        <v>1</v>
      </c>
      <c r="H1413" s="9"/>
      <c r="I1413" s="9">
        <f t="shared" si="233"/>
        <v>2</v>
      </c>
      <c r="J1413" s="9"/>
      <c r="K1413" s="232" t="s">
        <v>28</v>
      </c>
      <c r="L1413" s="11" t="s">
        <v>797</v>
      </c>
      <c r="M1413" s="11"/>
      <c r="N1413" s="20"/>
      <c r="O1413" s="11"/>
      <c r="P1413" s="11"/>
      <c r="Q1413" s="11"/>
      <c r="R1413" s="11"/>
      <c r="S1413" s="11" t="s">
        <v>1181</v>
      </c>
      <c r="T1413" s="117"/>
      <c r="U1413" s="11"/>
      <c r="V1413" s="20"/>
      <c r="W1413" s="20"/>
      <c r="X1413" s="20"/>
      <c r="Y1413" s="20"/>
      <c r="Z1413" s="20"/>
      <c r="AA1413" s="20"/>
      <c r="AB1413" s="20"/>
      <c r="AC1413" s="20"/>
      <c r="AD1413" s="20"/>
      <c r="AE1413" s="20"/>
      <c r="AF1413" s="20"/>
      <c r="AG1413" s="20"/>
      <c r="AH1413" s="20"/>
      <c r="AI1413" s="20"/>
      <c r="AJ1413" s="20"/>
      <c r="AK1413" s="20"/>
      <c r="AL1413" s="10"/>
      <c r="AM1413" s="10"/>
      <c r="AN1413" s="10"/>
      <c r="AO1413" s="10"/>
      <c r="AP1413" s="10"/>
      <c r="AQ1413" s="10"/>
      <c r="AR1413" s="10"/>
      <c r="AS1413" s="10"/>
      <c r="AT1413" s="10"/>
      <c r="AU1413" s="10"/>
      <c r="AV1413" s="10"/>
      <c r="AW1413" s="10"/>
      <c r="AX1413" s="10"/>
      <c r="AY1413" s="10"/>
      <c r="AZ1413" s="10"/>
      <c r="BA1413" s="10"/>
      <c r="BC1413" s="10"/>
      <c r="BD1413" s="10"/>
      <c r="BE1413" s="11"/>
    </row>
    <row r="1414" spans="1:57" x14ac:dyDescent="0.2">
      <c r="A1414" s="33"/>
      <c r="B1414" s="20"/>
      <c r="E1414" s="20" t="s">
        <v>1592</v>
      </c>
      <c r="F1414" s="9">
        <v>1</v>
      </c>
      <c r="G1414" s="278">
        <v>1</v>
      </c>
      <c r="H1414" s="9"/>
      <c r="I1414" s="9">
        <f t="shared" si="233"/>
        <v>2</v>
      </c>
      <c r="J1414" s="9"/>
      <c r="K1414" s="232" t="s">
        <v>705</v>
      </c>
      <c r="L1414" s="11" t="s">
        <v>797</v>
      </c>
      <c r="M1414" s="11"/>
      <c r="N1414" s="20"/>
      <c r="O1414" s="11"/>
      <c r="P1414" s="11"/>
      <c r="Q1414" s="11"/>
      <c r="R1414" s="11"/>
      <c r="S1414" s="11" t="s">
        <v>1181</v>
      </c>
      <c r="T1414" s="117"/>
      <c r="U1414" s="11"/>
      <c r="V1414" s="20"/>
      <c r="W1414" s="20"/>
      <c r="X1414" s="20"/>
      <c r="Y1414" s="20"/>
      <c r="Z1414" s="20"/>
      <c r="AA1414" s="20"/>
      <c r="AB1414" s="20"/>
      <c r="AC1414" s="20"/>
      <c r="AD1414" s="20"/>
      <c r="AE1414" s="20"/>
      <c r="AF1414" s="20"/>
      <c r="AG1414" s="20"/>
      <c r="AH1414" s="20"/>
      <c r="AI1414" s="20"/>
      <c r="AJ1414" s="20"/>
      <c r="AK1414" s="20"/>
      <c r="AL1414" s="10"/>
      <c r="AM1414" s="10"/>
      <c r="AN1414" s="10"/>
      <c r="AO1414" s="10"/>
      <c r="AP1414" s="10"/>
      <c r="AQ1414" s="10"/>
      <c r="AR1414" s="10"/>
      <c r="AS1414" s="10"/>
      <c r="AT1414" s="10"/>
      <c r="AU1414" s="10"/>
      <c r="AV1414" s="10"/>
      <c r="AW1414" s="10"/>
      <c r="AX1414" s="10"/>
      <c r="AY1414" s="10"/>
      <c r="AZ1414" s="10"/>
      <c r="BA1414" s="10"/>
      <c r="BC1414" s="10"/>
      <c r="BD1414" s="10"/>
      <c r="BE1414" s="11"/>
    </row>
    <row r="1415" spans="1:57" x14ac:dyDescent="0.2">
      <c r="A1415" s="33"/>
      <c r="B1415" s="20"/>
      <c r="E1415" s="20" t="s">
        <v>1593</v>
      </c>
      <c r="F1415" s="9">
        <v>1</v>
      </c>
      <c r="G1415" s="278">
        <v>1</v>
      </c>
      <c r="H1415" s="9"/>
      <c r="I1415" s="9">
        <f t="shared" si="233"/>
        <v>2</v>
      </c>
      <c r="J1415" s="9"/>
      <c r="K1415" s="232" t="s">
        <v>628</v>
      </c>
      <c r="L1415" s="11" t="s">
        <v>797</v>
      </c>
      <c r="M1415" s="11"/>
      <c r="N1415" s="20"/>
      <c r="O1415" s="11"/>
      <c r="P1415" s="11"/>
      <c r="Q1415" s="11"/>
      <c r="R1415" s="11"/>
      <c r="S1415" s="11" t="s">
        <v>1181</v>
      </c>
      <c r="T1415" s="117"/>
      <c r="U1415" s="11"/>
      <c r="V1415" s="20"/>
      <c r="W1415" s="20"/>
      <c r="X1415" s="20"/>
      <c r="Y1415" s="20"/>
      <c r="Z1415" s="20"/>
      <c r="AA1415" s="20"/>
      <c r="AB1415" s="20"/>
      <c r="AC1415" s="20"/>
      <c r="AD1415" s="20"/>
      <c r="AE1415" s="20"/>
      <c r="AF1415" s="20"/>
      <c r="AG1415" s="20"/>
      <c r="AH1415" s="20"/>
      <c r="AI1415" s="20"/>
      <c r="AJ1415" s="20"/>
      <c r="AK1415" s="20"/>
      <c r="AL1415" s="10"/>
      <c r="AM1415" s="10"/>
      <c r="AN1415" s="10"/>
      <c r="AO1415" s="10"/>
      <c r="AP1415" s="10"/>
      <c r="AQ1415" s="10"/>
      <c r="AR1415" s="10"/>
      <c r="AS1415" s="10"/>
      <c r="AT1415" s="10"/>
      <c r="AU1415" s="10"/>
      <c r="AV1415" s="10"/>
      <c r="AW1415" s="10"/>
      <c r="AX1415" s="10"/>
      <c r="AY1415" s="10"/>
      <c r="AZ1415" s="10"/>
      <c r="BA1415" s="10"/>
      <c r="BB1415" s="10"/>
      <c r="BC1415" s="10"/>
      <c r="BD1415" s="10"/>
      <c r="BE1415" s="11"/>
    </row>
    <row r="1416" spans="1:57" x14ac:dyDescent="0.2">
      <c r="A1416" s="33"/>
      <c r="B1416" s="20"/>
      <c r="E1416" s="20" t="s">
        <v>1594</v>
      </c>
      <c r="F1416" s="9">
        <v>1</v>
      </c>
      <c r="G1416" s="278">
        <v>1</v>
      </c>
      <c r="H1416" s="9"/>
      <c r="I1416" s="9">
        <f t="shared" si="233"/>
        <v>2</v>
      </c>
      <c r="J1416" s="9"/>
      <c r="K1416" s="232" t="s">
        <v>25</v>
      </c>
      <c r="L1416" s="11" t="s">
        <v>797</v>
      </c>
      <c r="M1416" s="11"/>
      <c r="N1416" s="20"/>
      <c r="O1416" s="11"/>
      <c r="P1416" s="11"/>
      <c r="Q1416" s="11"/>
      <c r="R1416" s="11"/>
      <c r="S1416" s="11" t="s">
        <v>1181</v>
      </c>
      <c r="T1416" s="117"/>
    </row>
    <row r="1417" spans="1:57" x14ac:dyDescent="0.2">
      <c r="A1417" s="33"/>
      <c r="B1417" s="20"/>
      <c r="E1417" s="20" t="s">
        <v>1595</v>
      </c>
      <c r="F1417" s="9">
        <v>1</v>
      </c>
      <c r="G1417" s="278">
        <v>1</v>
      </c>
      <c r="H1417" s="9"/>
      <c r="I1417" s="9">
        <f t="shared" si="233"/>
        <v>2</v>
      </c>
      <c r="J1417" s="9"/>
      <c r="K1417" s="232" t="s">
        <v>27</v>
      </c>
      <c r="L1417" s="11" t="s">
        <v>797</v>
      </c>
      <c r="M1417" s="11"/>
      <c r="N1417" s="20"/>
      <c r="O1417" s="11"/>
      <c r="P1417" s="11"/>
      <c r="Q1417" s="11"/>
      <c r="R1417" s="11"/>
      <c r="S1417" s="11" t="s">
        <v>1181</v>
      </c>
      <c r="T1417" s="117"/>
    </row>
    <row r="1418" spans="1:57" x14ac:dyDescent="0.2">
      <c r="A1418" s="33"/>
      <c r="B1418" s="20"/>
      <c r="E1418" s="20" t="s">
        <v>24</v>
      </c>
      <c r="F1418" s="9">
        <v>1</v>
      </c>
      <c r="G1418" s="278">
        <v>1</v>
      </c>
      <c r="H1418" s="9"/>
      <c r="I1418" s="9">
        <f t="shared" si="233"/>
        <v>2</v>
      </c>
      <c r="J1418" s="9"/>
      <c r="K1418" s="232" t="s">
        <v>26</v>
      </c>
      <c r="L1418" s="11" t="s">
        <v>797</v>
      </c>
      <c r="M1418" s="11"/>
      <c r="N1418" s="20"/>
      <c r="O1418" s="11"/>
      <c r="P1418" s="11"/>
      <c r="Q1418" s="11"/>
      <c r="R1418" s="11"/>
      <c r="S1418" s="11" t="s">
        <v>1181</v>
      </c>
      <c r="T1418" s="117"/>
    </row>
    <row r="1419" spans="1:57" x14ac:dyDescent="0.2">
      <c r="A1419" s="33"/>
      <c r="B1419" s="20"/>
      <c r="E1419" s="20" t="s">
        <v>1596</v>
      </c>
      <c r="F1419" s="9">
        <v>1</v>
      </c>
      <c r="G1419" s="278">
        <v>1</v>
      </c>
      <c r="H1419" s="9"/>
      <c r="I1419" s="9">
        <f t="shared" si="233"/>
        <v>2</v>
      </c>
      <c r="J1419" s="9"/>
      <c r="K1419" s="232" t="s">
        <v>1267</v>
      </c>
      <c r="L1419" s="11" t="s">
        <v>797</v>
      </c>
      <c r="M1419" s="11"/>
      <c r="N1419" s="117"/>
      <c r="O1419" s="11"/>
      <c r="P1419" s="11"/>
      <c r="Q1419" s="11"/>
      <c r="R1419" s="11"/>
      <c r="S1419" s="11" t="s">
        <v>1181</v>
      </c>
      <c r="T1419" s="117"/>
    </row>
    <row r="1420" spans="1:57" x14ac:dyDescent="0.2">
      <c r="A1420" s="33"/>
      <c r="B1420" s="20"/>
      <c r="E1420" s="20" t="s">
        <v>1597</v>
      </c>
      <c r="F1420" s="9">
        <v>1</v>
      </c>
      <c r="G1420" s="278">
        <v>1</v>
      </c>
      <c r="H1420" s="9"/>
      <c r="I1420" s="9">
        <f t="shared" si="233"/>
        <v>2</v>
      </c>
      <c r="J1420" s="9"/>
      <c r="K1420" s="232" t="s">
        <v>1268</v>
      </c>
      <c r="L1420" s="11" t="s">
        <v>797</v>
      </c>
      <c r="M1420" s="11"/>
      <c r="N1420" s="20"/>
      <c r="O1420" s="11"/>
      <c r="P1420" s="11"/>
      <c r="Q1420" s="11"/>
      <c r="R1420" s="11"/>
      <c r="S1420" s="11" t="s">
        <v>1181</v>
      </c>
      <c r="T1420" s="117"/>
    </row>
    <row r="1421" spans="1:57" x14ac:dyDescent="0.2">
      <c r="A1421" s="33"/>
      <c r="B1421" s="20"/>
      <c r="E1421" s="20"/>
      <c r="F1421" s="9"/>
      <c r="G1421" s="278"/>
      <c r="H1421" s="9"/>
      <c r="I1421" s="9"/>
      <c r="J1421" s="9"/>
      <c r="K1421" s="232"/>
      <c r="L1421" s="20"/>
      <c r="M1421" s="20"/>
      <c r="N1421" s="20"/>
      <c r="O1421" s="11"/>
      <c r="P1421" s="128"/>
      <c r="Q1421" s="128"/>
      <c r="R1421" s="145"/>
      <c r="S1421" s="145"/>
      <c r="T1421" s="117"/>
    </row>
    <row r="1422" spans="1:57" x14ac:dyDescent="0.2">
      <c r="A1422" s="33"/>
      <c r="B1422" s="20"/>
      <c r="E1422" s="20" t="s">
        <v>1614</v>
      </c>
      <c r="F1422" s="9"/>
      <c r="G1422" s="9"/>
      <c r="H1422" s="9"/>
      <c r="I1422" s="9"/>
      <c r="J1422" s="9"/>
      <c r="K1422" s="94"/>
      <c r="L1422" s="20"/>
      <c r="M1422" s="20"/>
      <c r="N1422" s="20"/>
      <c r="O1422" s="11"/>
      <c r="P1422" s="128"/>
      <c r="Q1422" s="128"/>
      <c r="R1422" s="145"/>
      <c r="S1422" s="145"/>
      <c r="T1422" s="117"/>
    </row>
    <row r="1423" spans="1:57" x14ac:dyDescent="0.2">
      <c r="A1423" s="33"/>
      <c r="B1423" s="173" t="s">
        <v>802</v>
      </c>
      <c r="E1423" s="21"/>
      <c r="F1423" s="9">
        <f>SUM(F1399:F1422)</f>
        <v>22</v>
      </c>
      <c r="G1423" s="9">
        <f>SUM(G1399:G1422)</f>
        <v>20</v>
      </c>
      <c r="H1423" s="9"/>
      <c r="I1423" s="9">
        <f>SUM(I1399:I1422)</f>
        <v>40</v>
      </c>
      <c r="J1423" s="9"/>
      <c r="K1423" s="10"/>
      <c r="L1423" s="117"/>
      <c r="M1423" s="117"/>
      <c r="N1423" s="117"/>
      <c r="O1423" s="11"/>
      <c r="P1423" s="128"/>
      <c r="Q1423" s="128"/>
      <c r="R1423" s="145"/>
      <c r="S1423" s="145"/>
      <c r="T1423" s="117"/>
    </row>
    <row r="1424" spans="1:57" x14ac:dyDescent="0.2">
      <c r="A1424" s="33"/>
      <c r="B1424" s="13"/>
      <c r="C1424" s="46"/>
      <c r="D1424" s="48"/>
      <c r="E1424" s="48"/>
      <c r="F1424" s="48"/>
      <c r="G1424" s="48"/>
      <c r="H1424" s="48"/>
      <c r="I1424" s="48"/>
      <c r="J1424" s="48"/>
      <c r="K1424" s="49"/>
      <c r="L1424" s="49"/>
      <c r="M1424" s="49"/>
      <c r="N1424" s="49"/>
      <c r="O1424" s="32"/>
      <c r="P1424" s="29"/>
      <c r="Q1424" s="29"/>
      <c r="R1424" s="143"/>
      <c r="S1424" s="143"/>
      <c r="T1424" s="156"/>
    </row>
    <row r="1425" spans="1:20" x14ac:dyDescent="0.2">
      <c r="A1425" s="33"/>
      <c r="B1425" s="173" t="s">
        <v>801</v>
      </c>
      <c r="E1425" s="21"/>
      <c r="F1425" s="9"/>
      <c r="G1425" s="9"/>
      <c r="H1425" s="9"/>
      <c r="I1425" s="9"/>
      <c r="J1425" s="9"/>
      <c r="K1425" s="10"/>
      <c r="L1425" s="11"/>
      <c r="M1425" s="11"/>
      <c r="N1425" s="11"/>
      <c r="P1425" s="121"/>
      <c r="Q1425" s="121"/>
    </row>
    <row r="1426" spans="1:20" x14ac:dyDescent="0.2">
      <c r="A1426" s="33"/>
      <c r="B1426" s="8" t="s">
        <v>1266</v>
      </c>
      <c r="E1426" s="20" t="s">
        <v>924</v>
      </c>
      <c r="F1426" s="9">
        <v>96</v>
      </c>
      <c r="G1426" s="9">
        <f>G1423</f>
        <v>20</v>
      </c>
      <c r="H1426" s="9"/>
      <c r="I1426" s="9">
        <f>F1426*2*G1426</f>
        <v>3840</v>
      </c>
      <c r="J1426" s="9"/>
      <c r="K1426" s="10"/>
      <c r="L1426" s="11" t="s">
        <v>797</v>
      </c>
      <c r="M1426" s="11"/>
      <c r="N1426" s="11"/>
      <c r="O1426" s="11"/>
      <c r="P1426" s="128"/>
      <c r="Q1426" s="128"/>
      <c r="R1426" s="145"/>
      <c r="S1426" s="145"/>
      <c r="T1426" s="117"/>
    </row>
    <row r="1427" spans="1:20" x14ac:dyDescent="0.2">
      <c r="A1427" s="33"/>
      <c r="B1427" s="20" t="s">
        <v>803</v>
      </c>
      <c r="E1427" s="7"/>
      <c r="F1427" s="9"/>
      <c r="G1427" s="9"/>
      <c r="H1427" s="9"/>
      <c r="I1427" s="9"/>
      <c r="J1427" s="9"/>
      <c r="K1427" s="10"/>
      <c r="L1427" s="10"/>
      <c r="M1427" s="10"/>
      <c r="N1427" s="10"/>
      <c r="O1427" s="11"/>
      <c r="P1427" s="128"/>
      <c r="Q1427" s="128"/>
      <c r="R1427" s="145"/>
      <c r="S1427" s="145"/>
      <c r="T1427" s="117"/>
    </row>
    <row r="1428" spans="1:20" x14ac:dyDescent="0.2">
      <c r="A1428" s="33"/>
      <c r="B1428" s="52" t="s">
        <v>1483</v>
      </c>
      <c r="C1428" s="46"/>
      <c r="D1428" s="48"/>
      <c r="E1428" s="48"/>
      <c r="F1428" s="30" t="s">
        <v>487</v>
      </c>
      <c r="G1428" s="30" t="s">
        <v>488</v>
      </c>
      <c r="H1428" s="48"/>
      <c r="I1428" s="31" t="s">
        <v>489</v>
      </c>
      <c r="J1428" s="48"/>
      <c r="K1428" s="49"/>
      <c r="L1428" s="49"/>
      <c r="M1428" s="49"/>
      <c r="N1428" s="49"/>
      <c r="O1428" s="32"/>
      <c r="P1428" s="29"/>
      <c r="Q1428" s="29"/>
      <c r="R1428" s="143"/>
      <c r="S1428" s="143"/>
      <c r="T1428" s="156"/>
    </row>
    <row r="1429" spans="1:20" x14ac:dyDescent="0.2">
      <c r="A1429" s="33"/>
      <c r="B1429" s="173" t="s">
        <v>800</v>
      </c>
      <c r="E1429" s="21"/>
      <c r="F1429" s="9"/>
      <c r="G1429" s="9"/>
      <c r="H1429" s="9"/>
      <c r="I1429" s="9"/>
      <c r="J1429" s="9"/>
      <c r="K1429" s="10"/>
      <c r="L1429" s="11"/>
      <c r="M1429" s="11"/>
      <c r="N1429" s="11"/>
      <c r="O1429" s="11"/>
      <c r="P1429" s="123"/>
      <c r="Q1429" s="121"/>
      <c r="R1429" s="145"/>
      <c r="S1429" s="145"/>
      <c r="T1429" s="117"/>
    </row>
    <row r="1430" spans="1:20" x14ac:dyDescent="0.2">
      <c r="A1430" s="33"/>
      <c r="B1430" s="8"/>
      <c r="E1430" s="20" t="s">
        <v>1317</v>
      </c>
      <c r="F1430" s="9">
        <v>1</v>
      </c>
      <c r="G1430" s="9">
        <v>1</v>
      </c>
      <c r="H1430" s="9"/>
      <c r="I1430" s="9">
        <f>2*G1430</f>
        <v>2</v>
      </c>
      <c r="J1430" s="9"/>
      <c r="K1430" s="57" t="s">
        <v>1322</v>
      </c>
      <c r="L1430" s="11" t="s">
        <v>797</v>
      </c>
      <c r="M1430" s="11"/>
      <c r="N1430" s="11"/>
      <c r="O1430" s="11"/>
      <c r="P1430" s="11"/>
      <c r="Q1430" s="11"/>
      <c r="R1430" s="11"/>
      <c r="S1430" s="11" t="s">
        <v>1181</v>
      </c>
      <c r="T1430" s="117"/>
    </row>
    <row r="1431" spans="1:20" ht="11.25" customHeight="1" x14ac:dyDescent="0.2">
      <c r="A1431" s="33"/>
      <c r="B1431" s="8"/>
      <c r="E1431" s="20" t="s">
        <v>1318</v>
      </c>
      <c r="F1431" s="9">
        <v>1</v>
      </c>
      <c r="G1431" s="9">
        <v>1</v>
      </c>
      <c r="H1431" s="9"/>
      <c r="I1431" s="9">
        <f>2*G1431</f>
        <v>2</v>
      </c>
      <c r="J1431" s="9"/>
      <c r="K1431" s="10" t="s">
        <v>1323</v>
      </c>
      <c r="L1431" s="11" t="s">
        <v>797</v>
      </c>
      <c r="M1431" s="11"/>
      <c r="N1431" s="11"/>
      <c r="O1431" s="11"/>
      <c r="P1431" s="11"/>
      <c r="Q1431" s="11"/>
      <c r="R1431" s="11"/>
      <c r="S1431" s="11" t="s">
        <v>1181</v>
      </c>
      <c r="T1431" s="117"/>
    </row>
    <row r="1432" spans="1:20" ht="11.25" customHeight="1" x14ac:dyDescent="0.2">
      <c r="A1432" s="33"/>
      <c r="B1432" s="8"/>
      <c r="E1432" s="20"/>
      <c r="F1432" s="9"/>
      <c r="G1432" s="9"/>
      <c r="H1432" s="9"/>
      <c r="I1432" s="9"/>
      <c r="J1432" s="9"/>
      <c r="K1432" s="10"/>
      <c r="L1432" s="11"/>
      <c r="M1432" s="11"/>
      <c r="N1432" s="11"/>
      <c r="O1432" s="11"/>
      <c r="P1432" s="11"/>
      <c r="Q1432" s="11"/>
      <c r="R1432" s="11"/>
      <c r="S1432" s="11"/>
      <c r="T1432" s="117"/>
    </row>
    <row r="1433" spans="1:20" ht="11.25" customHeight="1" x14ac:dyDescent="0.2">
      <c r="A1433" s="33"/>
      <c r="B1433" s="20"/>
      <c r="E1433" s="20"/>
      <c r="F1433" s="9"/>
      <c r="G1433" s="9"/>
      <c r="H1433" s="9"/>
      <c r="I1433" s="9"/>
      <c r="J1433" s="9"/>
      <c r="K1433" s="165"/>
      <c r="L1433" s="11"/>
      <c r="M1433" s="11"/>
      <c r="N1433" s="10"/>
      <c r="O1433" s="11"/>
      <c r="P1433" s="11"/>
      <c r="Q1433" s="11"/>
      <c r="R1433" s="11"/>
      <c r="S1433" s="11"/>
      <c r="T1433" s="117"/>
    </row>
    <row r="1434" spans="1:20" ht="11.25" customHeight="1" x14ac:dyDescent="0.2">
      <c r="A1434" s="33"/>
      <c r="B1434" s="20"/>
      <c r="E1434" s="20"/>
      <c r="F1434" s="9"/>
      <c r="G1434" s="9"/>
      <c r="H1434" s="9"/>
      <c r="I1434" s="9"/>
      <c r="J1434" s="9"/>
      <c r="K1434" s="165"/>
      <c r="L1434" s="11"/>
      <c r="M1434" s="11"/>
      <c r="N1434" s="10"/>
      <c r="O1434" s="11"/>
      <c r="P1434" s="11"/>
      <c r="Q1434" s="11"/>
      <c r="R1434" s="11"/>
      <c r="S1434" s="11"/>
      <c r="T1434" s="117"/>
    </row>
    <row r="1435" spans="1:20" ht="11.25" customHeight="1" x14ac:dyDescent="0.2">
      <c r="A1435" s="33"/>
      <c r="B1435" s="8"/>
      <c r="E1435" s="20"/>
      <c r="F1435" s="9">
        <v>24</v>
      </c>
      <c r="G1435" s="9">
        <v>96</v>
      </c>
      <c r="H1435" s="9"/>
      <c r="I1435" s="9">
        <v>192</v>
      </c>
      <c r="J1435" s="9"/>
      <c r="K1435" s="10" t="s">
        <v>1573</v>
      </c>
      <c r="L1435" s="11" t="s">
        <v>797</v>
      </c>
      <c r="M1435" s="11"/>
      <c r="N1435" s="11"/>
      <c r="O1435" s="11"/>
      <c r="P1435" s="11"/>
      <c r="Q1435" s="11"/>
      <c r="R1435" s="11"/>
      <c r="S1435" s="11" t="s">
        <v>1181</v>
      </c>
      <c r="T1435" s="117"/>
    </row>
    <row r="1436" spans="1:20" ht="11.25" customHeight="1" x14ac:dyDescent="0.2">
      <c r="A1436" s="33"/>
      <c r="B1436" s="8"/>
      <c r="E1436" s="8" t="s">
        <v>1567</v>
      </c>
      <c r="F1436" s="9">
        <v>1</v>
      </c>
      <c r="G1436" s="9">
        <v>5</v>
      </c>
      <c r="H1436" s="9"/>
      <c r="I1436" s="9"/>
      <c r="J1436" s="9"/>
      <c r="K1436" s="10"/>
      <c r="L1436" s="11" t="s">
        <v>797</v>
      </c>
      <c r="M1436" s="11"/>
      <c r="N1436" s="314"/>
      <c r="O1436" s="11"/>
      <c r="P1436" s="11"/>
      <c r="Q1436" s="11"/>
      <c r="R1436" s="11"/>
      <c r="S1436" s="11" t="s">
        <v>1181</v>
      </c>
      <c r="T1436" s="314"/>
    </row>
    <row r="1437" spans="1:20" ht="11.25" customHeight="1" x14ac:dyDescent="0.2">
      <c r="A1437" s="33"/>
      <c r="B1437" s="8"/>
      <c r="E1437" s="8" t="s">
        <v>1568</v>
      </c>
      <c r="F1437" s="9">
        <v>1</v>
      </c>
      <c r="G1437" s="9">
        <v>5</v>
      </c>
      <c r="H1437" s="9"/>
      <c r="I1437" s="9"/>
      <c r="J1437" s="9"/>
      <c r="K1437" s="10"/>
      <c r="L1437" s="11" t="s">
        <v>797</v>
      </c>
      <c r="M1437" s="11"/>
      <c r="N1437" s="11"/>
      <c r="O1437" s="11"/>
      <c r="P1437" s="11"/>
      <c r="Q1437" s="11"/>
      <c r="R1437" s="11"/>
      <c r="S1437" s="11" t="s">
        <v>1181</v>
      </c>
      <c r="T1437" s="117"/>
    </row>
    <row r="1438" spans="1:20" ht="11.25" customHeight="1" x14ac:dyDescent="0.2">
      <c r="A1438" s="33"/>
      <c r="B1438" s="8"/>
      <c r="E1438" s="8" t="s">
        <v>1962</v>
      </c>
      <c r="F1438" s="9">
        <v>1</v>
      </c>
      <c r="G1438" s="9" t="s">
        <v>1965</v>
      </c>
      <c r="H1438" s="9"/>
      <c r="I1438" s="9"/>
      <c r="J1438" s="9"/>
      <c r="K1438" s="10"/>
      <c r="L1438" s="11"/>
      <c r="M1438" s="11"/>
      <c r="N1438" s="314"/>
      <c r="O1438" s="11"/>
      <c r="P1438" s="11"/>
      <c r="Q1438" s="11"/>
      <c r="R1438" s="11"/>
      <c r="S1438" s="11"/>
      <c r="T1438" s="314"/>
    </row>
    <row r="1439" spans="1:20" ht="11.25" customHeight="1" x14ac:dyDescent="0.2">
      <c r="A1439" s="33"/>
      <c r="B1439" s="8"/>
      <c r="E1439" s="8" t="s">
        <v>1948</v>
      </c>
      <c r="F1439" s="9">
        <v>0.5</v>
      </c>
      <c r="G1439" s="9">
        <v>8</v>
      </c>
      <c r="H1439" s="9"/>
      <c r="I1439" s="9"/>
      <c r="J1439" s="9"/>
      <c r="K1439" s="10"/>
      <c r="L1439" s="11"/>
      <c r="M1439" s="11"/>
      <c r="N1439" s="314"/>
      <c r="O1439" s="11"/>
      <c r="P1439" s="11"/>
      <c r="Q1439" s="11"/>
      <c r="R1439" s="11"/>
      <c r="S1439" s="11"/>
      <c r="T1439" s="314"/>
    </row>
    <row r="1440" spans="1:20" ht="11.25" customHeight="1" x14ac:dyDescent="0.2">
      <c r="A1440" s="33"/>
      <c r="B1440" s="8"/>
      <c r="E1440" s="8" t="s">
        <v>1949</v>
      </c>
      <c r="F1440" s="9">
        <v>0.5</v>
      </c>
      <c r="G1440" s="9">
        <v>8</v>
      </c>
      <c r="H1440" s="9"/>
      <c r="I1440" s="9"/>
      <c r="J1440" s="9"/>
      <c r="K1440" s="10"/>
      <c r="L1440" s="11"/>
      <c r="M1440" s="11"/>
      <c r="N1440" s="314"/>
      <c r="O1440" s="11"/>
      <c r="P1440" s="11"/>
      <c r="Q1440" s="11"/>
      <c r="R1440" s="11"/>
      <c r="S1440" s="11"/>
      <c r="T1440" s="314"/>
    </row>
    <row r="1441" spans="1:20" ht="11.25" customHeight="1" x14ac:dyDescent="0.2">
      <c r="A1441" s="33"/>
      <c r="B1441" s="8"/>
      <c r="E1441" s="8" t="s">
        <v>1569</v>
      </c>
      <c r="F1441" s="9">
        <v>1</v>
      </c>
      <c r="G1441" s="9">
        <v>9</v>
      </c>
      <c r="H1441" s="9"/>
      <c r="I1441" s="9"/>
      <c r="J1441" s="9"/>
      <c r="K1441" s="10"/>
      <c r="L1441" s="11" t="s">
        <v>797</v>
      </c>
      <c r="M1441" s="11"/>
      <c r="N1441" s="314"/>
      <c r="O1441" s="11"/>
      <c r="P1441" s="11"/>
      <c r="Q1441" s="11"/>
      <c r="R1441" s="11"/>
      <c r="S1441" s="11" t="s">
        <v>1181</v>
      </c>
      <c r="T1441" s="314"/>
    </row>
    <row r="1442" spans="1:20" ht="11.25" customHeight="1" x14ac:dyDescent="0.2">
      <c r="A1442" s="33"/>
      <c r="B1442" s="8"/>
      <c r="E1442" s="8" t="s">
        <v>1570</v>
      </c>
      <c r="F1442" s="9">
        <v>1</v>
      </c>
      <c r="G1442" s="9">
        <v>9</v>
      </c>
      <c r="H1442" s="9"/>
      <c r="I1442" s="9"/>
      <c r="J1442" s="9"/>
      <c r="K1442" s="10"/>
      <c r="L1442" s="11" t="s">
        <v>797</v>
      </c>
      <c r="M1442" s="11"/>
      <c r="N1442" s="11"/>
      <c r="O1442" s="11"/>
      <c r="P1442" s="11"/>
      <c r="Q1442" s="11"/>
      <c r="R1442" s="11"/>
      <c r="S1442" s="11" t="s">
        <v>1181</v>
      </c>
      <c r="T1442" s="117"/>
    </row>
    <row r="1443" spans="1:20" ht="11.25" customHeight="1" x14ac:dyDescent="0.2">
      <c r="A1443" s="33"/>
      <c r="B1443" s="8"/>
      <c r="E1443" s="8" t="s">
        <v>1961</v>
      </c>
      <c r="F1443" s="9">
        <v>1</v>
      </c>
      <c r="G1443" s="9" t="s">
        <v>1966</v>
      </c>
      <c r="H1443" s="9"/>
      <c r="I1443" s="9"/>
      <c r="J1443" s="9"/>
      <c r="K1443" s="10"/>
      <c r="L1443" s="11"/>
      <c r="M1443" s="11"/>
      <c r="N1443" s="11"/>
      <c r="O1443" s="11"/>
      <c r="P1443" s="11"/>
      <c r="Q1443" s="11"/>
      <c r="R1443" s="11"/>
      <c r="S1443" s="11"/>
      <c r="T1443" s="117"/>
    </row>
    <row r="1444" spans="1:20" ht="11.25" customHeight="1" x14ac:dyDescent="0.2">
      <c r="A1444" s="33"/>
      <c r="B1444" s="8"/>
      <c r="E1444" s="8" t="s">
        <v>1950</v>
      </c>
      <c r="F1444" s="9">
        <v>0.5</v>
      </c>
      <c r="G1444" s="9">
        <v>12</v>
      </c>
      <c r="H1444" s="9"/>
      <c r="I1444" s="9"/>
      <c r="J1444" s="9"/>
      <c r="K1444" s="10"/>
      <c r="L1444" s="11"/>
      <c r="M1444" s="11"/>
      <c r="N1444" s="314"/>
      <c r="O1444" s="11"/>
      <c r="P1444" s="11"/>
      <c r="Q1444" s="11"/>
      <c r="R1444" s="11"/>
      <c r="S1444" s="11"/>
      <c r="T1444" s="314"/>
    </row>
    <row r="1445" spans="1:20" ht="11.25" customHeight="1" x14ac:dyDescent="0.2">
      <c r="A1445" s="33"/>
      <c r="B1445" s="8"/>
      <c r="E1445" s="8" t="s">
        <v>1951</v>
      </c>
      <c r="F1445" s="9">
        <v>0.5</v>
      </c>
      <c r="G1445" s="9">
        <v>12</v>
      </c>
      <c r="H1445" s="9"/>
      <c r="I1445" s="9"/>
      <c r="J1445" s="9"/>
      <c r="K1445" s="10"/>
      <c r="L1445" s="11"/>
      <c r="M1445" s="11"/>
      <c r="N1445" s="314"/>
      <c r="O1445" s="11"/>
      <c r="P1445" s="11"/>
      <c r="Q1445" s="11"/>
      <c r="R1445" s="11"/>
      <c r="S1445" s="11"/>
      <c r="T1445" s="314"/>
    </row>
    <row r="1446" spans="1:20" ht="12.75" x14ac:dyDescent="0.2">
      <c r="A1446" s="33"/>
      <c r="B1446" s="8"/>
      <c r="E1446" s="8" t="s">
        <v>1571</v>
      </c>
      <c r="F1446" s="9">
        <v>1</v>
      </c>
      <c r="G1446" s="9">
        <v>97</v>
      </c>
      <c r="H1446" s="9"/>
      <c r="I1446" s="9"/>
      <c r="J1446" s="9"/>
      <c r="K1446" s="10"/>
      <c r="L1446" s="11" t="s">
        <v>797</v>
      </c>
      <c r="M1446" s="11"/>
      <c r="N1446" s="314"/>
      <c r="O1446" s="11"/>
      <c r="P1446" s="11"/>
      <c r="Q1446" s="11"/>
      <c r="R1446" s="11"/>
      <c r="S1446" s="11" t="s">
        <v>1181</v>
      </c>
      <c r="T1446" s="314"/>
    </row>
    <row r="1447" spans="1:20" ht="11.25" customHeight="1" x14ac:dyDescent="0.2">
      <c r="A1447" s="33"/>
      <c r="B1447" s="8"/>
      <c r="E1447" s="8" t="s">
        <v>1572</v>
      </c>
      <c r="F1447" s="9">
        <v>1</v>
      </c>
      <c r="G1447" s="9">
        <v>97</v>
      </c>
      <c r="H1447" s="9"/>
      <c r="I1447" s="9"/>
      <c r="J1447" s="9"/>
      <c r="K1447" s="10"/>
      <c r="L1447" s="11" t="s">
        <v>797</v>
      </c>
      <c r="M1447" s="11"/>
      <c r="N1447" s="11"/>
      <c r="O1447" s="11"/>
      <c r="P1447" s="11"/>
      <c r="Q1447" s="11"/>
      <c r="R1447" s="11"/>
      <c r="S1447" s="11" t="s">
        <v>1181</v>
      </c>
      <c r="T1447" s="117"/>
    </row>
    <row r="1448" spans="1:20" ht="11.25" customHeight="1" x14ac:dyDescent="0.2">
      <c r="A1448" s="33"/>
      <c r="B1448" s="8"/>
      <c r="E1448" s="8" t="s">
        <v>1889</v>
      </c>
      <c r="F1448" s="9">
        <v>1</v>
      </c>
      <c r="G1448" s="424" t="s">
        <v>1967</v>
      </c>
      <c r="H1448" s="9"/>
      <c r="I1448" s="9"/>
      <c r="J1448" s="9"/>
      <c r="K1448" s="10"/>
      <c r="L1448" s="11" t="s">
        <v>797</v>
      </c>
      <c r="M1448" s="11"/>
      <c r="N1448" s="314"/>
      <c r="O1448" s="11"/>
      <c r="P1448" s="11"/>
      <c r="Q1448" s="11"/>
      <c r="R1448" s="11"/>
      <c r="S1448" s="11" t="s">
        <v>1181</v>
      </c>
      <c r="T1448" s="314"/>
    </row>
    <row r="1449" spans="1:20" ht="11.25" customHeight="1" x14ac:dyDescent="0.2">
      <c r="A1449" s="33"/>
      <c r="B1449" s="8"/>
      <c r="E1449" s="8" t="s">
        <v>1953</v>
      </c>
      <c r="F1449" s="9">
        <v>0.5</v>
      </c>
      <c r="G1449" s="9">
        <v>100</v>
      </c>
      <c r="H1449" s="9"/>
      <c r="I1449" s="9"/>
      <c r="J1449" s="9"/>
      <c r="K1449" s="10"/>
      <c r="L1449" s="11"/>
      <c r="M1449" s="11"/>
      <c r="N1449" s="314"/>
      <c r="O1449" s="11"/>
      <c r="P1449" s="11"/>
      <c r="Q1449" s="11"/>
      <c r="R1449" s="11"/>
      <c r="S1449" s="11"/>
      <c r="T1449" s="314"/>
    </row>
    <row r="1450" spans="1:20" ht="11.25" customHeight="1" x14ac:dyDescent="0.2">
      <c r="A1450" s="33"/>
      <c r="B1450" s="8"/>
      <c r="E1450" s="8" t="s">
        <v>1952</v>
      </c>
      <c r="F1450" s="9">
        <v>0.5</v>
      </c>
      <c r="G1450" s="9">
        <v>100</v>
      </c>
      <c r="H1450" s="9"/>
      <c r="I1450" s="9"/>
      <c r="J1450" s="9"/>
      <c r="K1450" s="10"/>
      <c r="L1450" s="11"/>
      <c r="M1450" s="11"/>
      <c r="N1450" s="314"/>
      <c r="O1450" s="11"/>
      <c r="P1450" s="11"/>
      <c r="Q1450" s="11"/>
      <c r="R1450" s="11"/>
      <c r="S1450" s="11"/>
      <c r="T1450" s="314"/>
    </row>
    <row r="1451" spans="1:20" ht="11.25" customHeight="1" x14ac:dyDescent="0.2">
      <c r="A1451" s="33"/>
      <c r="B1451" s="8"/>
      <c r="E1451" s="20"/>
      <c r="F1451" s="9"/>
      <c r="G1451" s="9"/>
      <c r="H1451" s="9"/>
      <c r="I1451" s="17"/>
      <c r="J1451" s="9"/>
      <c r="K1451" s="10"/>
      <c r="L1451" s="11"/>
      <c r="M1451" s="11"/>
      <c r="N1451" s="11"/>
      <c r="O1451" s="11"/>
      <c r="P1451" s="123"/>
      <c r="Q1451" s="121"/>
      <c r="R1451" s="145"/>
      <c r="S1451" s="145"/>
      <c r="T1451" s="117"/>
    </row>
    <row r="1452" spans="1:20" ht="11.25" customHeight="1" x14ac:dyDescent="0.2">
      <c r="A1452" s="33"/>
      <c r="B1452" s="173" t="s">
        <v>802</v>
      </c>
      <c r="E1452" s="7"/>
      <c r="F1452" s="9">
        <f>SUM(F1430:F1435)</f>
        <v>26</v>
      </c>
      <c r="G1452" s="9">
        <v>100</v>
      </c>
      <c r="H1452" s="9"/>
      <c r="I1452" s="9">
        <v>200</v>
      </c>
      <c r="J1452" s="9"/>
      <c r="K1452" s="10"/>
      <c r="L1452" s="10"/>
      <c r="M1452" s="10"/>
      <c r="N1452" s="10"/>
      <c r="O1452" s="11"/>
      <c r="P1452" s="34"/>
      <c r="Q1452" s="34"/>
      <c r="R1452" s="145"/>
      <c r="S1452" s="145"/>
      <c r="T1452" s="117"/>
    </row>
    <row r="1453" spans="1:20" ht="11.25" customHeight="1" x14ac:dyDescent="0.2">
      <c r="A1453" s="33"/>
      <c r="B1453" s="13"/>
      <c r="C1453" s="46"/>
      <c r="D1453" s="48"/>
      <c r="E1453" s="48"/>
      <c r="F1453" s="48"/>
      <c r="G1453" s="48"/>
      <c r="H1453" s="48"/>
      <c r="I1453" s="48"/>
      <c r="J1453" s="48"/>
      <c r="K1453" s="49"/>
      <c r="L1453" s="49"/>
      <c r="M1453" s="49"/>
      <c r="N1453" s="49"/>
      <c r="O1453" s="32"/>
      <c r="P1453" s="29"/>
      <c r="Q1453" s="29"/>
      <c r="R1453" s="143"/>
      <c r="S1453" s="143"/>
      <c r="T1453" s="156"/>
    </row>
    <row r="1454" spans="1:20" ht="11.25" customHeight="1" x14ac:dyDescent="0.2">
      <c r="A1454" s="33"/>
      <c r="B1454" s="173" t="s">
        <v>801</v>
      </c>
      <c r="E1454" s="7"/>
      <c r="F1454" s="9"/>
      <c r="G1454" s="9"/>
      <c r="H1454" s="9"/>
      <c r="I1454" s="9"/>
      <c r="J1454" s="9"/>
      <c r="K1454" s="10"/>
      <c r="L1454" s="11"/>
      <c r="M1454" s="11"/>
      <c r="N1454" s="11"/>
      <c r="O1454" s="11"/>
      <c r="P1454" s="120"/>
      <c r="Q1454" s="120"/>
      <c r="R1454" s="145"/>
      <c r="S1454" s="145"/>
      <c r="T1454" s="117"/>
    </row>
    <row r="1455" spans="1:20" ht="11.25" customHeight="1" x14ac:dyDescent="0.2">
      <c r="A1455" s="33"/>
      <c r="B1455" s="8" t="s">
        <v>799</v>
      </c>
      <c r="E1455" s="20" t="s">
        <v>18</v>
      </c>
      <c r="F1455" s="9">
        <v>16</v>
      </c>
      <c r="G1455" s="9">
        <f>G1452 * F1455</f>
        <v>1600</v>
      </c>
      <c r="H1455" s="9"/>
      <c r="I1455" s="9">
        <f>F1455*I1452</f>
        <v>3200</v>
      </c>
      <c r="J1455" s="9"/>
      <c r="K1455" s="10"/>
      <c r="L1455" s="11" t="s">
        <v>797</v>
      </c>
      <c r="M1455" s="11"/>
      <c r="N1455" s="11"/>
      <c r="O1455" s="11"/>
      <c r="P1455" s="120"/>
      <c r="Q1455" s="49"/>
      <c r="R1455" s="144"/>
      <c r="S1455" s="144"/>
      <c r="T1455" s="117"/>
    </row>
    <row r="1456" spans="1:20" ht="11.25" customHeight="1" x14ac:dyDescent="0.2">
      <c r="A1456" s="33"/>
      <c r="B1456" s="20" t="s">
        <v>803</v>
      </c>
      <c r="E1456" s="7"/>
      <c r="F1456" s="9"/>
      <c r="G1456" s="9"/>
      <c r="H1456" s="9"/>
      <c r="I1456" s="9"/>
      <c r="J1456" s="9"/>
      <c r="K1456" s="10"/>
      <c r="L1456" s="10"/>
      <c r="M1456" s="10"/>
      <c r="N1456" s="10"/>
      <c r="O1456" s="11"/>
      <c r="P1456" s="120"/>
      <c r="Q1456" s="49"/>
      <c r="R1456" s="145"/>
      <c r="S1456" s="145"/>
      <c r="T1456" s="117"/>
    </row>
    <row r="1457" spans="1:20" ht="11.25" customHeight="1" x14ac:dyDescent="0.2">
      <c r="A1457" s="33"/>
      <c r="B1457" s="52" t="s">
        <v>1828</v>
      </c>
      <c r="C1457" s="30"/>
      <c r="D1457" s="31"/>
      <c r="E1457" s="53"/>
      <c r="F1457" s="31"/>
      <c r="G1457" s="31"/>
      <c r="H1457" s="31"/>
      <c r="I1457" s="31"/>
      <c r="J1457" s="31"/>
      <c r="K1457" s="29"/>
      <c r="L1457" s="29"/>
      <c r="M1457" s="29"/>
      <c r="N1457" s="29"/>
      <c r="O1457" s="109"/>
      <c r="P1457" s="34"/>
      <c r="Q1457" s="34"/>
      <c r="R1457" s="149"/>
      <c r="S1457" s="149"/>
      <c r="T1457" s="160"/>
    </row>
    <row r="1458" spans="1:20" x14ac:dyDescent="0.2">
      <c r="A1458" s="33"/>
      <c r="B1458" s="173" t="s">
        <v>800</v>
      </c>
      <c r="C1458" s="364"/>
      <c r="D1458" s="365"/>
      <c r="E1458" s="366"/>
      <c r="F1458" s="365"/>
      <c r="G1458" s="365"/>
      <c r="H1458" s="365"/>
      <c r="I1458" s="365"/>
      <c r="J1458" s="365"/>
      <c r="K1458" s="136"/>
      <c r="L1458" s="136"/>
      <c r="M1458" s="136"/>
      <c r="N1458" s="136"/>
      <c r="O1458" s="357"/>
      <c r="P1458" s="136"/>
      <c r="Q1458" s="136"/>
      <c r="R1458" s="358"/>
      <c r="S1458" s="358"/>
    </row>
    <row r="1459" spans="1:20" x14ac:dyDescent="0.2">
      <c r="A1459" s="33"/>
      <c r="B1459" s="173"/>
      <c r="E1459" s="373" t="s">
        <v>45</v>
      </c>
      <c r="F1459" s="368">
        <v>1</v>
      </c>
      <c r="G1459" s="368">
        <v>0.5</v>
      </c>
      <c r="H1459" s="368"/>
      <c r="I1459" s="368">
        <f t="shared" ref="I1459:I1470" si="234">F1459*2*G1459</f>
        <v>1</v>
      </c>
      <c r="J1459" s="368"/>
      <c r="K1459" s="369" t="s">
        <v>1831</v>
      </c>
      <c r="L1459" s="11" t="s">
        <v>797</v>
      </c>
      <c r="M1459" s="11"/>
      <c r="N1459" s="136"/>
      <c r="O1459" s="357"/>
      <c r="P1459" s="136"/>
      <c r="Q1459" s="136"/>
      <c r="R1459" s="11"/>
      <c r="S1459" s="11" t="s">
        <v>1181</v>
      </c>
      <c r="T1459" s="359"/>
    </row>
    <row r="1460" spans="1:20" x14ac:dyDescent="0.2">
      <c r="A1460" s="33"/>
      <c r="B1460" s="173"/>
      <c r="E1460" s="373" t="s">
        <v>486</v>
      </c>
      <c r="F1460" s="368">
        <v>1</v>
      </c>
      <c r="G1460" s="368">
        <v>0.5</v>
      </c>
      <c r="H1460" s="368"/>
      <c r="I1460" s="368">
        <f t="shared" si="234"/>
        <v>1</v>
      </c>
      <c r="J1460" s="368"/>
      <c r="K1460" s="369" t="s">
        <v>1832</v>
      </c>
      <c r="L1460" s="11" t="s">
        <v>797</v>
      </c>
      <c r="M1460" s="11"/>
      <c r="N1460" s="136"/>
      <c r="O1460" s="357"/>
      <c r="P1460" s="136"/>
      <c r="Q1460" s="136"/>
      <c r="R1460" s="11"/>
      <c r="S1460" s="11" t="s">
        <v>1181</v>
      </c>
      <c r="T1460" s="359"/>
    </row>
    <row r="1461" spans="1:20" ht="11.25" customHeight="1" x14ac:dyDescent="0.2">
      <c r="A1461" s="33"/>
      <c r="B1461" s="20"/>
      <c r="E1461" s="373" t="s">
        <v>1872</v>
      </c>
      <c r="F1461" s="368">
        <v>1</v>
      </c>
      <c r="G1461" s="368">
        <v>0.5</v>
      </c>
      <c r="H1461" s="368"/>
      <c r="I1461" s="368">
        <v>1</v>
      </c>
      <c r="J1461" s="368"/>
      <c r="K1461" s="369" t="s">
        <v>1871</v>
      </c>
      <c r="L1461" s="11" t="s">
        <v>797</v>
      </c>
      <c r="M1461" s="11"/>
      <c r="N1461" s="10"/>
      <c r="O1461" s="11"/>
      <c r="P1461" s="11"/>
      <c r="Q1461" s="11"/>
      <c r="R1461" s="11"/>
      <c r="S1461" s="11" t="s">
        <v>1181</v>
      </c>
      <c r="T1461" s="117"/>
    </row>
    <row r="1462" spans="1:20" ht="11.25" customHeight="1" x14ac:dyDescent="0.2">
      <c r="A1462" s="33"/>
      <c r="B1462" s="20"/>
      <c r="E1462" s="373" t="s">
        <v>1873</v>
      </c>
      <c r="F1462" s="368">
        <v>1</v>
      </c>
      <c r="G1462" s="368">
        <v>0.5</v>
      </c>
      <c r="H1462" s="368"/>
      <c r="I1462" s="368">
        <v>1</v>
      </c>
      <c r="J1462" s="368"/>
      <c r="K1462" s="369" t="s">
        <v>1866</v>
      </c>
      <c r="L1462" s="11" t="s">
        <v>797</v>
      </c>
      <c r="M1462" s="11"/>
      <c r="N1462" s="10"/>
      <c r="O1462" s="11"/>
      <c r="P1462" s="11"/>
      <c r="Q1462" s="11"/>
      <c r="R1462" s="11"/>
      <c r="S1462" s="11" t="s">
        <v>1181</v>
      </c>
      <c r="T1462" s="117"/>
    </row>
    <row r="1463" spans="1:20" ht="11.25" customHeight="1" x14ac:dyDescent="0.2">
      <c r="A1463" s="33"/>
      <c r="B1463" s="173"/>
      <c r="E1463" s="373" t="s">
        <v>1761</v>
      </c>
      <c r="F1463" s="368">
        <v>1</v>
      </c>
      <c r="G1463" s="368">
        <v>2</v>
      </c>
      <c r="H1463" s="368"/>
      <c r="I1463" s="368">
        <f t="shared" si="234"/>
        <v>4</v>
      </c>
      <c r="J1463" s="368"/>
      <c r="K1463" s="374" t="s">
        <v>639</v>
      </c>
      <c r="L1463" s="11" t="s">
        <v>797</v>
      </c>
      <c r="M1463" s="11"/>
      <c r="N1463" s="136"/>
      <c r="O1463" s="357"/>
      <c r="P1463" s="136"/>
      <c r="Q1463" s="136"/>
      <c r="R1463" s="11"/>
      <c r="S1463" s="11" t="s">
        <v>1181</v>
      </c>
    </row>
    <row r="1464" spans="1:20" ht="11.25" customHeight="1" x14ac:dyDescent="0.2">
      <c r="A1464" s="33"/>
      <c r="B1464" s="173"/>
      <c r="E1464" s="373" t="s">
        <v>1762</v>
      </c>
      <c r="F1464" s="368">
        <v>1</v>
      </c>
      <c r="G1464" s="368">
        <v>1</v>
      </c>
      <c r="H1464" s="368"/>
      <c r="I1464" s="368">
        <f t="shared" si="234"/>
        <v>2</v>
      </c>
      <c r="J1464" s="368"/>
      <c r="K1464" s="374" t="s">
        <v>2038</v>
      </c>
      <c r="L1464" s="11" t="s">
        <v>797</v>
      </c>
      <c r="M1464" s="11"/>
      <c r="N1464" s="136"/>
      <c r="O1464" s="357"/>
      <c r="P1464" s="136"/>
      <c r="Q1464" s="136"/>
      <c r="R1464" s="11"/>
      <c r="S1464" s="11" t="s">
        <v>1181</v>
      </c>
    </row>
    <row r="1465" spans="1:20" ht="11.25" customHeight="1" x14ac:dyDescent="0.2">
      <c r="A1465" s="33"/>
      <c r="B1465" s="173"/>
      <c r="E1465" s="373" t="s">
        <v>1859</v>
      </c>
      <c r="F1465" s="368">
        <v>1</v>
      </c>
      <c r="G1465" s="368">
        <v>1</v>
      </c>
      <c r="H1465" s="368"/>
      <c r="I1465" s="368">
        <f t="shared" si="234"/>
        <v>2</v>
      </c>
      <c r="J1465" s="368"/>
      <c r="K1465" s="374" t="s">
        <v>1858</v>
      </c>
      <c r="L1465" s="11" t="s">
        <v>797</v>
      </c>
      <c r="M1465" s="11"/>
      <c r="N1465" s="136"/>
      <c r="O1465" s="357"/>
      <c r="P1465" s="136"/>
      <c r="Q1465" s="136"/>
      <c r="R1465" s="11"/>
      <c r="S1465" s="11" t="s">
        <v>1181</v>
      </c>
    </row>
    <row r="1466" spans="1:20" ht="11.25" customHeight="1" x14ac:dyDescent="0.2">
      <c r="A1466" s="33"/>
      <c r="B1466" s="173"/>
      <c r="E1466" s="373" t="s">
        <v>670</v>
      </c>
      <c r="F1466" s="368">
        <v>1</v>
      </c>
      <c r="G1466" s="368">
        <v>1</v>
      </c>
      <c r="H1466" s="368"/>
      <c r="I1466" s="368">
        <f t="shared" si="234"/>
        <v>2</v>
      </c>
      <c r="J1466" s="368"/>
      <c r="K1466" s="374" t="s">
        <v>1835</v>
      </c>
      <c r="L1466" s="11" t="s">
        <v>797</v>
      </c>
      <c r="M1466" s="11"/>
      <c r="N1466" s="136"/>
      <c r="O1466" s="357"/>
      <c r="P1466" s="136"/>
      <c r="Q1466" s="136"/>
      <c r="R1466" s="11"/>
      <c r="S1466" s="11" t="s">
        <v>1181</v>
      </c>
    </row>
    <row r="1467" spans="1:20" ht="11.25" customHeight="1" x14ac:dyDescent="0.2">
      <c r="A1467" s="33"/>
      <c r="B1467" s="173"/>
      <c r="E1467" s="373" t="s">
        <v>717</v>
      </c>
      <c r="F1467" s="368">
        <v>1</v>
      </c>
      <c r="G1467" s="368">
        <v>1</v>
      </c>
      <c r="H1467" s="368"/>
      <c r="I1467" s="368">
        <f t="shared" si="234"/>
        <v>2</v>
      </c>
      <c r="J1467" s="368"/>
      <c r="K1467" s="374" t="s">
        <v>505</v>
      </c>
      <c r="L1467" s="11" t="s">
        <v>797</v>
      </c>
      <c r="M1467" s="11"/>
      <c r="N1467" s="136"/>
      <c r="O1467" s="357"/>
      <c r="P1467" s="136"/>
      <c r="Q1467" s="136"/>
      <c r="R1467" s="11"/>
      <c r="S1467" s="11" t="s">
        <v>1181</v>
      </c>
    </row>
    <row r="1468" spans="1:20" ht="11.25" customHeight="1" x14ac:dyDescent="0.2">
      <c r="A1468" s="33"/>
      <c r="B1468" s="173"/>
      <c r="E1468" s="373" t="s">
        <v>1763</v>
      </c>
      <c r="F1468" s="368">
        <v>1</v>
      </c>
      <c r="G1468" s="368">
        <v>1</v>
      </c>
      <c r="H1468" s="368"/>
      <c r="I1468" s="368">
        <f t="shared" si="234"/>
        <v>2</v>
      </c>
      <c r="J1468" s="368"/>
      <c r="K1468" s="374" t="s">
        <v>1836</v>
      </c>
      <c r="L1468" s="11" t="s">
        <v>797</v>
      </c>
      <c r="M1468" s="11"/>
      <c r="N1468" s="136"/>
      <c r="O1468" s="357"/>
      <c r="P1468" s="136"/>
      <c r="Q1468" s="136"/>
      <c r="R1468" s="11"/>
      <c r="S1468" s="11" t="s">
        <v>1181</v>
      </c>
    </row>
    <row r="1469" spans="1:20" ht="11.25" customHeight="1" x14ac:dyDescent="0.2">
      <c r="A1469" s="33"/>
      <c r="B1469" s="173"/>
      <c r="E1469" s="373" t="s">
        <v>1829</v>
      </c>
      <c r="F1469" s="368">
        <v>1</v>
      </c>
      <c r="G1469" s="368">
        <v>1</v>
      </c>
      <c r="H1469" s="368"/>
      <c r="I1469" s="368">
        <f t="shared" si="234"/>
        <v>2</v>
      </c>
      <c r="J1469" s="368"/>
      <c r="K1469" s="374" t="s">
        <v>1837</v>
      </c>
      <c r="L1469" s="11" t="s">
        <v>797</v>
      </c>
      <c r="M1469" s="11"/>
      <c r="N1469" s="136"/>
      <c r="O1469" s="357"/>
      <c r="P1469" s="136"/>
      <c r="Q1469" s="136"/>
      <c r="R1469" s="11"/>
      <c r="S1469" s="11" t="s">
        <v>1181</v>
      </c>
    </row>
    <row r="1470" spans="1:20" ht="11.25" customHeight="1" x14ac:dyDescent="0.2">
      <c r="A1470" s="33"/>
      <c r="B1470" s="173"/>
      <c r="E1470" s="373" t="s">
        <v>661</v>
      </c>
      <c r="F1470" s="368">
        <v>1</v>
      </c>
      <c r="G1470" s="368">
        <v>1</v>
      </c>
      <c r="H1470" s="368"/>
      <c r="I1470" s="368">
        <f t="shared" si="234"/>
        <v>2</v>
      </c>
      <c r="J1470" s="368"/>
      <c r="K1470" s="374" t="s">
        <v>1838</v>
      </c>
      <c r="L1470" s="11" t="s">
        <v>797</v>
      </c>
      <c r="M1470" s="11"/>
      <c r="N1470" s="136"/>
      <c r="O1470" s="357"/>
      <c r="P1470" s="136"/>
      <c r="Q1470" s="136"/>
      <c r="R1470" s="11"/>
      <c r="S1470" s="11" t="s">
        <v>1181</v>
      </c>
    </row>
    <row r="1471" spans="1:20" ht="11.25" customHeight="1" x14ac:dyDescent="0.2">
      <c r="A1471" s="33"/>
      <c r="B1471" s="173"/>
      <c r="E1471" s="373" t="s">
        <v>662</v>
      </c>
      <c r="F1471" s="368">
        <v>1</v>
      </c>
      <c r="G1471" s="368">
        <v>1</v>
      </c>
      <c r="H1471" s="368"/>
      <c r="I1471" s="368">
        <f t="shared" ref="I1471:I1477" si="235">F1471*2*G1471</f>
        <v>2</v>
      </c>
      <c r="J1471" s="368"/>
      <c r="K1471" s="374" t="s">
        <v>1839</v>
      </c>
      <c r="L1471" s="11" t="s">
        <v>797</v>
      </c>
      <c r="M1471" s="11"/>
      <c r="N1471" s="136"/>
      <c r="O1471" s="357"/>
      <c r="P1471" s="136"/>
      <c r="Q1471" s="136"/>
      <c r="R1471" s="11"/>
      <c r="S1471" s="11" t="s">
        <v>1181</v>
      </c>
    </row>
    <row r="1472" spans="1:20" ht="11.25" customHeight="1" x14ac:dyDescent="0.2">
      <c r="A1472" s="33"/>
      <c r="B1472" s="173"/>
      <c r="E1472" s="373" t="s">
        <v>663</v>
      </c>
      <c r="F1472" s="368">
        <v>1</v>
      </c>
      <c r="G1472" s="368">
        <v>1</v>
      </c>
      <c r="H1472" s="368"/>
      <c r="I1472" s="368">
        <f t="shared" si="235"/>
        <v>2</v>
      </c>
      <c r="J1472" s="368"/>
      <c r="K1472" s="374" t="s">
        <v>1180</v>
      </c>
      <c r="L1472" s="11" t="s">
        <v>797</v>
      </c>
      <c r="M1472" s="11"/>
      <c r="N1472" s="136"/>
      <c r="O1472" s="357"/>
      <c r="P1472" s="136"/>
      <c r="Q1472" s="136"/>
      <c r="R1472" s="11"/>
      <c r="S1472" s="11" t="s">
        <v>1181</v>
      </c>
    </row>
    <row r="1473" spans="1:20" ht="11.25" customHeight="1" x14ac:dyDescent="0.2">
      <c r="A1473" s="33"/>
      <c r="B1473" s="173"/>
      <c r="E1473" s="373" t="s">
        <v>664</v>
      </c>
      <c r="F1473" s="368">
        <v>1</v>
      </c>
      <c r="G1473" s="368">
        <v>1</v>
      </c>
      <c r="H1473" s="368"/>
      <c r="I1473" s="368">
        <f t="shared" si="235"/>
        <v>2</v>
      </c>
      <c r="J1473" s="368"/>
      <c r="K1473" s="374" t="s">
        <v>1854</v>
      </c>
      <c r="L1473" s="11" t="s">
        <v>797</v>
      </c>
      <c r="M1473" s="11"/>
      <c r="N1473" s="136"/>
      <c r="O1473" s="357"/>
      <c r="P1473" s="136"/>
      <c r="Q1473" s="136"/>
      <c r="R1473" s="11"/>
      <c r="S1473" s="11" t="s">
        <v>1181</v>
      </c>
      <c r="T1473" s="359"/>
    </row>
    <row r="1474" spans="1:20" ht="11.25" customHeight="1" x14ac:dyDescent="0.2">
      <c r="A1474" s="33"/>
      <c r="B1474" s="173"/>
      <c r="E1474" s="373" t="s">
        <v>665</v>
      </c>
      <c r="F1474" s="368">
        <v>1</v>
      </c>
      <c r="G1474" s="368">
        <v>1</v>
      </c>
      <c r="H1474" s="368"/>
      <c r="I1474" s="368">
        <f t="shared" si="235"/>
        <v>2</v>
      </c>
      <c r="J1474" s="368"/>
      <c r="K1474" s="374" t="s">
        <v>1840</v>
      </c>
      <c r="L1474" s="11" t="s">
        <v>797</v>
      </c>
      <c r="M1474" s="11"/>
      <c r="N1474" s="136"/>
      <c r="O1474" s="357"/>
      <c r="P1474" s="136"/>
      <c r="Q1474" s="136"/>
      <c r="R1474" s="11"/>
      <c r="S1474" s="11" t="s">
        <v>1181</v>
      </c>
      <c r="T1474" s="359"/>
    </row>
    <row r="1475" spans="1:20" ht="11.25" customHeight="1" x14ac:dyDescent="0.2">
      <c r="A1475" s="33"/>
      <c r="B1475" s="173"/>
      <c r="E1475" s="373" t="s">
        <v>1851</v>
      </c>
      <c r="F1475" s="368">
        <v>1</v>
      </c>
      <c r="G1475" s="368">
        <v>1</v>
      </c>
      <c r="H1475" s="368"/>
      <c r="I1475" s="368">
        <f t="shared" si="235"/>
        <v>2</v>
      </c>
      <c r="J1475" s="368"/>
      <c r="K1475" s="374" t="s">
        <v>1841</v>
      </c>
      <c r="L1475" s="11" t="s">
        <v>797</v>
      </c>
      <c r="M1475" s="11"/>
      <c r="N1475" s="136"/>
      <c r="O1475" s="357"/>
      <c r="P1475" s="136"/>
      <c r="Q1475" s="136"/>
      <c r="R1475" s="11"/>
      <c r="S1475" s="11" t="s">
        <v>1181</v>
      </c>
      <c r="T1475" s="359"/>
    </row>
    <row r="1476" spans="1:20" ht="11.25" customHeight="1" x14ac:dyDescent="0.2">
      <c r="A1476" s="33"/>
      <c r="B1476" s="173"/>
      <c r="E1476" s="373" t="s">
        <v>1852</v>
      </c>
      <c r="F1476" s="368">
        <v>1</v>
      </c>
      <c r="G1476" s="368">
        <v>1</v>
      </c>
      <c r="H1476" s="368"/>
      <c r="I1476" s="368">
        <f t="shared" si="235"/>
        <v>2</v>
      </c>
      <c r="J1476" s="368"/>
      <c r="K1476" s="374" t="s">
        <v>1861</v>
      </c>
      <c r="L1476" s="11" t="s">
        <v>797</v>
      </c>
      <c r="M1476" s="11"/>
      <c r="N1476" s="136"/>
      <c r="O1476" s="357"/>
      <c r="P1476" s="136"/>
      <c r="Q1476" s="136"/>
      <c r="R1476" s="11"/>
      <c r="S1476" s="11" t="s">
        <v>1181</v>
      </c>
      <c r="T1476" s="359"/>
    </row>
    <row r="1477" spans="1:20" ht="11.25" customHeight="1" x14ac:dyDescent="0.2">
      <c r="A1477" s="33"/>
      <c r="B1477" s="173"/>
      <c r="E1477" s="373" t="s">
        <v>771</v>
      </c>
      <c r="F1477" s="368">
        <v>1</v>
      </c>
      <c r="G1477" s="368">
        <v>3</v>
      </c>
      <c r="H1477" s="368"/>
      <c r="I1477" s="368">
        <f t="shared" si="235"/>
        <v>6</v>
      </c>
      <c r="J1477" s="368"/>
      <c r="K1477" s="374" t="s">
        <v>1842</v>
      </c>
      <c r="L1477" s="11" t="s">
        <v>797</v>
      </c>
      <c r="M1477" s="11"/>
      <c r="N1477" s="136"/>
      <c r="O1477" s="357"/>
      <c r="P1477" s="136"/>
      <c r="Q1477" s="136"/>
      <c r="R1477" s="11"/>
      <c r="S1477" s="11" t="s">
        <v>1181</v>
      </c>
      <c r="T1477" s="359"/>
    </row>
    <row r="1478" spans="1:20" ht="11.25" customHeight="1" x14ac:dyDescent="0.2">
      <c r="A1478" s="33"/>
      <c r="E1478" s="373"/>
      <c r="F1478" s="368"/>
      <c r="G1478" s="368"/>
      <c r="H1478" s="368"/>
      <c r="I1478" s="368"/>
      <c r="J1478" s="368"/>
      <c r="K1478" s="374"/>
      <c r="L1478" s="136"/>
      <c r="M1478" s="136"/>
      <c r="N1478" s="136"/>
      <c r="O1478" s="357"/>
      <c r="P1478" s="136"/>
      <c r="Q1478" s="136"/>
      <c r="R1478" s="358"/>
      <c r="S1478" s="358"/>
      <c r="T1478" s="359"/>
    </row>
    <row r="1479" spans="1:20" ht="11.25" customHeight="1" x14ac:dyDescent="0.2">
      <c r="A1479" s="33"/>
      <c r="B1479" s="173" t="s">
        <v>802</v>
      </c>
      <c r="C1479" s="364"/>
      <c r="D1479" s="365"/>
      <c r="E1479" s="366"/>
      <c r="F1479" s="9">
        <f>SUM(F1459:F1477)</f>
        <v>19</v>
      </c>
      <c r="G1479" s="9">
        <f>SUM(G1459:G1477)</f>
        <v>20</v>
      </c>
      <c r="H1479" s="9"/>
      <c r="I1479" s="9">
        <f>SUM(I1463:I1474)</f>
        <v>26</v>
      </c>
      <c r="J1479" s="365"/>
      <c r="K1479" s="136"/>
      <c r="L1479" s="136"/>
      <c r="M1479" s="136"/>
      <c r="N1479" s="136"/>
      <c r="O1479" s="357"/>
      <c r="P1479" s="136"/>
      <c r="Q1479" s="136"/>
      <c r="R1479" s="358"/>
      <c r="S1479" s="358"/>
      <c r="T1479" s="359"/>
    </row>
    <row r="1480" spans="1:20" ht="11.25" customHeight="1" x14ac:dyDescent="0.2">
      <c r="A1480" s="33"/>
      <c r="B1480" s="52"/>
      <c r="C1480" s="30"/>
      <c r="D1480" s="31"/>
      <c r="E1480" s="53"/>
      <c r="F1480" s="31"/>
      <c r="G1480" s="31"/>
      <c r="H1480" s="31"/>
      <c r="I1480" s="31"/>
      <c r="J1480" s="31"/>
      <c r="K1480" s="29"/>
      <c r="L1480" s="29"/>
      <c r="M1480" s="29"/>
      <c r="N1480" s="29"/>
      <c r="O1480" s="109"/>
      <c r="P1480" s="34"/>
      <c r="Q1480" s="34"/>
      <c r="R1480" s="149"/>
      <c r="S1480" s="149"/>
      <c r="T1480" s="160"/>
    </row>
    <row r="1481" spans="1:20" ht="11.25" customHeight="1" x14ac:dyDescent="0.2">
      <c r="A1481" s="33"/>
      <c r="B1481" s="173" t="s">
        <v>801</v>
      </c>
      <c r="E1481" s="21"/>
      <c r="F1481" s="9"/>
      <c r="G1481" s="9"/>
      <c r="H1481" s="9"/>
      <c r="I1481" s="9"/>
      <c r="J1481" s="365"/>
      <c r="K1481" s="404"/>
      <c r="L1481" s="136"/>
      <c r="M1481" s="136"/>
      <c r="N1481" s="136"/>
      <c r="O1481" s="357"/>
      <c r="P1481" s="136"/>
      <c r="Q1481" s="136"/>
      <c r="R1481" s="358"/>
      <c r="S1481" s="358"/>
      <c r="T1481" s="359"/>
    </row>
    <row r="1482" spans="1:20" ht="11.25" customHeight="1" x14ac:dyDescent="0.2">
      <c r="A1482" s="33"/>
      <c r="B1482" s="8" t="s">
        <v>1853</v>
      </c>
      <c r="E1482" s="20" t="s">
        <v>1765</v>
      </c>
      <c r="F1482" s="9">
        <v>192</v>
      </c>
      <c r="G1482" s="9">
        <f>G1479 * F1482</f>
        <v>3840</v>
      </c>
      <c r="H1482" s="9"/>
      <c r="I1482" s="9">
        <f>F1482*I1479</f>
        <v>4992</v>
      </c>
      <c r="J1482" s="365"/>
      <c r="K1482" s="310" t="s">
        <v>1932</v>
      </c>
      <c r="L1482" s="136"/>
      <c r="M1482" s="136"/>
      <c r="N1482" s="136"/>
      <c r="O1482" s="357"/>
      <c r="P1482" s="136"/>
      <c r="Q1482" s="136"/>
      <c r="R1482" s="358"/>
      <c r="S1482" s="358"/>
      <c r="T1482" s="359"/>
    </row>
    <row r="1483" spans="1:20" ht="11.25" customHeight="1" x14ac:dyDescent="0.2">
      <c r="A1483" s="33"/>
      <c r="B1483" s="20" t="s">
        <v>803</v>
      </c>
      <c r="E1483" s="7" t="s">
        <v>1860</v>
      </c>
      <c r="F1483" s="9"/>
      <c r="G1483" s="9"/>
      <c r="H1483" s="9"/>
      <c r="I1483" s="9"/>
      <c r="J1483" s="365"/>
      <c r="K1483" s="404"/>
      <c r="L1483" s="136"/>
      <c r="M1483" s="136"/>
      <c r="N1483" s="136"/>
      <c r="O1483" s="357"/>
      <c r="P1483" s="136"/>
      <c r="Q1483" s="136"/>
      <c r="R1483" s="358"/>
      <c r="S1483" s="358"/>
      <c r="T1483" s="359"/>
    </row>
    <row r="1484" spans="1:20" ht="11.25" customHeight="1" x14ac:dyDescent="0.2">
      <c r="A1484" s="33"/>
      <c r="B1484" s="52" t="s">
        <v>1827</v>
      </c>
      <c r="C1484" s="30"/>
      <c r="D1484" s="31"/>
      <c r="E1484" s="53"/>
      <c r="F1484" s="31"/>
      <c r="G1484" s="31"/>
      <c r="H1484" s="31"/>
      <c r="I1484" s="31"/>
      <c r="J1484" s="31"/>
      <c r="K1484" s="29"/>
      <c r="L1484" s="29"/>
      <c r="M1484" s="29"/>
      <c r="N1484" s="29"/>
      <c r="O1484" s="109"/>
      <c r="P1484" s="34"/>
      <c r="Q1484" s="34"/>
      <c r="R1484" s="149"/>
      <c r="S1484" s="149"/>
      <c r="T1484" s="160"/>
    </row>
    <row r="1485" spans="1:20" ht="11.25" customHeight="1" x14ac:dyDescent="0.2">
      <c r="A1485" s="33"/>
      <c r="B1485" s="173" t="s">
        <v>800</v>
      </c>
      <c r="C1485" s="364"/>
      <c r="D1485" s="365"/>
      <c r="E1485" s="366"/>
      <c r="F1485" s="365"/>
      <c r="G1485" s="365"/>
      <c r="H1485" s="365"/>
      <c r="I1485" s="365"/>
      <c r="J1485" s="365"/>
      <c r="K1485" s="136"/>
      <c r="L1485" s="136"/>
      <c r="M1485" s="136"/>
      <c r="N1485" s="136"/>
      <c r="O1485" s="357"/>
      <c r="P1485" s="136"/>
      <c r="Q1485" s="136"/>
      <c r="R1485" s="358"/>
      <c r="S1485" s="358"/>
      <c r="T1485" s="359"/>
    </row>
    <row r="1486" spans="1:20" ht="11.25" customHeight="1" x14ac:dyDescent="0.2">
      <c r="A1486" s="33"/>
      <c r="B1486" s="356"/>
      <c r="C1486" s="364"/>
      <c r="D1486" s="365"/>
      <c r="E1486" s="370" t="s">
        <v>714</v>
      </c>
      <c r="F1486" s="368">
        <v>1</v>
      </c>
      <c r="G1486" s="368">
        <v>2</v>
      </c>
      <c r="H1486" s="368"/>
      <c r="I1486" s="368">
        <f t="shared" ref="I1486:I1497" si="236">F1486*2*G1486</f>
        <v>4</v>
      </c>
      <c r="J1486" s="368"/>
      <c r="K1486" s="374" t="s">
        <v>639</v>
      </c>
      <c r="L1486" s="11" t="s">
        <v>1365</v>
      </c>
      <c r="M1486" s="11"/>
      <c r="N1486" s="136"/>
      <c r="O1486" s="357"/>
      <c r="P1486" s="136"/>
      <c r="Q1486" s="136"/>
      <c r="R1486" s="11"/>
      <c r="S1486" s="11" t="s">
        <v>1181</v>
      </c>
      <c r="T1486" s="359"/>
    </row>
    <row r="1487" spans="1:20" ht="11.25" customHeight="1" x14ac:dyDescent="0.2">
      <c r="A1487" s="33"/>
      <c r="B1487" s="356"/>
      <c r="C1487" s="364"/>
      <c r="D1487" s="365"/>
      <c r="E1487" s="370" t="s">
        <v>715</v>
      </c>
      <c r="F1487" s="368">
        <v>1</v>
      </c>
      <c r="G1487" s="368">
        <v>0.5</v>
      </c>
      <c r="H1487" s="368"/>
      <c r="I1487" s="368">
        <f t="shared" si="236"/>
        <v>1</v>
      </c>
      <c r="J1487" s="368"/>
      <c r="K1487" s="374" t="s">
        <v>1833</v>
      </c>
      <c r="L1487" s="11" t="s">
        <v>1365</v>
      </c>
      <c r="M1487" s="11"/>
      <c r="N1487" s="136"/>
      <c r="O1487" s="357"/>
      <c r="P1487" s="136"/>
      <c r="Q1487" s="136"/>
      <c r="R1487" s="11"/>
      <c r="S1487" s="11" t="s">
        <v>1181</v>
      </c>
      <c r="T1487" s="359"/>
    </row>
    <row r="1488" spans="1:20" ht="11.25" customHeight="1" x14ac:dyDescent="0.2">
      <c r="A1488" s="33"/>
      <c r="B1488" s="356"/>
      <c r="C1488" s="364"/>
      <c r="D1488" s="365"/>
      <c r="E1488" s="370" t="s">
        <v>716</v>
      </c>
      <c r="F1488" s="368">
        <v>1</v>
      </c>
      <c r="G1488" s="368">
        <v>0.5</v>
      </c>
      <c r="H1488" s="368"/>
      <c r="I1488" s="368">
        <f t="shared" si="236"/>
        <v>1</v>
      </c>
      <c r="J1488" s="368"/>
      <c r="K1488" s="374" t="s">
        <v>1834</v>
      </c>
      <c r="L1488" s="11" t="s">
        <v>1365</v>
      </c>
      <c r="M1488" s="11"/>
      <c r="N1488" s="136"/>
      <c r="O1488" s="357"/>
      <c r="P1488" s="136"/>
      <c r="Q1488" s="136"/>
      <c r="R1488" s="11"/>
      <c r="S1488" s="11" t="s">
        <v>1181</v>
      </c>
      <c r="T1488" s="359"/>
    </row>
    <row r="1489" spans="1:20" ht="11.25" customHeight="1" x14ac:dyDescent="0.2">
      <c r="A1489" s="33"/>
      <c r="B1489" s="356"/>
      <c r="C1489" s="364"/>
      <c r="D1489" s="365"/>
      <c r="E1489" s="370" t="s">
        <v>1830</v>
      </c>
      <c r="F1489" s="368">
        <v>1</v>
      </c>
      <c r="G1489" s="368">
        <v>0.5</v>
      </c>
      <c r="H1489" s="368"/>
      <c r="I1489" s="368"/>
      <c r="J1489" s="368"/>
      <c r="K1489" s="374" t="s">
        <v>1845</v>
      </c>
      <c r="L1489" s="11" t="s">
        <v>1365</v>
      </c>
      <c r="M1489" s="11"/>
      <c r="N1489" s="136"/>
      <c r="O1489" s="357"/>
      <c r="P1489" s="136"/>
      <c r="Q1489" s="136"/>
      <c r="R1489" s="11"/>
      <c r="S1489" s="11"/>
      <c r="T1489" s="359"/>
    </row>
    <row r="1490" spans="1:20" ht="11.25" customHeight="1" x14ac:dyDescent="0.2">
      <c r="A1490" s="33"/>
      <c r="B1490" s="356"/>
      <c r="C1490" s="364"/>
      <c r="D1490" s="365"/>
      <c r="E1490" s="370" t="s">
        <v>670</v>
      </c>
      <c r="F1490" s="368">
        <v>1</v>
      </c>
      <c r="G1490" s="368">
        <v>0.5</v>
      </c>
      <c r="H1490" s="368"/>
      <c r="I1490" s="368">
        <f t="shared" si="236"/>
        <v>1</v>
      </c>
      <c r="J1490" s="368"/>
      <c r="K1490" s="374" t="s">
        <v>1835</v>
      </c>
      <c r="L1490" s="11" t="s">
        <v>1365</v>
      </c>
      <c r="M1490" s="11"/>
      <c r="N1490" s="136"/>
      <c r="O1490" s="357"/>
      <c r="P1490" s="136"/>
      <c r="Q1490" s="136"/>
      <c r="R1490" s="11"/>
      <c r="S1490" s="11" t="s">
        <v>1181</v>
      </c>
      <c r="T1490" s="359"/>
    </row>
    <row r="1491" spans="1:20" ht="11.25" customHeight="1" x14ac:dyDescent="0.2">
      <c r="A1491" s="33"/>
      <c r="B1491" s="356"/>
      <c r="C1491" s="364"/>
      <c r="D1491" s="365"/>
      <c r="E1491" s="370" t="s">
        <v>717</v>
      </c>
      <c r="F1491" s="368">
        <v>1</v>
      </c>
      <c r="G1491" s="368">
        <v>1</v>
      </c>
      <c r="H1491" s="368"/>
      <c r="I1491" s="368">
        <f t="shared" si="236"/>
        <v>2</v>
      </c>
      <c r="J1491" s="368"/>
      <c r="K1491" s="374" t="s">
        <v>505</v>
      </c>
      <c r="L1491" s="11" t="s">
        <v>1365</v>
      </c>
      <c r="M1491" s="11"/>
      <c r="N1491" s="136"/>
      <c r="O1491" s="357"/>
      <c r="P1491" s="136"/>
      <c r="Q1491" s="136"/>
      <c r="R1491" s="11"/>
      <c r="S1491" s="11" t="s">
        <v>1181</v>
      </c>
      <c r="T1491" s="359"/>
    </row>
    <row r="1492" spans="1:20" ht="11.25" customHeight="1" x14ac:dyDescent="0.2">
      <c r="A1492" s="33"/>
      <c r="B1492" s="356"/>
      <c r="C1492" s="364"/>
      <c r="D1492" s="365"/>
      <c r="E1492" s="370" t="s">
        <v>659</v>
      </c>
      <c r="F1492" s="368">
        <v>1</v>
      </c>
      <c r="G1492" s="368">
        <v>64</v>
      </c>
      <c r="H1492" s="368"/>
      <c r="I1492" s="368">
        <f t="shared" si="236"/>
        <v>128</v>
      </c>
      <c r="J1492" s="368"/>
      <c r="K1492" s="374" t="s">
        <v>1836</v>
      </c>
      <c r="L1492" s="11" t="s">
        <v>1365</v>
      </c>
      <c r="M1492" s="11"/>
      <c r="N1492" s="136"/>
      <c r="O1492" s="357"/>
      <c r="P1492" s="136"/>
      <c r="Q1492" s="136"/>
      <c r="R1492" s="11"/>
      <c r="S1492" s="11" t="s">
        <v>1181</v>
      </c>
      <c r="T1492" s="359"/>
    </row>
    <row r="1493" spans="1:20" ht="11.25" customHeight="1" x14ac:dyDescent="0.2">
      <c r="A1493" s="33"/>
      <c r="B1493" s="356"/>
      <c r="C1493" s="364"/>
      <c r="D1493" s="365"/>
      <c r="E1493" s="370" t="s">
        <v>662</v>
      </c>
      <c r="F1493" s="368">
        <v>1</v>
      </c>
      <c r="G1493" s="368">
        <v>1</v>
      </c>
      <c r="H1493" s="368"/>
      <c r="I1493" s="368">
        <f t="shared" si="236"/>
        <v>2</v>
      </c>
      <c r="J1493" s="368"/>
      <c r="K1493" s="374" t="s">
        <v>1839</v>
      </c>
      <c r="L1493" s="11" t="s">
        <v>1365</v>
      </c>
      <c r="M1493" s="11"/>
      <c r="N1493" s="136"/>
      <c r="O1493" s="357"/>
      <c r="P1493" s="136"/>
      <c r="Q1493" s="136"/>
      <c r="R1493" s="11"/>
      <c r="S1493" s="11" t="s">
        <v>1181</v>
      </c>
      <c r="T1493" s="359"/>
    </row>
    <row r="1494" spans="1:20" ht="11.25" customHeight="1" x14ac:dyDescent="0.2">
      <c r="A1494" s="33"/>
      <c r="B1494" s="356"/>
      <c r="C1494" s="364"/>
      <c r="D1494" s="365"/>
      <c r="E1494" s="370" t="s">
        <v>663</v>
      </c>
      <c r="F1494" s="368">
        <v>1</v>
      </c>
      <c r="G1494" s="368">
        <v>1</v>
      </c>
      <c r="H1494" s="368"/>
      <c r="I1494" s="368">
        <f t="shared" si="236"/>
        <v>2</v>
      </c>
      <c r="J1494" s="368"/>
      <c r="K1494" s="374" t="s">
        <v>1180</v>
      </c>
      <c r="L1494" s="11" t="s">
        <v>1365</v>
      </c>
      <c r="M1494" s="11"/>
      <c r="N1494" s="136"/>
      <c r="O1494" s="357"/>
      <c r="P1494" s="136"/>
      <c r="Q1494" s="136"/>
      <c r="R1494" s="11"/>
      <c r="S1494" s="11" t="s">
        <v>1181</v>
      </c>
      <c r="T1494" s="359"/>
    </row>
    <row r="1495" spans="1:20" ht="11.25" customHeight="1" x14ac:dyDescent="0.2">
      <c r="A1495" s="33"/>
      <c r="B1495" s="356"/>
      <c r="C1495" s="364"/>
      <c r="D1495" s="365"/>
      <c r="E1495" s="370" t="s">
        <v>664</v>
      </c>
      <c r="F1495" s="368">
        <v>1</v>
      </c>
      <c r="G1495" s="368">
        <v>1</v>
      </c>
      <c r="H1495" s="368"/>
      <c r="I1495" s="368">
        <f t="shared" si="236"/>
        <v>2</v>
      </c>
      <c r="J1495" s="368"/>
      <c r="K1495" s="374" t="s">
        <v>1854</v>
      </c>
      <c r="L1495" s="11" t="s">
        <v>1365</v>
      </c>
      <c r="M1495" s="11"/>
      <c r="N1495" s="136"/>
      <c r="O1495" s="357"/>
      <c r="P1495" s="136"/>
      <c r="Q1495" s="136"/>
      <c r="R1495" s="11"/>
      <c r="S1495" s="11" t="s">
        <v>1181</v>
      </c>
      <c r="T1495" s="359"/>
    </row>
    <row r="1496" spans="1:20" ht="11.25" customHeight="1" x14ac:dyDescent="0.2">
      <c r="A1496" s="33"/>
      <c r="B1496" s="356"/>
      <c r="C1496" s="364"/>
      <c r="D1496" s="365"/>
      <c r="E1496" s="373" t="s">
        <v>1844</v>
      </c>
      <c r="F1496" s="368">
        <v>1</v>
      </c>
      <c r="G1496" s="368">
        <v>1</v>
      </c>
      <c r="H1496" s="368"/>
      <c r="I1496" s="368">
        <f t="shared" si="236"/>
        <v>2</v>
      </c>
      <c r="J1496" s="368"/>
      <c r="K1496" s="374" t="s">
        <v>1855</v>
      </c>
      <c r="L1496" s="11" t="s">
        <v>1365</v>
      </c>
      <c r="M1496" s="11"/>
      <c r="N1496" s="136"/>
      <c r="O1496" s="357"/>
      <c r="P1496" s="136"/>
      <c r="Q1496" s="136"/>
      <c r="R1496" s="11"/>
      <c r="S1496" s="11" t="s">
        <v>1181</v>
      </c>
      <c r="T1496" s="359"/>
    </row>
    <row r="1497" spans="1:20" ht="11.25" customHeight="1" x14ac:dyDescent="0.2">
      <c r="A1497" s="33"/>
      <c r="B1497" s="356"/>
      <c r="C1497" s="364"/>
      <c r="D1497" s="365"/>
      <c r="E1497" s="373" t="s">
        <v>1764</v>
      </c>
      <c r="F1497" s="368">
        <v>1</v>
      </c>
      <c r="G1497" s="368">
        <v>0</v>
      </c>
      <c r="H1497" s="368"/>
      <c r="I1497" s="368">
        <f t="shared" si="236"/>
        <v>0</v>
      </c>
      <c r="J1497" s="368"/>
      <c r="K1497" s="374" t="s">
        <v>1843</v>
      </c>
      <c r="L1497" s="11" t="s">
        <v>1365</v>
      </c>
      <c r="M1497" s="11"/>
      <c r="N1497" s="136"/>
      <c r="O1497" s="357"/>
      <c r="P1497" s="136"/>
      <c r="Q1497" s="136"/>
      <c r="R1497" s="11"/>
      <c r="S1497" s="11" t="s">
        <v>1181</v>
      </c>
      <c r="T1497" s="359"/>
    </row>
    <row r="1498" spans="1:20" ht="11.25" customHeight="1" x14ac:dyDescent="0.2">
      <c r="A1498" s="33"/>
      <c r="C1498" s="364"/>
      <c r="D1498" s="365"/>
      <c r="E1498" s="373"/>
      <c r="F1498" s="368"/>
      <c r="G1498" s="368"/>
      <c r="H1498" s="368"/>
      <c r="I1498" s="368"/>
      <c r="J1498" s="368"/>
      <c r="K1498" s="374"/>
      <c r="L1498" s="11"/>
      <c r="M1498" s="11"/>
      <c r="N1498" s="136"/>
      <c r="O1498" s="357"/>
      <c r="P1498" s="136"/>
      <c r="Q1498" s="136"/>
      <c r="R1498" s="358"/>
      <c r="S1498" s="358"/>
      <c r="T1498" s="359"/>
    </row>
    <row r="1499" spans="1:20" ht="11.25" customHeight="1" x14ac:dyDescent="0.2">
      <c r="A1499" s="33"/>
      <c r="B1499" s="173" t="s">
        <v>802</v>
      </c>
      <c r="C1499" s="364"/>
      <c r="D1499" s="365"/>
      <c r="E1499" s="366"/>
      <c r="F1499" s="9">
        <f>SUM(F1486:F1497)</f>
        <v>12</v>
      </c>
      <c r="G1499" s="9">
        <f>SUM(G1486:G1497)</f>
        <v>73</v>
      </c>
      <c r="H1499" s="9"/>
      <c r="I1499" s="9">
        <f>SUM(I1486:I1497)</f>
        <v>145</v>
      </c>
      <c r="J1499" s="365"/>
      <c r="K1499" s="136"/>
      <c r="L1499" s="136"/>
      <c r="M1499" s="136"/>
      <c r="N1499" s="136"/>
      <c r="O1499" s="357"/>
      <c r="P1499" s="136"/>
      <c r="Q1499" s="136"/>
      <c r="R1499" s="358"/>
      <c r="S1499" s="358"/>
      <c r="T1499" s="359"/>
    </row>
    <row r="1500" spans="1:20" ht="11.25" customHeight="1" x14ac:dyDescent="0.2">
      <c r="A1500" s="33"/>
      <c r="B1500" s="52"/>
      <c r="C1500" s="30"/>
      <c r="D1500" s="31"/>
      <c r="E1500" s="53"/>
      <c r="F1500" s="31"/>
      <c r="G1500" s="31"/>
      <c r="H1500" s="31"/>
      <c r="I1500" s="31"/>
      <c r="J1500" s="31"/>
      <c r="K1500" s="29"/>
      <c r="L1500" s="29"/>
      <c r="M1500" s="29"/>
      <c r="N1500" s="29"/>
      <c r="O1500" s="109"/>
      <c r="P1500" s="34"/>
      <c r="Q1500" s="34"/>
      <c r="R1500" s="149"/>
      <c r="S1500" s="149"/>
      <c r="T1500" s="160"/>
    </row>
    <row r="1501" spans="1:20" ht="11.25" customHeight="1" x14ac:dyDescent="0.2">
      <c r="A1501" s="33"/>
      <c r="B1501" s="173" t="s">
        <v>801</v>
      </c>
      <c r="E1501" s="21"/>
      <c r="F1501" s="9"/>
      <c r="G1501" s="9"/>
      <c r="H1501" s="9"/>
      <c r="I1501" s="9"/>
      <c r="J1501" s="365"/>
      <c r="K1501" s="136"/>
      <c r="L1501" s="136"/>
      <c r="M1501" s="136"/>
      <c r="N1501" s="136"/>
      <c r="O1501" s="357"/>
      <c r="P1501" s="136"/>
      <c r="Q1501" s="136"/>
      <c r="R1501" s="358"/>
      <c r="S1501" s="358"/>
      <c r="T1501" s="359"/>
    </row>
    <row r="1502" spans="1:20" x14ac:dyDescent="0.2">
      <c r="A1502" s="33"/>
      <c r="B1502" s="8" t="s">
        <v>1888</v>
      </c>
      <c r="E1502" s="20" t="s">
        <v>1766</v>
      </c>
      <c r="F1502" s="9">
        <v>512</v>
      </c>
      <c r="G1502" s="9">
        <f>G1499 * F1502</f>
        <v>37376</v>
      </c>
      <c r="H1502" s="9"/>
      <c r="I1502" s="9">
        <f>F1502*I1499</f>
        <v>74240</v>
      </c>
      <c r="J1502" s="365"/>
      <c r="K1502" s="136"/>
      <c r="L1502" s="136"/>
      <c r="M1502" s="136"/>
      <c r="N1502" s="136"/>
      <c r="O1502" s="357"/>
      <c r="P1502" s="136"/>
      <c r="Q1502" s="136"/>
      <c r="R1502" s="358"/>
      <c r="S1502" s="358"/>
      <c r="T1502" s="359"/>
    </row>
    <row r="1503" spans="1:20" x14ac:dyDescent="0.2">
      <c r="A1503" s="33"/>
      <c r="B1503" s="20" t="s">
        <v>803</v>
      </c>
      <c r="E1503" s="7"/>
      <c r="F1503" s="9"/>
      <c r="G1503" s="9"/>
      <c r="H1503" s="9"/>
      <c r="I1503" s="9"/>
      <c r="J1503" s="365"/>
      <c r="K1503" s="136"/>
      <c r="L1503" s="136"/>
      <c r="M1503" s="136"/>
      <c r="N1503" s="136"/>
      <c r="O1503" s="357"/>
      <c r="P1503" s="136"/>
      <c r="Q1503" s="136"/>
      <c r="R1503" s="358"/>
      <c r="S1503" s="358"/>
      <c r="T1503" s="359"/>
    </row>
    <row r="1504" spans="1:20" x14ac:dyDescent="0.2">
      <c r="A1504" s="33"/>
      <c r="B1504" s="52" t="s">
        <v>56</v>
      </c>
      <c r="C1504" s="30"/>
      <c r="D1504" s="31"/>
      <c r="E1504" s="53"/>
      <c r="F1504" s="31"/>
      <c r="G1504" s="31"/>
      <c r="H1504" s="31"/>
      <c r="I1504" s="31"/>
      <c r="J1504" s="31"/>
      <c r="K1504" s="29"/>
      <c r="L1504" s="29"/>
      <c r="M1504" s="29"/>
      <c r="N1504" s="29"/>
      <c r="O1504" s="109"/>
      <c r="P1504" s="34"/>
      <c r="Q1504" s="34"/>
      <c r="R1504" s="149"/>
      <c r="S1504" s="149"/>
      <c r="T1504" s="160"/>
    </row>
    <row r="1505" spans="1:20" x14ac:dyDescent="0.2">
      <c r="A1505" s="33"/>
      <c r="B1505" s="173" t="s">
        <v>1724</v>
      </c>
      <c r="E1505" s="20"/>
      <c r="F1505" s="9"/>
      <c r="G1505" s="9"/>
      <c r="H1505" s="9"/>
      <c r="I1505" s="9"/>
      <c r="J1505" s="9"/>
      <c r="K1505" s="10"/>
      <c r="L1505" s="10"/>
      <c r="M1505" s="10"/>
      <c r="N1505" s="10"/>
      <c r="O1505" s="11"/>
      <c r="P1505" s="34"/>
      <c r="Q1505" s="34"/>
      <c r="R1505" s="145"/>
      <c r="S1505" s="145"/>
      <c r="T1505" s="117"/>
    </row>
    <row r="1506" spans="1:20" x14ac:dyDescent="0.2">
      <c r="A1506" s="33"/>
      <c r="B1506" s="20"/>
      <c r="C1506" s="468" t="s">
        <v>1725</v>
      </c>
      <c r="D1506" s="468"/>
      <c r="E1506" s="117" t="s">
        <v>1726</v>
      </c>
      <c r="F1506" s="9">
        <v>1</v>
      </c>
      <c r="G1506" s="9">
        <v>0.5</v>
      </c>
      <c r="H1506" s="9"/>
      <c r="I1506" s="9">
        <f t="shared" ref="I1506:I1514" si="237">F1506*2*G1506</f>
        <v>1</v>
      </c>
      <c r="J1506" s="9"/>
      <c r="K1506" s="165" t="s">
        <v>1735</v>
      </c>
      <c r="L1506" s="10" t="s">
        <v>1365</v>
      </c>
      <c r="M1506" s="10"/>
      <c r="N1506" s="10"/>
      <c r="O1506" s="11"/>
      <c r="P1506" s="11"/>
      <c r="Q1506" s="11"/>
      <c r="R1506" s="11"/>
      <c r="S1506" s="11" t="s">
        <v>1181</v>
      </c>
      <c r="T1506" s="117"/>
    </row>
    <row r="1507" spans="1:20" x14ac:dyDescent="0.2">
      <c r="A1507" s="33"/>
      <c r="B1507" s="20"/>
      <c r="E1507" s="117" t="s">
        <v>1727</v>
      </c>
      <c r="F1507" s="9">
        <v>1</v>
      </c>
      <c r="G1507" s="9">
        <v>0.5</v>
      </c>
      <c r="H1507" s="9"/>
      <c r="I1507" s="9">
        <f t="shared" si="237"/>
        <v>1</v>
      </c>
      <c r="J1507" s="9"/>
      <c r="K1507" s="353" t="s">
        <v>1740</v>
      </c>
      <c r="L1507" s="10" t="s">
        <v>1365</v>
      </c>
      <c r="M1507" s="10"/>
      <c r="N1507" s="10"/>
      <c r="O1507" s="11"/>
      <c r="P1507" s="11"/>
      <c r="Q1507" s="11"/>
      <c r="R1507" s="11"/>
      <c r="S1507" s="11" t="s">
        <v>1181</v>
      </c>
      <c r="T1507" s="117"/>
    </row>
    <row r="1508" spans="1:20" x14ac:dyDescent="0.2">
      <c r="A1508" s="33"/>
      <c r="B1508" s="20"/>
      <c r="E1508" s="117" t="s">
        <v>1728</v>
      </c>
      <c r="F1508" s="9">
        <v>1</v>
      </c>
      <c r="G1508" s="9">
        <v>0.5</v>
      </c>
      <c r="H1508" s="9"/>
      <c r="I1508" s="9">
        <f t="shared" si="237"/>
        <v>1</v>
      </c>
      <c r="J1508" s="9"/>
      <c r="K1508" s="354" t="s">
        <v>921</v>
      </c>
      <c r="L1508" s="10" t="s">
        <v>1365</v>
      </c>
      <c r="M1508" s="10"/>
      <c r="N1508" s="10"/>
      <c r="O1508" s="11"/>
      <c r="P1508" s="11"/>
      <c r="Q1508" s="11"/>
      <c r="R1508" s="11"/>
      <c r="S1508" s="11" t="s">
        <v>1181</v>
      </c>
      <c r="T1508" s="117"/>
    </row>
    <row r="1509" spans="1:20" x14ac:dyDescent="0.2">
      <c r="A1509" s="33"/>
      <c r="B1509" s="20"/>
      <c r="E1509" s="117" t="s">
        <v>1729</v>
      </c>
      <c r="F1509" s="9">
        <v>1</v>
      </c>
      <c r="G1509" s="9">
        <v>0.5</v>
      </c>
      <c r="H1509" s="9"/>
      <c r="I1509" s="9">
        <f t="shared" si="237"/>
        <v>1</v>
      </c>
      <c r="J1509" s="9"/>
      <c r="K1509" s="10" t="s">
        <v>1736</v>
      </c>
      <c r="L1509" s="10" t="s">
        <v>1365</v>
      </c>
      <c r="M1509" s="10"/>
      <c r="N1509" s="10"/>
      <c r="O1509" s="11"/>
      <c r="P1509" s="11"/>
      <c r="Q1509" s="11"/>
      <c r="R1509" s="11"/>
      <c r="S1509" s="11" t="s">
        <v>1181</v>
      </c>
      <c r="T1509" s="117"/>
    </row>
    <row r="1510" spans="1:20" x14ac:dyDescent="0.2">
      <c r="A1510" s="33"/>
      <c r="B1510" s="20"/>
      <c r="E1510" s="117" t="s">
        <v>1730</v>
      </c>
      <c r="F1510" s="9">
        <v>1</v>
      </c>
      <c r="G1510" s="9">
        <v>0.5</v>
      </c>
      <c r="H1510" s="9"/>
      <c r="I1510" s="9">
        <f t="shared" si="237"/>
        <v>1</v>
      </c>
      <c r="J1510" s="9"/>
      <c r="K1510" s="10" t="s">
        <v>1737</v>
      </c>
      <c r="L1510" s="10" t="s">
        <v>1365</v>
      </c>
      <c r="M1510" s="10"/>
      <c r="N1510" s="10"/>
      <c r="O1510" s="11"/>
      <c r="P1510" s="11"/>
      <c r="Q1510" s="11"/>
      <c r="R1510" s="11"/>
      <c r="S1510" s="11" t="s">
        <v>1181</v>
      </c>
      <c r="T1510" s="117"/>
    </row>
    <row r="1511" spans="1:20" x14ac:dyDescent="0.2">
      <c r="A1511" s="33"/>
      <c r="B1511" s="20"/>
      <c r="E1511" s="117" t="s">
        <v>1731</v>
      </c>
      <c r="F1511" s="9">
        <v>1</v>
      </c>
      <c r="G1511" s="9">
        <v>0.5</v>
      </c>
      <c r="H1511" s="9"/>
      <c r="I1511" s="9">
        <f t="shared" si="237"/>
        <v>1</v>
      </c>
      <c r="J1511" s="9"/>
      <c r="K1511" s="10" t="s">
        <v>1737</v>
      </c>
      <c r="L1511" s="10" t="s">
        <v>1365</v>
      </c>
      <c r="M1511" s="10"/>
      <c r="N1511" s="10"/>
      <c r="O1511" s="11"/>
      <c r="P1511" s="11"/>
      <c r="Q1511" s="11"/>
      <c r="R1511" s="11"/>
      <c r="S1511" s="11" t="s">
        <v>1181</v>
      </c>
      <c r="T1511" s="117"/>
    </row>
    <row r="1512" spans="1:20" x14ac:dyDescent="0.2">
      <c r="A1512" s="33"/>
      <c r="B1512" s="20"/>
      <c r="E1512" s="117" t="s">
        <v>1732</v>
      </c>
      <c r="F1512" s="9">
        <v>1</v>
      </c>
      <c r="G1512" s="9">
        <v>2</v>
      </c>
      <c r="H1512" s="9"/>
      <c r="I1512" s="9">
        <f t="shared" si="237"/>
        <v>4</v>
      </c>
      <c r="J1512" s="9"/>
      <c r="K1512" s="10" t="s">
        <v>1738</v>
      </c>
      <c r="L1512" s="10" t="s">
        <v>1365</v>
      </c>
      <c r="M1512" s="10"/>
      <c r="N1512" s="10"/>
      <c r="O1512" s="11"/>
      <c r="P1512" s="11"/>
      <c r="Q1512" s="11"/>
      <c r="R1512" s="11"/>
      <c r="S1512" s="11" t="s">
        <v>1181</v>
      </c>
      <c r="T1512" s="117"/>
    </row>
    <row r="1513" spans="1:20" ht="11.25" customHeight="1" x14ac:dyDescent="0.2">
      <c r="A1513" s="33"/>
      <c r="B1513" s="20"/>
      <c r="E1513" s="117" t="s">
        <v>1733</v>
      </c>
      <c r="F1513" s="9">
        <v>1</v>
      </c>
      <c r="G1513" s="9">
        <v>2</v>
      </c>
      <c r="H1513" s="9"/>
      <c r="I1513" s="9">
        <f t="shared" si="237"/>
        <v>4</v>
      </c>
      <c r="J1513" s="9"/>
      <c r="K1513" s="10" t="s">
        <v>1745</v>
      </c>
      <c r="L1513" s="10" t="s">
        <v>1365</v>
      </c>
      <c r="M1513" s="10"/>
      <c r="N1513" s="10"/>
      <c r="O1513" s="11"/>
      <c r="P1513" s="11"/>
      <c r="Q1513" s="11"/>
      <c r="R1513" s="11"/>
      <c r="S1513" s="11" t="s">
        <v>1181</v>
      </c>
      <c r="T1513" s="117"/>
    </row>
    <row r="1514" spans="1:20" x14ac:dyDescent="0.2">
      <c r="A1514" s="33"/>
      <c r="B1514" s="20"/>
      <c r="E1514" s="117" t="s">
        <v>1734</v>
      </c>
      <c r="F1514" s="9">
        <v>1</v>
      </c>
      <c r="G1514" s="9">
        <v>1</v>
      </c>
      <c r="H1514" s="9"/>
      <c r="I1514" s="9">
        <f t="shared" si="237"/>
        <v>2</v>
      </c>
      <c r="J1514" s="9"/>
      <c r="K1514" s="10" t="s">
        <v>1739</v>
      </c>
      <c r="L1514" s="10" t="s">
        <v>1365</v>
      </c>
      <c r="M1514" s="10"/>
      <c r="N1514" s="10"/>
      <c r="O1514" s="11"/>
      <c r="P1514" s="11"/>
      <c r="Q1514" s="11"/>
      <c r="R1514" s="11"/>
      <c r="S1514" s="11" t="s">
        <v>1181</v>
      </c>
      <c r="T1514" s="117"/>
    </row>
    <row r="1515" spans="1:20" x14ac:dyDescent="0.2">
      <c r="A1515" s="33"/>
      <c r="B1515" s="173" t="s">
        <v>1742</v>
      </c>
      <c r="E1515" s="117"/>
      <c r="F1515" s="352">
        <f>SUM(F1506:F1514)</f>
        <v>9</v>
      </c>
      <c r="G1515" s="352">
        <f>SUM(G1506:G1514)</f>
        <v>8</v>
      </c>
      <c r="H1515" s="352"/>
      <c r="I1515" s="352">
        <f>SUM(I1506:I1514)</f>
        <v>16</v>
      </c>
      <c r="J1515" s="9"/>
      <c r="K1515" s="10"/>
      <c r="L1515" s="10"/>
      <c r="M1515" s="10"/>
      <c r="N1515" s="10"/>
      <c r="O1515" s="11"/>
      <c r="P1515" s="11"/>
      <c r="Q1515" s="11"/>
      <c r="R1515" s="11"/>
      <c r="S1515" s="11" t="s">
        <v>1181</v>
      </c>
      <c r="T1515" s="117"/>
    </row>
    <row r="1516" spans="1:20" x14ac:dyDescent="0.2">
      <c r="A1516" s="33"/>
      <c r="B1516" s="20"/>
      <c r="E1516" s="355" t="s">
        <v>1983</v>
      </c>
      <c r="F1516" s="9"/>
      <c r="G1516" s="9"/>
      <c r="H1516" s="9"/>
      <c r="I1516" s="9"/>
      <c r="J1516" s="9"/>
      <c r="K1516" s="10"/>
      <c r="L1516" s="10" t="s">
        <v>1365</v>
      </c>
      <c r="M1516" s="10"/>
      <c r="N1516" s="10"/>
      <c r="O1516" s="11"/>
      <c r="P1516" s="11"/>
      <c r="Q1516" s="11"/>
      <c r="R1516" s="11"/>
      <c r="S1516" s="11" t="s">
        <v>1181</v>
      </c>
      <c r="T1516" s="117"/>
    </row>
    <row r="1517" spans="1:20" x14ac:dyDescent="0.2">
      <c r="A1517" s="33"/>
      <c r="K1517" s="10"/>
      <c r="L1517" s="10"/>
      <c r="M1517" s="10"/>
      <c r="N1517" s="10"/>
      <c r="O1517" s="11"/>
      <c r="P1517" s="34"/>
      <c r="Q1517" s="34"/>
      <c r="R1517" s="145"/>
      <c r="S1517" s="145"/>
      <c r="T1517" s="117"/>
    </row>
    <row r="1518" spans="1:20" x14ac:dyDescent="0.2">
      <c r="A1518" s="33"/>
      <c r="B1518" s="52"/>
      <c r="C1518" s="30"/>
      <c r="D1518" s="31"/>
      <c r="E1518" s="53"/>
      <c r="F1518" s="31"/>
      <c r="G1518" s="31"/>
      <c r="H1518" s="31"/>
      <c r="I1518" s="31"/>
      <c r="J1518" s="31"/>
      <c r="K1518" s="29"/>
      <c r="L1518" s="29"/>
      <c r="M1518" s="29"/>
      <c r="N1518" s="29"/>
      <c r="O1518" s="109"/>
      <c r="P1518" s="34"/>
      <c r="Q1518" s="34"/>
      <c r="R1518" s="149"/>
      <c r="S1518" s="149"/>
      <c r="T1518" s="160"/>
    </row>
    <row r="1519" spans="1:20" x14ac:dyDescent="0.2">
      <c r="A1519" s="33"/>
      <c r="B1519" s="20" t="s">
        <v>801</v>
      </c>
      <c r="E1519" s="21"/>
      <c r="F1519" s="9"/>
      <c r="G1519" s="9"/>
      <c r="H1519" s="9"/>
      <c r="I1519" s="9"/>
      <c r="J1519" s="9"/>
      <c r="K1519" s="10"/>
      <c r="L1519" s="10"/>
      <c r="M1519" s="10"/>
      <c r="N1519" s="10"/>
      <c r="O1519" s="11"/>
      <c r="P1519" s="34"/>
      <c r="Q1519" s="34"/>
      <c r="R1519" s="145"/>
      <c r="S1519" s="145"/>
      <c r="T1519" s="117"/>
    </row>
    <row r="1520" spans="1:20" ht="22.5" x14ac:dyDescent="0.2">
      <c r="A1520" s="33"/>
      <c r="B1520" s="8" t="s">
        <v>1743</v>
      </c>
      <c r="E1520" s="20" t="s">
        <v>1741</v>
      </c>
      <c r="F1520" s="9">
        <v>1024</v>
      </c>
      <c r="G1520" s="9">
        <v>22</v>
      </c>
      <c r="H1520" s="9"/>
      <c r="I1520" s="9">
        <v>44</v>
      </c>
      <c r="J1520" s="9"/>
      <c r="K1520" s="10" t="s">
        <v>1744</v>
      </c>
      <c r="L1520" s="10" t="s">
        <v>1365</v>
      </c>
      <c r="M1520" s="10"/>
      <c r="N1520" s="10"/>
      <c r="O1520" s="11"/>
      <c r="P1520" s="34"/>
      <c r="Q1520" s="34"/>
      <c r="R1520" s="145"/>
      <c r="S1520" s="145"/>
      <c r="T1520" s="117"/>
    </row>
    <row r="1521" spans="1:20" ht="11.25" customHeight="1" x14ac:dyDescent="0.2">
      <c r="A1521" s="33"/>
      <c r="B1521" s="20" t="s">
        <v>803</v>
      </c>
      <c r="E1521" s="7"/>
      <c r="F1521" s="9"/>
      <c r="G1521" s="9"/>
      <c r="H1521" s="9"/>
      <c r="I1521" s="9"/>
      <c r="J1521" s="9"/>
      <c r="K1521" s="10"/>
      <c r="L1521" s="10"/>
      <c r="M1521" s="10"/>
      <c r="N1521" s="10"/>
      <c r="O1521" s="11"/>
      <c r="P1521" s="34"/>
      <c r="Q1521" s="34"/>
      <c r="R1521" s="145"/>
      <c r="S1521" s="145"/>
      <c r="T1521" s="117"/>
    </row>
    <row r="1522" spans="1:20" ht="11.25" customHeight="1" x14ac:dyDescent="0.2">
      <c r="A1522" s="33"/>
      <c r="B1522" s="52" t="s">
        <v>1810</v>
      </c>
      <c r="C1522" s="30"/>
      <c r="D1522" s="31"/>
      <c r="E1522" s="53"/>
      <c r="F1522" s="30" t="s">
        <v>487</v>
      </c>
      <c r="G1522" s="30" t="s">
        <v>488</v>
      </c>
      <c r="H1522" s="48"/>
      <c r="I1522" s="31" t="s">
        <v>489</v>
      </c>
      <c r="J1522" s="31"/>
      <c r="K1522" s="29"/>
      <c r="L1522" s="29"/>
      <c r="M1522" s="29"/>
      <c r="N1522" s="29"/>
      <c r="O1522" s="109"/>
      <c r="P1522" s="34"/>
      <c r="Q1522" s="34"/>
      <c r="R1522" s="149"/>
      <c r="S1522" s="149"/>
      <c r="T1522" s="160"/>
    </row>
    <row r="1523" spans="1:20" ht="11.25" customHeight="1" x14ac:dyDescent="0.2">
      <c r="A1523" s="33"/>
      <c r="B1523" s="173" t="s">
        <v>800</v>
      </c>
      <c r="E1523" s="20"/>
      <c r="F1523" s="9"/>
      <c r="G1523" s="9"/>
      <c r="H1523" s="9"/>
      <c r="I1523" s="9"/>
      <c r="J1523" s="9"/>
      <c r="K1523" s="10"/>
      <c r="L1523" s="10"/>
      <c r="M1523" s="10"/>
      <c r="N1523" s="10"/>
      <c r="O1523" s="11"/>
      <c r="P1523" s="34"/>
      <c r="Q1523" s="34"/>
      <c r="R1523" s="145"/>
      <c r="S1523" s="145"/>
      <c r="T1523" s="117"/>
    </row>
    <row r="1524" spans="1:20" ht="11.25" customHeight="1" x14ac:dyDescent="0.2">
      <c r="A1524" s="33"/>
      <c r="B1524" s="20"/>
      <c r="D1524" s="9">
        <v>1</v>
      </c>
      <c r="E1524" s="20" t="s">
        <v>45</v>
      </c>
      <c r="F1524" s="9">
        <v>1</v>
      </c>
      <c r="G1524" s="9">
        <v>0.5</v>
      </c>
      <c r="H1524" s="9"/>
      <c r="I1524" s="9">
        <f>F1524*2*G1524</f>
        <v>1</v>
      </c>
      <c r="J1524" s="9"/>
      <c r="K1524" s="165" t="s">
        <v>16</v>
      </c>
      <c r="L1524" s="11" t="s">
        <v>797</v>
      </c>
      <c r="M1524" s="11"/>
      <c r="N1524" s="10"/>
      <c r="O1524" s="11"/>
      <c r="P1524" s="11"/>
      <c r="Q1524" s="11"/>
      <c r="R1524" s="11"/>
      <c r="S1524" s="11" t="s">
        <v>1181</v>
      </c>
      <c r="T1524" s="117"/>
    </row>
    <row r="1525" spans="1:20" ht="11.25" customHeight="1" x14ac:dyDescent="0.2">
      <c r="A1525" s="33"/>
      <c r="B1525" s="20"/>
      <c r="D1525" s="9">
        <v>1</v>
      </c>
      <c r="E1525" s="20" t="s">
        <v>486</v>
      </c>
      <c r="F1525" s="9">
        <v>1</v>
      </c>
      <c r="G1525" s="9">
        <v>0.5</v>
      </c>
      <c r="H1525" s="9"/>
      <c r="I1525" s="9">
        <f>F1525*2*G1525</f>
        <v>1</v>
      </c>
      <c r="J1525" s="9"/>
      <c r="K1525" s="165" t="s">
        <v>17</v>
      </c>
      <c r="L1525" s="11" t="s">
        <v>797</v>
      </c>
      <c r="M1525" s="11"/>
      <c r="N1525" s="10"/>
      <c r="O1525" s="11"/>
      <c r="P1525" s="11"/>
      <c r="Q1525" s="11"/>
      <c r="R1525" s="11"/>
      <c r="S1525" s="11" t="s">
        <v>1181</v>
      </c>
      <c r="T1525" s="117"/>
    </row>
    <row r="1526" spans="1:20" ht="11.25" customHeight="1" x14ac:dyDescent="0.2">
      <c r="A1526" s="33"/>
      <c r="B1526" s="20"/>
      <c r="D1526" s="9">
        <v>2</v>
      </c>
      <c r="E1526" s="20" t="s">
        <v>1503</v>
      </c>
      <c r="F1526" s="9">
        <v>1</v>
      </c>
      <c r="G1526" s="9">
        <v>1</v>
      </c>
      <c r="H1526" s="9"/>
      <c r="I1526" s="9">
        <f>F1526*2*G1526</f>
        <v>2</v>
      </c>
      <c r="J1526" s="9"/>
      <c r="K1526" s="57" t="s">
        <v>1630</v>
      </c>
      <c r="L1526" s="11" t="s">
        <v>797</v>
      </c>
      <c r="M1526" s="11"/>
      <c r="N1526" s="10"/>
      <c r="O1526" s="11"/>
      <c r="P1526" s="11"/>
      <c r="Q1526" s="11"/>
      <c r="R1526" s="11"/>
      <c r="S1526" s="11" t="s">
        <v>1181</v>
      </c>
    </row>
    <row r="1527" spans="1:20" ht="11.25" customHeight="1" x14ac:dyDescent="0.2">
      <c r="A1527" s="33"/>
      <c r="B1527" s="20"/>
      <c r="D1527" s="9">
        <v>3</v>
      </c>
      <c r="E1527" s="20" t="s">
        <v>1504</v>
      </c>
      <c r="F1527" s="9">
        <v>1</v>
      </c>
      <c r="G1527" s="9">
        <v>1</v>
      </c>
      <c r="H1527" s="9"/>
      <c r="I1527" s="9">
        <f>F1527*2*G1527</f>
        <v>2</v>
      </c>
      <c r="J1527" s="9"/>
      <c r="K1527" s="57" t="s">
        <v>1631</v>
      </c>
      <c r="L1527" s="11" t="s">
        <v>797</v>
      </c>
      <c r="M1527" s="11"/>
      <c r="N1527" s="10"/>
      <c r="O1527" s="11"/>
      <c r="P1527" s="11"/>
      <c r="Q1527" s="11"/>
      <c r="R1527" s="11"/>
      <c r="S1527" s="11" t="s">
        <v>1181</v>
      </c>
      <c r="T1527" s="117"/>
    </row>
    <row r="1528" spans="1:20" ht="11.25" customHeight="1" x14ac:dyDescent="0.2">
      <c r="A1528" s="33"/>
      <c r="B1528" s="20"/>
      <c r="D1528" s="9">
        <v>4</v>
      </c>
      <c r="E1528" s="20" t="s">
        <v>1505</v>
      </c>
      <c r="F1528" s="9">
        <v>1</v>
      </c>
      <c r="G1528" s="9">
        <v>1</v>
      </c>
      <c r="H1528" s="9"/>
      <c r="I1528" s="9">
        <f>F1528*2*G1528</f>
        <v>2</v>
      </c>
      <c r="J1528" s="9"/>
      <c r="K1528" s="10" t="s">
        <v>1632</v>
      </c>
      <c r="L1528" s="11" t="s">
        <v>797</v>
      </c>
      <c r="M1528" s="11"/>
      <c r="N1528" s="10"/>
      <c r="O1528" s="11"/>
      <c r="P1528" s="11"/>
      <c r="Q1528" s="11"/>
      <c r="R1528" s="11"/>
      <c r="S1528" s="11" t="s">
        <v>1181</v>
      </c>
      <c r="T1528" s="117"/>
    </row>
    <row r="1529" spans="1:20" ht="11.25" customHeight="1" x14ac:dyDescent="0.2">
      <c r="A1529" s="33"/>
      <c r="B1529" s="20"/>
      <c r="D1529" s="9">
        <v>5</v>
      </c>
      <c r="E1529" s="20" t="s">
        <v>1757</v>
      </c>
      <c r="F1529" s="9">
        <v>1</v>
      </c>
      <c r="G1529" s="9">
        <v>1</v>
      </c>
      <c r="H1529" s="9"/>
      <c r="I1529" s="9">
        <v>2</v>
      </c>
      <c r="J1529" s="9"/>
      <c r="K1529" s="57" t="s">
        <v>1756</v>
      </c>
      <c r="L1529" s="11" t="s">
        <v>797</v>
      </c>
      <c r="M1529" s="11"/>
      <c r="N1529" s="10"/>
      <c r="O1529" s="11"/>
      <c r="P1529" s="11"/>
      <c r="Q1529" s="11"/>
      <c r="R1529" s="11"/>
      <c r="S1529" s="11" t="s">
        <v>1181</v>
      </c>
      <c r="T1529" s="117"/>
    </row>
    <row r="1530" spans="1:20" ht="11.25" customHeight="1" x14ac:dyDescent="0.2">
      <c r="A1530" s="33"/>
      <c r="B1530" s="20"/>
      <c r="D1530" s="9">
        <v>6</v>
      </c>
      <c r="E1530" s="20" t="s">
        <v>1506</v>
      </c>
      <c r="F1530" s="9">
        <v>1</v>
      </c>
      <c r="G1530" s="9">
        <v>1</v>
      </c>
      <c r="H1530" s="9"/>
      <c r="I1530" s="9">
        <f t="shared" ref="I1530:I1541" si="238">F1530*2*G1530</f>
        <v>2</v>
      </c>
      <c r="J1530" s="9"/>
      <c r="K1530" s="10" t="s">
        <v>1935</v>
      </c>
      <c r="L1530" s="11" t="s">
        <v>797</v>
      </c>
      <c r="M1530" s="11"/>
      <c r="N1530" s="10"/>
      <c r="O1530" s="11"/>
      <c r="P1530" s="11"/>
      <c r="Q1530" s="11"/>
      <c r="R1530" s="11"/>
      <c r="S1530" s="11" t="s">
        <v>1181</v>
      </c>
    </row>
    <row r="1531" spans="1:20" ht="11.25" customHeight="1" x14ac:dyDescent="0.2">
      <c r="A1531" s="33"/>
      <c r="B1531" s="20"/>
      <c r="D1531" s="9">
        <v>7</v>
      </c>
      <c r="E1531" s="20" t="s">
        <v>1507</v>
      </c>
      <c r="F1531" s="9">
        <v>1</v>
      </c>
      <c r="G1531" s="9">
        <v>1</v>
      </c>
      <c r="H1531" s="9"/>
      <c r="I1531" s="9">
        <f t="shared" si="238"/>
        <v>2</v>
      </c>
      <c r="J1531" s="9"/>
      <c r="K1531" s="57" t="s">
        <v>1633</v>
      </c>
      <c r="L1531" s="11" t="s">
        <v>797</v>
      </c>
      <c r="M1531" s="11"/>
      <c r="N1531" s="10"/>
      <c r="O1531" s="11"/>
      <c r="P1531" s="11"/>
      <c r="Q1531" s="11"/>
      <c r="R1531" s="11"/>
      <c r="S1531" s="11" t="s">
        <v>1181</v>
      </c>
      <c r="T1531" s="117"/>
    </row>
    <row r="1532" spans="1:20" ht="11.25" customHeight="1" x14ac:dyDescent="0.2">
      <c r="A1532" s="33"/>
      <c r="B1532" s="20"/>
      <c r="D1532" s="9">
        <v>8</v>
      </c>
      <c r="E1532" s="20" t="s">
        <v>1508</v>
      </c>
      <c r="F1532" s="9">
        <v>1</v>
      </c>
      <c r="G1532" s="9">
        <v>1</v>
      </c>
      <c r="H1532" s="9"/>
      <c r="I1532" s="9">
        <f t="shared" si="238"/>
        <v>2</v>
      </c>
      <c r="J1532" s="9"/>
      <c r="K1532" s="57" t="s">
        <v>1508</v>
      </c>
      <c r="L1532" s="11" t="s">
        <v>797</v>
      </c>
      <c r="M1532" s="11"/>
      <c r="N1532" s="10"/>
      <c r="O1532" s="11"/>
      <c r="P1532" s="11"/>
      <c r="Q1532" s="11"/>
      <c r="R1532" s="11"/>
      <c r="S1532" s="11" t="s">
        <v>1181</v>
      </c>
      <c r="T1532" s="117"/>
    </row>
    <row r="1533" spans="1:20" ht="11.25" customHeight="1" x14ac:dyDescent="0.2">
      <c r="A1533" s="33"/>
      <c r="B1533" s="20"/>
      <c r="D1533" s="9">
        <v>9</v>
      </c>
      <c r="E1533" s="20" t="s">
        <v>1634</v>
      </c>
      <c r="F1533" s="9">
        <v>1</v>
      </c>
      <c r="G1533" s="9">
        <v>1</v>
      </c>
      <c r="H1533" s="9"/>
      <c r="I1533" s="9">
        <f t="shared" si="238"/>
        <v>2</v>
      </c>
      <c r="J1533" s="9"/>
      <c r="K1533" s="10" t="s">
        <v>1635</v>
      </c>
      <c r="L1533" s="11" t="s">
        <v>797</v>
      </c>
      <c r="M1533" s="11"/>
      <c r="N1533" s="10"/>
      <c r="O1533" s="11"/>
      <c r="P1533" s="11"/>
      <c r="Q1533" s="11"/>
      <c r="R1533" s="11"/>
      <c r="S1533" s="11" t="s">
        <v>1181</v>
      </c>
      <c r="T1533" s="117"/>
    </row>
    <row r="1534" spans="1:20" ht="11.25" customHeight="1" x14ac:dyDescent="0.2">
      <c r="A1534" s="33"/>
      <c r="B1534" s="20"/>
      <c r="D1534" s="9">
        <v>10</v>
      </c>
      <c r="E1534" s="20" t="s">
        <v>1509</v>
      </c>
      <c r="F1534" s="9">
        <v>1</v>
      </c>
      <c r="G1534" s="9">
        <v>1</v>
      </c>
      <c r="H1534" s="9"/>
      <c r="I1534" s="9">
        <f t="shared" si="238"/>
        <v>2</v>
      </c>
      <c r="J1534" s="9"/>
      <c r="K1534" s="10" t="s">
        <v>809</v>
      </c>
      <c r="L1534" s="11" t="s">
        <v>797</v>
      </c>
      <c r="M1534" s="11"/>
      <c r="N1534" s="10"/>
      <c r="O1534" s="11"/>
      <c r="P1534" s="11"/>
      <c r="Q1534" s="11"/>
      <c r="R1534" s="11"/>
      <c r="S1534" s="11" t="s">
        <v>1181</v>
      </c>
      <c r="T1534" s="117"/>
    </row>
    <row r="1535" spans="1:20" ht="11.25" customHeight="1" x14ac:dyDescent="0.2">
      <c r="A1535" s="33"/>
      <c r="B1535" s="20"/>
      <c r="D1535" s="9">
        <v>11</v>
      </c>
      <c r="E1535" s="20" t="s">
        <v>1636</v>
      </c>
      <c r="F1535" s="9">
        <v>1</v>
      </c>
      <c r="G1535" s="9">
        <v>1</v>
      </c>
      <c r="H1535" s="9"/>
      <c r="I1535" s="9">
        <f t="shared" si="238"/>
        <v>2</v>
      </c>
      <c r="J1535" s="9"/>
      <c r="K1535" s="57" t="s">
        <v>1636</v>
      </c>
      <c r="L1535" s="11" t="s">
        <v>797</v>
      </c>
      <c r="M1535" s="11"/>
      <c r="N1535" s="10"/>
      <c r="O1535" s="11"/>
      <c r="P1535" s="11"/>
      <c r="Q1535" s="11"/>
      <c r="R1535" s="11"/>
      <c r="S1535" s="11" t="s">
        <v>1181</v>
      </c>
      <c r="T1535" s="117"/>
    </row>
    <row r="1536" spans="1:20" ht="11.25" customHeight="1" x14ac:dyDescent="0.2">
      <c r="A1536" s="33"/>
      <c r="B1536" s="20"/>
      <c r="D1536" s="9">
        <v>12</v>
      </c>
      <c r="E1536" s="20" t="s">
        <v>1510</v>
      </c>
      <c r="F1536" s="9">
        <v>1</v>
      </c>
      <c r="G1536" s="9">
        <v>1</v>
      </c>
      <c r="H1536" s="9"/>
      <c r="I1536" s="9">
        <f t="shared" si="238"/>
        <v>2</v>
      </c>
      <c r="J1536" s="9"/>
      <c r="K1536" s="57" t="s">
        <v>1510</v>
      </c>
      <c r="L1536" s="11" t="s">
        <v>797</v>
      </c>
      <c r="M1536" s="11"/>
      <c r="N1536" s="10"/>
      <c r="O1536" s="11"/>
      <c r="P1536" s="11"/>
      <c r="Q1536" s="11"/>
      <c r="R1536" s="11"/>
      <c r="S1536" s="11" t="s">
        <v>1181</v>
      </c>
      <c r="T1536" s="117"/>
    </row>
    <row r="1537" spans="1:20" ht="11.25" customHeight="1" x14ac:dyDescent="0.2">
      <c r="A1537" s="33"/>
      <c r="B1537" s="20"/>
      <c r="D1537" s="9">
        <v>13</v>
      </c>
      <c r="E1537" s="20" t="s">
        <v>1511</v>
      </c>
      <c r="F1537" s="9">
        <v>1</v>
      </c>
      <c r="G1537" s="9">
        <v>1</v>
      </c>
      <c r="H1537" s="9"/>
      <c r="I1537" s="9">
        <f t="shared" si="238"/>
        <v>2</v>
      </c>
      <c r="J1537" s="9"/>
      <c r="K1537" s="57" t="s">
        <v>1663</v>
      </c>
      <c r="L1537" s="11" t="s">
        <v>797</v>
      </c>
      <c r="M1537" s="11"/>
      <c r="N1537" s="10"/>
      <c r="O1537" s="11"/>
      <c r="P1537" s="11"/>
      <c r="Q1537" s="11"/>
      <c r="R1537" s="11"/>
      <c r="S1537" s="11" t="s">
        <v>1181</v>
      </c>
      <c r="T1537" s="117"/>
    </row>
    <row r="1538" spans="1:20" ht="11.25" customHeight="1" x14ac:dyDescent="0.2">
      <c r="A1538" s="33"/>
      <c r="B1538" s="20"/>
      <c r="D1538" s="9">
        <v>14</v>
      </c>
      <c r="E1538" s="20" t="s">
        <v>1512</v>
      </c>
      <c r="F1538" s="9">
        <v>1</v>
      </c>
      <c r="G1538" s="9">
        <v>1</v>
      </c>
      <c r="H1538" s="9"/>
      <c r="I1538" s="9">
        <f t="shared" si="238"/>
        <v>2</v>
      </c>
      <c r="J1538" s="9"/>
      <c r="K1538" s="10" t="s">
        <v>1635</v>
      </c>
      <c r="L1538" s="11" t="s">
        <v>797</v>
      </c>
      <c r="M1538" s="11"/>
      <c r="N1538" s="10"/>
      <c r="O1538" s="11"/>
      <c r="P1538" s="11"/>
      <c r="Q1538" s="11"/>
      <c r="R1538" s="11"/>
      <c r="S1538" s="11" t="s">
        <v>1181</v>
      </c>
      <c r="T1538" s="117"/>
    </row>
    <row r="1539" spans="1:20" ht="11.25" customHeight="1" x14ac:dyDescent="0.2">
      <c r="A1539" s="33"/>
      <c r="B1539" s="20"/>
      <c r="D1539" s="9">
        <v>15</v>
      </c>
      <c r="E1539" s="20" t="s">
        <v>1513</v>
      </c>
      <c r="F1539" s="9">
        <v>1</v>
      </c>
      <c r="G1539" s="9">
        <v>1</v>
      </c>
      <c r="H1539" s="9"/>
      <c r="I1539" s="9">
        <f t="shared" si="238"/>
        <v>2</v>
      </c>
      <c r="J1539" s="9"/>
      <c r="K1539" s="10" t="s">
        <v>809</v>
      </c>
      <c r="L1539" s="11" t="s">
        <v>797</v>
      </c>
      <c r="M1539" s="11"/>
      <c r="N1539" s="10"/>
      <c r="O1539" s="11"/>
      <c r="P1539" s="11"/>
      <c r="Q1539" s="11"/>
      <c r="R1539" s="11"/>
      <c r="S1539" s="11" t="s">
        <v>1181</v>
      </c>
      <c r="T1539" s="117"/>
    </row>
    <row r="1540" spans="1:20" ht="11.25" customHeight="1" x14ac:dyDescent="0.2">
      <c r="A1540" s="33"/>
      <c r="B1540" s="20"/>
      <c r="D1540" s="9">
        <v>16</v>
      </c>
      <c r="E1540" s="20" t="s">
        <v>1637</v>
      </c>
      <c r="F1540" s="9">
        <v>1</v>
      </c>
      <c r="G1540" s="9">
        <v>1</v>
      </c>
      <c r="H1540" s="9"/>
      <c r="I1540" s="9">
        <f t="shared" si="238"/>
        <v>2</v>
      </c>
      <c r="J1540" s="9"/>
      <c r="K1540" s="57" t="s">
        <v>1637</v>
      </c>
      <c r="L1540" s="11" t="s">
        <v>797</v>
      </c>
      <c r="M1540" s="11"/>
      <c r="N1540" s="10"/>
      <c r="O1540" s="11"/>
      <c r="P1540" s="11"/>
      <c r="Q1540" s="11"/>
      <c r="R1540" s="11"/>
      <c r="S1540" s="11" t="s">
        <v>1181</v>
      </c>
      <c r="T1540" s="117"/>
    </row>
    <row r="1541" spans="1:20" ht="11.25" customHeight="1" x14ac:dyDescent="0.2">
      <c r="A1541" s="33"/>
      <c r="B1541" s="20"/>
      <c r="D1541" s="9">
        <v>17</v>
      </c>
      <c r="E1541" s="20" t="s">
        <v>1638</v>
      </c>
      <c r="F1541" s="9">
        <v>1</v>
      </c>
      <c r="G1541" s="9">
        <v>1</v>
      </c>
      <c r="H1541" s="9"/>
      <c r="I1541" s="9">
        <f t="shared" si="238"/>
        <v>2</v>
      </c>
      <c r="J1541" s="9"/>
      <c r="K1541" s="57" t="s">
        <v>1638</v>
      </c>
      <c r="L1541" s="11" t="s">
        <v>797</v>
      </c>
      <c r="M1541" s="11"/>
      <c r="N1541" s="10"/>
      <c r="O1541" s="11"/>
      <c r="P1541" s="11"/>
      <c r="Q1541" s="11"/>
      <c r="R1541" s="11"/>
      <c r="S1541" s="11" t="s">
        <v>1181</v>
      </c>
      <c r="T1541" s="117"/>
    </row>
    <row r="1542" spans="1:20" ht="11.25" customHeight="1" x14ac:dyDescent="0.2">
      <c r="A1542" s="33"/>
      <c r="B1542" s="20"/>
      <c r="D1542" s="12"/>
      <c r="E1542" s="20"/>
      <c r="F1542" s="9"/>
      <c r="G1542" s="9"/>
      <c r="H1542" s="9"/>
      <c r="I1542" s="9"/>
      <c r="J1542" s="9"/>
      <c r="K1542" s="57"/>
      <c r="L1542" s="11"/>
      <c r="M1542" s="11"/>
      <c r="N1542" s="10"/>
      <c r="O1542" s="11"/>
      <c r="P1542" s="34"/>
      <c r="Q1542" s="34"/>
      <c r="R1542" s="145"/>
      <c r="S1542" s="145"/>
      <c r="T1542" s="117"/>
    </row>
    <row r="1543" spans="1:20" ht="11.25" customHeight="1" x14ac:dyDescent="0.2">
      <c r="A1543" s="33"/>
      <c r="B1543" s="173" t="s">
        <v>802</v>
      </c>
      <c r="E1543" s="117"/>
      <c r="F1543" s="9">
        <f>SUM(F1524:F1541)</f>
        <v>18</v>
      </c>
      <c r="G1543" s="9">
        <f>SUM(G1524:G1541)</f>
        <v>17</v>
      </c>
      <c r="H1543" s="9"/>
      <c r="I1543" s="9">
        <f>SUM(I1526:I1541)</f>
        <v>32</v>
      </c>
      <c r="J1543" s="9"/>
      <c r="K1543" s="10"/>
      <c r="L1543" s="10"/>
      <c r="M1543" s="10"/>
      <c r="N1543" s="10"/>
      <c r="O1543" s="11"/>
      <c r="P1543" s="34"/>
      <c r="Q1543" s="34"/>
      <c r="R1543" s="145"/>
      <c r="S1543" s="145"/>
      <c r="T1543" s="117"/>
    </row>
    <row r="1544" spans="1:20" ht="11.25" customHeight="1" x14ac:dyDescent="0.2">
      <c r="A1544" s="33"/>
      <c r="B1544" s="52"/>
      <c r="C1544" s="30"/>
      <c r="D1544" s="31"/>
      <c r="E1544" s="53"/>
      <c r="F1544" s="31"/>
      <c r="G1544" s="31"/>
      <c r="H1544" s="31"/>
      <c r="I1544" s="31"/>
      <c r="J1544" s="31"/>
      <c r="K1544" s="29"/>
      <c r="L1544" s="29"/>
      <c r="M1544" s="29"/>
      <c r="N1544" s="29"/>
      <c r="O1544" s="109"/>
      <c r="P1544" s="34"/>
      <c r="Q1544" s="34"/>
      <c r="R1544" s="149"/>
      <c r="S1544" s="149"/>
      <c r="T1544" s="160"/>
    </row>
    <row r="1545" spans="1:20" ht="11.25" customHeight="1" x14ac:dyDescent="0.2">
      <c r="A1545" s="33"/>
      <c r="B1545" s="173" t="s">
        <v>801</v>
      </c>
      <c r="E1545" s="21"/>
      <c r="F1545" s="9"/>
      <c r="G1545" s="9"/>
      <c r="H1545" s="9"/>
      <c r="I1545" s="9"/>
      <c r="J1545" s="9"/>
      <c r="K1545" s="10"/>
      <c r="L1545" s="10"/>
      <c r="M1545" s="10"/>
      <c r="N1545" s="10"/>
      <c r="O1545" s="11"/>
      <c r="P1545" s="34"/>
      <c r="Q1545" s="34"/>
      <c r="R1545" s="145"/>
      <c r="S1545" s="145"/>
    </row>
    <row r="1546" spans="1:20" ht="11.25" customHeight="1" x14ac:dyDescent="0.2">
      <c r="A1546" s="33"/>
      <c r="B1546" s="8" t="s">
        <v>807</v>
      </c>
      <c r="E1546" s="20" t="s">
        <v>44</v>
      </c>
      <c r="F1546" s="9">
        <v>256</v>
      </c>
      <c r="G1546" s="9">
        <f>G1543 * F1546</f>
        <v>4352</v>
      </c>
      <c r="H1546" s="9"/>
      <c r="I1546" s="9">
        <f>F1546*I1543</f>
        <v>8192</v>
      </c>
      <c r="J1546" s="9"/>
      <c r="K1546" s="10"/>
      <c r="L1546" s="10"/>
      <c r="M1546" s="10"/>
      <c r="N1546" s="10"/>
      <c r="O1546" s="11"/>
      <c r="P1546" s="34"/>
      <c r="Q1546" s="34"/>
      <c r="R1546" s="145"/>
      <c r="S1546" s="145"/>
    </row>
    <row r="1547" spans="1:20" ht="11.25" customHeight="1" x14ac:dyDescent="0.2">
      <c r="A1547" s="33"/>
      <c r="B1547" s="20" t="s">
        <v>803</v>
      </c>
      <c r="E1547" s="7"/>
      <c r="F1547" s="9"/>
      <c r="G1547" s="9"/>
      <c r="H1547" s="9"/>
      <c r="I1547" s="9"/>
      <c r="J1547" s="9"/>
      <c r="K1547" s="10"/>
      <c r="L1547" s="10"/>
      <c r="M1547" s="10"/>
      <c r="N1547" s="10"/>
      <c r="O1547" s="11"/>
      <c r="P1547" s="34"/>
      <c r="Q1547" s="34"/>
      <c r="R1547" s="145"/>
      <c r="S1547" s="145"/>
    </row>
    <row r="1548" spans="1:20" ht="11.25" customHeight="1" x14ac:dyDescent="0.2">
      <c r="A1548" s="33"/>
      <c r="B1548" s="52" t="s">
        <v>1815</v>
      </c>
      <c r="C1548" s="30"/>
      <c r="D1548" s="31"/>
      <c r="E1548" s="53"/>
      <c r="F1548" s="31"/>
      <c r="G1548" s="31"/>
      <c r="H1548" s="31"/>
      <c r="I1548" s="31"/>
      <c r="J1548" s="31"/>
      <c r="K1548" s="29"/>
      <c r="L1548" s="29"/>
      <c r="M1548" s="29"/>
      <c r="N1548" s="29"/>
      <c r="O1548" s="109"/>
      <c r="P1548" s="34"/>
      <c r="Q1548" s="34"/>
      <c r="R1548" s="149"/>
      <c r="S1548" s="149"/>
      <c r="T1548" s="160"/>
    </row>
    <row r="1549" spans="1:20" ht="11.25" customHeight="1" x14ac:dyDescent="0.2">
      <c r="A1549" s="33"/>
      <c r="B1549" s="173"/>
      <c r="E1549" s="117"/>
      <c r="F1549" s="9"/>
      <c r="G1549" s="9"/>
      <c r="H1549" s="9"/>
      <c r="I1549" s="9"/>
      <c r="J1549" s="9"/>
      <c r="K1549" s="10"/>
      <c r="L1549" s="10"/>
      <c r="M1549" s="10"/>
      <c r="N1549" s="10"/>
      <c r="O1549" s="11"/>
      <c r="P1549" s="34"/>
      <c r="Q1549" s="34"/>
      <c r="R1549" s="145"/>
      <c r="S1549" s="145"/>
      <c r="T1549" s="117"/>
    </row>
    <row r="1550" spans="1:20" ht="11.25" customHeight="1" x14ac:dyDescent="0.2">
      <c r="A1550" s="33"/>
      <c r="B1550" s="52"/>
      <c r="C1550" s="30"/>
      <c r="D1550" s="31"/>
      <c r="E1550" s="53"/>
      <c r="F1550" s="31"/>
      <c r="G1550" s="31"/>
      <c r="H1550" s="31"/>
      <c r="I1550" s="31"/>
      <c r="J1550" s="31"/>
      <c r="K1550" s="29"/>
      <c r="L1550" s="29"/>
      <c r="M1550" s="29"/>
      <c r="N1550" s="29"/>
      <c r="O1550" s="109"/>
      <c r="P1550" s="34"/>
      <c r="Q1550" s="34"/>
      <c r="R1550" s="149"/>
      <c r="S1550" s="149"/>
      <c r="T1550" s="160"/>
    </row>
    <row r="1551" spans="1:20" ht="11.25" customHeight="1" x14ac:dyDescent="0.2">
      <c r="A1551" s="33"/>
      <c r="B1551" s="20"/>
      <c r="E1551" s="7"/>
      <c r="F1551" s="9"/>
      <c r="G1551" s="9"/>
      <c r="H1551" s="9"/>
      <c r="I1551" s="9"/>
      <c r="J1551" s="9"/>
      <c r="K1551" s="10"/>
      <c r="L1551" s="10"/>
      <c r="M1551" s="10"/>
      <c r="N1551" s="10"/>
      <c r="O1551" s="11"/>
      <c r="P1551" s="34"/>
      <c r="Q1551" s="34"/>
      <c r="R1551" s="145"/>
      <c r="S1551" s="145"/>
      <c r="T1551" s="117"/>
    </row>
    <row r="1552" spans="1:20" ht="11.25" customHeight="1" x14ac:dyDescent="0.2">
      <c r="A1552" s="33"/>
      <c r="B1552" s="52" t="s">
        <v>57</v>
      </c>
      <c r="C1552" s="30"/>
      <c r="D1552" s="31"/>
      <c r="E1552" s="53"/>
      <c r="F1552" s="30" t="s">
        <v>487</v>
      </c>
      <c r="G1552" s="30" t="s">
        <v>488</v>
      </c>
      <c r="H1552" s="48"/>
      <c r="I1552" s="31" t="s">
        <v>489</v>
      </c>
      <c r="J1552" s="31"/>
      <c r="K1552" s="29"/>
      <c r="L1552" s="29"/>
      <c r="M1552" s="29"/>
      <c r="N1552" s="29"/>
      <c r="O1552" s="109"/>
      <c r="P1552" s="34"/>
      <c r="Q1552" s="34"/>
      <c r="R1552" s="149"/>
      <c r="S1552" s="149"/>
      <c r="T1552" s="160"/>
    </row>
    <row r="1553" spans="1:20" ht="11.25" customHeight="1" x14ac:dyDescent="0.2">
      <c r="A1553" s="33"/>
      <c r="B1553" s="20"/>
      <c r="E1553" s="20"/>
      <c r="F1553" s="9"/>
      <c r="G1553" s="9"/>
      <c r="H1553" s="9"/>
      <c r="I1553" s="9"/>
      <c r="J1553" s="9"/>
      <c r="K1553" s="10"/>
      <c r="L1553" s="10"/>
      <c r="M1553" s="10"/>
      <c r="N1553" s="10"/>
      <c r="O1553" s="11"/>
      <c r="P1553" s="34"/>
      <c r="Q1553" s="34"/>
      <c r="R1553" s="145"/>
      <c r="S1553" s="145"/>
      <c r="T1553" s="117"/>
    </row>
    <row r="1554" spans="1:20" x14ac:dyDescent="0.2">
      <c r="A1554" s="33"/>
      <c r="B1554" s="20"/>
      <c r="E1554" s="8" t="s">
        <v>956</v>
      </c>
      <c r="F1554" s="9">
        <v>1</v>
      </c>
      <c r="G1554" s="9">
        <v>8</v>
      </c>
      <c r="H1554" s="9"/>
      <c r="I1554" s="9">
        <f t="shared" ref="I1554:I1566" si="239">F1554*2*G1554</f>
        <v>16</v>
      </c>
      <c r="J1554" s="9">
        <v>8</v>
      </c>
      <c r="K1554" s="94" t="s">
        <v>1527</v>
      </c>
      <c r="L1554" s="11" t="s">
        <v>797</v>
      </c>
      <c r="M1554" s="11"/>
      <c r="N1554" s="10"/>
      <c r="O1554" s="11"/>
      <c r="P1554" s="11"/>
      <c r="Q1554" s="11"/>
      <c r="R1554" s="11"/>
      <c r="S1554" s="11" t="s">
        <v>1181</v>
      </c>
      <c r="T1554" s="117"/>
    </row>
    <row r="1555" spans="1:20" x14ac:dyDescent="0.2">
      <c r="A1555" s="33"/>
      <c r="B1555" s="20"/>
      <c r="E1555" s="8" t="s">
        <v>1180</v>
      </c>
      <c r="F1555" s="9">
        <v>1</v>
      </c>
      <c r="G1555" s="9">
        <v>1</v>
      </c>
      <c r="H1555" s="9"/>
      <c r="I1555" s="9">
        <f t="shared" si="239"/>
        <v>2</v>
      </c>
      <c r="J1555" s="9">
        <v>9</v>
      </c>
      <c r="K1555" s="8" t="s">
        <v>1919</v>
      </c>
      <c r="L1555" s="11" t="s">
        <v>797</v>
      </c>
      <c r="M1555" s="11"/>
      <c r="N1555" s="10"/>
      <c r="O1555" s="11"/>
      <c r="P1555" s="11"/>
      <c r="Q1555" s="11"/>
      <c r="R1555" s="11"/>
      <c r="S1555" s="11" t="s">
        <v>1181</v>
      </c>
      <c r="T1555" s="117"/>
    </row>
    <row r="1556" spans="1:20" x14ac:dyDescent="0.2">
      <c r="A1556" s="33"/>
      <c r="B1556" s="20"/>
      <c r="E1556" s="8" t="s">
        <v>1180</v>
      </c>
      <c r="F1556" s="9">
        <v>1</v>
      </c>
      <c r="G1556" s="9">
        <v>1</v>
      </c>
      <c r="H1556" s="9"/>
      <c r="I1556" s="9">
        <f t="shared" si="239"/>
        <v>2</v>
      </c>
      <c r="J1556" s="9">
        <v>10</v>
      </c>
      <c r="K1556" s="8" t="s">
        <v>1919</v>
      </c>
      <c r="L1556" s="11" t="s">
        <v>797</v>
      </c>
      <c r="M1556" s="11"/>
      <c r="N1556" s="10"/>
      <c r="O1556" s="11"/>
      <c r="P1556" s="11"/>
      <c r="Q1556" s="11"/>
      <c r="R1556" s="11"/>
      <c r="S1556" s="11" t="s">
        <v>1181</v>
      </c>
      <c r="T1556" s="117"/>
    </row>
    <row r="1557" spans="1:20" x14ac:dyDescent="0.2">
      <c r="A1557" s="33"/>
      <c r="B1557" s="20"/>
      <c r="E1557" s="8" t="s">
        <v>1696</v>
      </c>
      <c r="F1557" s="9">
        <v>1</v>
      </c>
      <c r="G1557" s="9">
        <v>1</v>
      </c>
      <c r="H1557" s="9"/>
      <c r="I1557" s="9">
        <f t="shared" si="239"/>
        <v>2</v>
      </c>
      <c r="J1557" s="9">
        <v>11</v>
      </c>
      <c r="K1557" s="94" t="s">
        <v>1521</v>
      </c>
      <c r="L1557" s="11" t="s">
        <v>797</v>
      </c>
      <c r="M1557" s="11"/>
      <c r="N1557" s="10"/>
      <c r="O1557" s="11"/>
      <c r="P1557" s="11"/>
      <c r="Q1557" s="11"/>
      <c r="R1557" s="11"/>
      <c r="S1557" s="11" t="s">
        <v>1181</v>
      </c>
      <c r="T1557" s="117"/>
    </row>
    <row r="1558" spans="1:20" x14ac:dyDescent="0.2">
      <c r="A1558" s="33"/>
      <c r="B1558" s="20"/>
      <c r="E1558" s="8" t="s">
        <v>1899</v>
      </c>
      <c r="F1558" s="9">
        <v>1</v>
      </c>
      <c r="G1558" s="9">
        <v>2</v>
      </c>
      <c r="H1558" s="9"/>
      <c r="I1558" s="9">
        <f t="shared" si="239"/>
        <v>4</v>
      </c>
      <c r="J1558" s="9" t="s">
        <v>1963</v>
      </c>
      <c r="K1558" s="94" t="s">
        <v>1895</v>
      </c>
      <c r="L1558" s="11" t="s">
        <v>797</v>
      </c>
      <c r="M1558" s="11"/>
      <c r="N1558" s="10"/>
      <c r="O1558" s="11"/>
      <c r="P1558" s="11"/>
      <c r="Q1558" s="11"/>
      <c r="R1558" s="11"/>
      <c r="S1558" s="11" t="s">
        <v>1181</v>
      </c>
      <c r="T1558" s="117"/>
    </row>
    <row r="1559" spans="1:20" x14ac:dyDescent="0.2">
      <c r="A1559" s="33"/>
      <c r="B1559" s="20"/>
      <c r="E1559" s="8" t="s">
        <v>1900</v>
      </c>
      <c r="F1559" s="9">
        <v>1</v>
      </c>
      <c r="G1559" s="9">
        <v>2</v>
      </c>
      <c r="H1559" s="9"/>
      <c r="I1559" s="9">
        <f>F1559*2*G1559</f>
        <v>4</v>
      </c>
      <c r="J1559" s="9" t="s">
        <v>1964</v>
      </c>
      <c r="K1559" s="94" t="s">
        <v>1896</v>
      </c>
      <c r="L1559" s="11" t="s">
        <v>797</v>
      </c>
      <c r="M1559" s="11"/>
      <c r="N1559" s="10"/>
      <c r="O1559" s="11"/>
      <c r="P1559" s="11"/>
      <c r="Q1559" s="11"/>
      <c r="R1559" s="11"/>
      <c r="S1559" s="11" t="s">
        <v>1181</v>
      </c>
      <c r="T1559" s="117"/>
    </row>
    <row r="1560" spans="1:20" x14ac:dyDescent="0.2">
      <c r="A1560" s="33"/>
      <c r="B1560" s="20"/>
      <c r="E1560" s="8" t="s">
        <v>543</v>
      </c>
      <c r="F1560" s="9">
        <v>1</v>
      </c>
      <c r="G1560" s="9">
        <v>1</v>
      </c>
      <c r="H1560" s="7"/>
      <c r="I1560" s="9">
        <f t="shared" si="239"/>
        <v>2</v>
      </c>
      <c r="J1560" s="9"/>
      <c r="K1560" s="227" t="s">
        <v>272</v>
      </c>
      <c r="L1560" s="11" t="s">
        <v>797</v>
      </c>
      <c r="M1560" s="11"/>
      <c r="N1560" s="10"/>
      <c r="O1560" s="11"/>
      <c r="P1560" s="11"/>
      <c r="Q1560" s="11"/>
      <c r="R1560" s="11"/>
      <c r="S1560" s="11" t="s">
        <v>1181</v>
      </c>
      <c r="T1560" s="117"/>
    </row>
    <row r="1561" spans="1:20" x14ac:dyDescent="0.2">
      <c r="A1561" s="33"/>
      <c r="B1561" s="20"/>
      <c r="E1561" s="8" t="s">
        <v>363</v>
      </c>
      <c r="F1561" s="9">
        <v>1</v>
      </c>
      <c r="G1561" s="9">
        <v>1</v>
      </c>
      <c r="H1561" s="7"/>
      <c r="I1561" s="9">
        <f t="shared" si="239"/>
        <v>2</v>
      </c>
      <c r="J1561" s="9"/>
      <c r="K1561" s="227" t="s">
        <v>776</v>
      </c>
      <c r="L1561" s="11" t="s">
        <v>797</v>
      </c>
      <c r="M1561" s="11"/>
      <c r="N1561" s="10"/>
      <c r="O1561" s="11"/>
      <c r="P1561" s="11"/>
      <c r="Q1561" s="11"/>
      <c r="R1561" s="11"/>
      <c r="S1561" s="11" t="s">
        <v>1181</v>
      </c>
      <c r="T1561" s="117"/>
    </row>
    <row r="1562" spans="1:20" x14ac:dyDescent="0.2">
      <c r="A1562" s="33"/>
      <c r="B1562" s="20"/>
      <c r="E1562" s="8" t="s">
        <v>364</v>
      </c>
      <c r="F1562" s="9">
        <v>1</v>
      </c>
      <c r="G1562" s="9">
        <v>1</v>
      </c>
      <c r="H1562" s="7"/>
      <c r="I1562" s="9">
        <f t="shared" si="239"/>
        <v>2</v>
      </c>
      <c r="J1562" s="9"/>
      <c r="K1562" s="228" t="s">
        <v>777</v>
      </c>
      <c r="L1562" s="11" t="s">
        <v>797</v>
      </c>
      <c r="M1562" s="11"/>
      <c r="N1562" s="10"/>
      <c r="O1562" s="11"/>
      <c r="P1562" s="11"/>
      <c r="Q1562" s="11"/>
      <c r="R1562" s="11"/>
      <c r="S1562" s="11" t="s">
        <v>1181</v>
      </c>
      <c r="T1562" s="117"/>
    </row>
    <row r="1563" spans="1:20" x14ac:dyDescent="0.2">
      <c r="A1563" s="33"/>
      <c r="B1563" s="20"/>
      <c r="E1563" s="8" t="s">
        <v>321</v>
      </c>
      <c r="F1563" s="9">
        <v>1</v>
      </c>
      <c r="G1563" s="9">
        <v>1</v>
      </c>
      <c r="H1563" s="7"/>
      <c r="I1563" s="9">
        <f t="shared" si="239"/>
        <v>2</v>
      </c>
      <c r="J1563" s="9"/>
      <c r="K1563" s="165" t="s">
        <v>1522</v>
      </c>
      <c r="L1563" s="11" t="s">
        <v>797</v>
      </c>
      <c r="M1563" s="11"/>
      <c r="N1563" s="10"/>
      <c r="O1563" s="11"/>
      <c r="P1563" s="11"/>
      <c r="Q1563" s="11"/>
      <c r="R1563" s="11"/>
      <c r="S1563" s="11" t="s">
        <v>1181</v>
      </c>
      <c r="T1563" s="117"/>
    </row>
    <row r="1564" spans="1:20" x14ac:dyDescent="0.2">
      <c r="A1564" s="33"/>
      <c r="B1564" s="20"/>
      <c r="E1564" s="8" t="s">
        <v>708</v>
      </c>
      <c r="F1564" s="9">
        <v>1</v>
      </c>
      <c r="G1564" s="9">
        <v>1</v>
      </c>
      <c r="H1564" s="7"/>
      <c r="I1564" s="9">
        <f t="shared" si="239"/>
        <v>2</v>
      </c>
      <c r="J1564" s="9"/>
      <c r="K1564" s="227" t="s">
        <v>711</v>
      </c>
      <c r="L1564" s="11" t="s">
        <v>797</v>
      </c>
      <c r="M1564" s="11"/>
      <c r="N1564" s="10"/>
      <c r="O1564" s="11"/>
      <c r="P1564" s="11"/>
      <c r="Q1564" s="11"/>
      <c r="R1564" s="11"/>
      <c r="S1564" s="11" t="s">
        <v>1181</v>
      </c>
      <c r="T1564" s="117"/>
    </row>
    <row r="1565" spans="1:20" x14ac:dyDescent="0.2">
      <c r="A1565" s="33"/>
      <c r="B1565" s="20"/>
      <c r="E1565" s="8" t="s">
        <v>709</v>
      </c>
      <c r="F1565" s="9">
        <v>1</v>
      </c>
      <c r="G1565" s="9">
        <v>1</v>
      </c>
      <c r="H1565" s="7"/>
      <c r="I1565" s="9">
        <f t="shared" si="239"/>
        <v>2</v>
      </c>
      <c r="J1565" s="9"/>
      <c r="K1565" s="227" t="s">
        <v>711</v>
      </c>
      <c r="L1565" s="11" t="s">
        <v>797</v>
      </c>
      <c r="M1565" s="11"/>
      <c r="N1565" s="10"/>
      <c r="O1565" s="11"/>
      <c r="P1565" s="11"/>
      <c r="Q1565" s="11"/>
      <c r="R1565" s="11"/>
      <c r="S1565" s="11" t="s">
        <v>1181</v>
      </c>
      <c r="T1565" s="117"/>
    </row>
    <row r="1566" spans="1:20" x14ac:dyDescent="0.2">
      <c r="A1566" s="33"/>
      <c r="B1566" s="20"/>
      <c r="E1566" s="8" t="s">
        <v>710</v>
      </c>
      <c r="F1566" s="9">
        <v>1</v>
      </c>
      <c r="G1566" s="9">
        <v>1</v>
      </c>
      <c r="H1566" s="7"/>
      <c r="I1566" s="9">
        <f t="shared" si="239"/>
        <v>2</v>
      </c>
      <c r="J1566" s="9"/>
      <c r="K1566" s="227" t="s">
        <v>711</v>
      </c>
      <c r="L1566" s="11" t="s">
        <v>797</v>
      </c>
      <c r="M1566" s="11"/>
      <c r="N1566" s="10"/>
      <c r="O1566" s="11"/>
      <c r="P1566" s="11"/>
      <c r="Q1566" s="11"/>
      <c r="R1566" s="11"/>
      <c r="S1566" s="11" t="s">
        <v>1181</v>
      </c>
      <c r="T1566" s="117"/>
    </row>
    <row r="1567" spans="1:20" x14ac:dyDescent="0.2">
      <c r="A1567" s="33"/>
      <c r="B1567" s="20"/>
      <c r="E1567" s="8" t="s">
        <v>955</v>
      </c>
      <c r="F1567" s="9">
        <v>1</v>
      </c>
      <c r="G1567" s="9">
        <v>1</v>
      </c>
      <c r="H1567" s="7"/>
      <c r="I1567" s="9">
        <f>F1567*G1567*2</f>
        <v>2</v>
      </c>
      <c r="J1567" s="9"/>
      <c r="K1567" s="165" t="s">
        <v>1523</v>
      </c>
      <c r="L1567" s="11" t="s">
        <v>797</v>
      </c>
      <c r="M1567" s="11"/>
      <c r="N1567" s="10"/>
      <c r="O1567" s="11"/>
      <c r="P1567" s="11"/>
      <c r="Q1567" s="11"/>
      <c r="R1567" s="11"/>
      <c r="S1567" s="11" t="s">
        <v>1181</v>
      </c>
      <c r="T1567" s="117"/>
    </row>
    <row r="1568" spans="1:20" x14ac:dyDescent="0.2">
      <c r="A1568" s="33"/>
      <c r="B1568" s="20"/>
      <c r="E1568" s="8" t="s">
        <v>858</v>
      </c>
      <c r="F1568" s="9">
        <v>1</v>
      </c>
      <c r="G1568" s="9">
        <v>1</v>
      </c>
      <c r="H1568" s="7"/>
      <c r="I1568" s="9">
        <f>F1568*G1568*2</f>
        <v>2</v>
      </c>
      <c r="J1568" s="9"/>
      <c r="K1568" s="165" t="s">
        <v>1524</v>
      </c>
      <c r="L1568" s="11" t="s">
        <v>797</v>
      </c>
      <c r="M1568" s="11"/>
      <c r="N1568" s="10"/>
      <c r="O1568" s="11"/>
      <c r="P1568" s="11"/>
      <c r="Q1568" s="11"/>
      <c r="R1568" s="11"/>
      <c r="S1568" s="11" t="s">
        <v>1181</v>
      </c>
      <c r="T1568" s="117"/>
    </row>
    <row r="1569" spans="1:20" x14ac:dyDescent="0.2">
      <c r="A1569" s="33"/>
      <c r="B1569" s="20"/>
      <c r="E1569" s="8" t="s">
        <v>859</v>
      </c>
      <c r="F1569" s="9">
        <v>1</v>
      </c>
      <c r="G1569" s="9">
        <v>1</v>
      </c>
      <c r="H1569" s="7"/>
      <c r="I1569" s="9">
        <f>F1569*G1569*2</f>
        <v>2</v>
      </c>
      <c r="J1569" s="9"/>
      <c r="K1569" s="165" t="s">
        <v>1525</v>
      </c>
      <c r="L1569" s="11" t="s">
        <v>797</v>
      </c>
      <c r="M1569" s="11"/>
      <c r="N1569" s="10"/>
      <c r="O1569" s="11"/>
      <c r="P1569" s="11"/>
      <c r="Q1569" s="11"/>
      <c r="R1569" s="11"/>
      <c r="S1569" s="11" t="s">
        <v>1181</v>
      </c>
      <c r="T1569" s="117"/>
    </row>
    <row r="1570" spans="1:20" x14ac:dyDescent="0.2">
      <c r="A1570" s="33"/>
      <c r="B1570" s="20"/>
      <c r="E1570" s="8" t="s">
        <v>1697</v>
      </c>
      <c r="F1570" s="9">
        <v>1</v>
      </c>
      <c r="G1570" s="9">
        <v>1</v>
      </c>
      <c r="H1570" s="7"/>
      <c r="I1570" s="9">
        <f>F1570*G1570*2</f>
        <v>2</v>
      </c>
      <c r="J1570" s="9"/>
      <c r="K1570" s="165" t="s">
        <v>1526</v>
      </c>
      <c r="L1570" s="11" t="s">
        <v>797</v>
      </c>
      <c r="M1570" s="11"/>
      <c r="N1570" s="10"/>
      <c r="O1570" s="11"/>
      <c r="P1570" s="11"/>
      <c r="Q1570" s="11"/>
      <c r="R1570" s="11"/>
      <c r="S1570" s="11" t="s">
        <v>1181</v>
      </c>
      <c r="T1570" s="117"/>
    </row>
    <row r="1571" spans="1:20" ht="22.5" x14ac:dyDescent="0.2">
      <c r="A1571" s="33"/>
      <c r="B1571" s="20"/>
      <c r="E1571" s="229" t="s">
        <v>957</v>
      </c>
      <c r="F1571" s="9">
        <v>1</v>
      </c>
      <c r="G1571" s="9">
        <v>33</v>
      </c>
      <c r="H1571" s="9"/>
      <c r="I1571" s="9">
        <f>F1571*G1571*2</f>
        <v>66</v>
      </c>
      <c r="J1571" s="9"/>
      <c r="K1571" s="326" t="s">
        <v>1719</v>
      </c>
      <c r="L1571" s="11" t="s">
        <v>797</v>
      </c>
      <c r="M1571" s="11"/>
      <c r="N1571" s="10"/>
      <c r="O1571" s="11"/>
      <c r="P1571" s="11"/>
      <c r="Q1571" s="11"/>
      <c r="R1571" s="11"/>
      <c r="S1571" s="11" t="s">
        <v>1181</v>
      </c>
      <c r="T1571" s="117"/>
    </row>
    <row r="1572" spans="1:20" x14ac:dyDescent="0.2">
      <c r="A1572" s="33"/>
      <c r="B1572" s="20"/>
      <c r="E1572" s="229"/>
      <c r="F1572" s="9"/>
      <c r="G1572" s="9"/>
      <c r="H1572" s="9"/>
      <c r="I1572" s="9"/>
      <c r="J1572" s="9"/>
      <c r="K1572" s="94"/>
      <c r="L1572" s="11"/>
      <c r="M1572" s="11"/>
      <c r="N1572" s="10"/>
      <c r="O1572" s="11"/>
      <c r="P1572" s="34"/>
      <c r="Q1572" s="34"/>
      <c r="R1572" s="145"/>
      <c r="S1572" s="145"/>
      <c r="T1572" s="117"/>
    </row>
    <row r="1573" spans="1:20" x14ac:dyDescent="0.2">
      <c r="A1573" s="33"/>
      <c r="B1573" s="20"/>
      <c r="E1573" s="20" t="s">
        <v>1614</v>
      </c>
      <c r="F1573" s="9"/>
      <c r="G1573" s="9"/>
      <c r="H1573" s="9"/>
      <c r="I1573" s="9"/>
      <c r="J1573" s="9"/>
      <c r="K1573" s="10"/>
      <c r="L1573" s="10"/>
      <c r="M1573" s="10"/>
      <c r="N1573" s="10"/>
      <c r="O1573" s="11"/>
      <c r="P1573" s="34"/>
      <c r="Q1573" s="34"/>
      <c r="R1573" s="145"/>
      <c r="S1573" s="145"/>
      <c r="T1573" s="117"/>
    </row>
    <row r="1574" spans="1:20" x14ac:dyDescent="0.2">
      <c r="A1574" s="33"/>
      <c r="B1574" s="173" t="s">
        <v>802</v>
      </c>
      <c r="E1574" s="117"/>
      <c r="F1574" s="9"/>
      <c r="G1574" s="9">
        <f>SUM(G1554:G1571)</f>
        <v>59</v>
      </c>
      <c r="H1574" s="9"/>
      <c r="I1574" s="9">
        <f>SUM(I1554:I1571)</f>
        <v>118</v>
      </c>
      <c r="J1574" s="9"/>
      <c r="K1574" s="10"/>
      <c r="L1574" s="10"/>
      <c r="M1574" s="10"/>
      <c r="N1574" s="10"/>
      <c r="O1574" s="11"/>
      <c r="P1574" s="34"/>
      <c r="Q1574" s="34"/>
      <c r="R1574" s="145"/>
      <c r="S1574" s="145"/>
      <c r="T1574" s="117"/>
    </row>
    <row r="1575" spans="1:20" x14ac:dyDescent="0.2">
      <c r="A1575" s="33"/>
      <c r="B1575" s="52"/>
      <c r="C1575" s="30"/>
      <c r="D1575" s="31"/>
      <c r="E1575" s="53"/>
      <c r="F1575" s="31"/>
      <c r="G1575" s="31"/>
      <c r="H1575" s="31"/>
      <c r="I1575" s="31"/>
      <c r="J1575" s="31"/>
      <c r="K1575" s="29"/>
      <c r="L1575" s="29"/>
      <c r="M1575" s="29"/>
      <c r="N1575" s="29"/>
      <c r="O1575" s="109"/>
      <c r="P1575" s="34"/>
      <c r="Q1575" s="34"/>
      <c r="R1575" s="149"/>
      <c r="S1575" s="149"/>
      <c r="T1575" s="160"/>
    </row>
    <row r="1576" spans="1:20" x14ac:dyDescent="0.2">
      <c r="A1576" s="33"/>
      <c r="B1576" s="20" t="s">
        <v>801</v>
      </c>
      <c r="E1576" s="21"/>
      <c r="F1576" s="9"/>
      <c r="G1576" s="9"/>
      <c r="H1576" s="9"/>
      <c r="I1576" s="9"/>
      <c r="J1576" s="9"/>
      <c r="K1576" s="10"/>
      <c r="L1576" s="10"/>
      <c r="M1576" s="10"/>
      <c r="N1576" s="10"/>
      <c r="O1576" s="11"/>
      <c r="P1576" s="34"/>
      <c r="Q1576" s="34"/>
      <c r="R1576" s="145"/>
      <c r="S1576" s="145"/>
      <c r="T1576" s="117"/>
    </row>
    <row r="1577" spans="1:20" x14ac:dyDescent="0.2">
      <c r="A1577" s="33"/>
      <c r="B1577" s="8" t="s">
        <v>118</v>
      </c>
      <c r="E1577" s="20" t="s">
        <v>958</v>
      </c>
      <c r="F1577" s="9">
        <v>1</v>
      </c>
      <c r="G1577" s="9">
        <f>G1574 * F1577</f>
        <v>59</v>
      </c>
      <c r="H1577" s="9"/>
      <c r="I1577" s="9">
        <f>F1577*I1574</f>
        <v>118</v>
      </c>
      <c r="J1577" s="9"/>
      <c r="K1577" s="10"/>
      <c r="L1577" s="10"/>
      <c r="M1577" s="10"/>
      <c r="N1577" s="10"/>
      <c r="O1577" s="11"/>
      <c r="P1577" s="34"/>
      <c r="Q1577" s="34"/>
      <c r="R1577" s="145"/>
      <c r="S1577" s="145"/>
      <c r="T1577" s="117"/>
    </row>
    <row r="1578" spans="1:20" x14ac:dyDescent="0.2">
      <c r="A1578" s="33"/>
      <c r="B1578" s="20" t="s">
        <v>803</v>
      </c>
      <c r="E1578" s="7"/>
      <c r="F1578" s="9"/>
      <c r="G1578" s="9"/>
      <c r="H1578" s="9"/>
      <c r="I1578" s="9"/>
      <c r="J1578" s="9"/>
      <c r="K1578" s="10"/>
      <c r="L1578" s="10"/>
      <c r="M1578" s="10"/>
      <c r="N1578" s="10"/>
      <c r="O1578" s="11"/>
      <c r="P1578" s="34"/>
      <c r="Q1578" s="34"/>
      <c r="R1578" s="145"/>
      <c r="S1578" s="145"/>
      <c r="T1578" s="117"/>
    </row>
    <row r="1579" spans="1:20" x14ac:dyDescent="0.2">
      <c r="A1579" s="33"/>
      <c r="B1579" s="52" t="s">
        <v>58</v>
      </c>
      <c r="C1579" s="30"/>
      <c r="D1579" s="31"/>
      <c r="E1579" s="53"/>
      <c r="F1579" s="30" t="s">
        <v>487</v>
      </c>
      <c r="G1579" s="30" t="s">
        <v>488</v>
      </c>
      <c r="H1579" s="48"/>
      <c r="I1579" s="31" t="s">
        <v>489</v>
      </c>
      <c r="J1579" s="31"/>
      <c r="K1579" s="29"/>
      <c r="L1579" s="29"/>
      <c r="M1579" s="29"/>
      <c r="N1579" s="29"/>
      <c r="O1579" s="109"/>
      <c r="P1579" s="34"/>
      <c r="Q1579" s="34"/>
      <c r="R1579" s="149"/>
      <c r="S1579" s="149"/>
      <c r="T1579" s="160"/>
    </row>
    <row r="1580" spans="1:20" x14ac:dyDescent="0.2">
      <c r="A1580" s="33"/>
      <c r="B1580" s="356"/>
      <c r="C1580" s="364"/>
      <c r="D1580" s="365"/>
      <c r="E1580" s="366"/>
      <c r="F1580" s="364"/>
      <c r="G1580" s="364"/>
      <c r="H1580" s="9"/>
      <c r="I1580" s="365"/>
      <c r="J1580" s="365"/>
      <c r="K1580" s="136"/>
      <c r="L1580" s="136"/>
      <c r="M1580" s="136"/>
      <c r="N1580" s="136"/>
      <c r="O1580" s="357"/>
      <c r="P1580" s="136"/>
      <c r="Q1580" s="136"/>
      <c r="R1580" s="358"/>
      <c r="S1580" s="358"/>
      <c r="T1580" s="359"/>
    </row>
    <row r="1581" spans="1:20" x14ac:dyDescent="0.2">
      <c r="A1581" s="33"/>
      <c r="B1581" s="20"/>
      <c r="E1581" s="8" t="s">
        <v>469</v>
      </c>
      <c r="F1581" s="9">
        <v>1</v>
      </c>
      <c r="G1581" s="9">
        <v>2</v>
      </c>
      <c r="H1581" s="9"/>
      <c r="I1581" s="9">
        <f t="shared" ref="I1581:I1613" si="240">2*G1581*F1581</f>
        <v>4</v>
      </c>
      <c r="J1581" s="9"/>
      <c r="K1581" s="311" t="s">
        <v>760</v>
      </c>
      <c r="L1581" s="10"/>
      <c r="M1581" s="10"/>
      <c r="N1581" s="10"/>
      <c r="O1581" s="11"/>
      <c r="P1581" s="11"/>
      <c r="Q1581" s="11"/>
      <c r="R1581" s="11"/>
      <c r="S1581" s="11" t="s">
        <v>1181</v>
      </c>
      <c r="T1581" s="117"/>
    </row>
    <row r="1582" spans="1:20" x14ac:dyDescent="0.2">
      <c r="A1582" s="33"/>
      <c r="B1582" s="20"/>
      <c r="E1582" s="8" t="s">
        <v>1610</v>
      </c>
      <c r="F1582" s="9">
        <v>1</v>
      </c>
      <c r="G1582" s="9">
        <v>1</v>
      </c>
      <c r="H1582" s="9"/>
      <c r="I1582" s="9">
        <f t="shared" si="240"/>
        <v>2</v>
      </c>
      <c r="J1582" s="9"/>
      <c r="K1582" s="243" t="s">
        <v>1528</v>
      </c>
      <c r="L1582" s="10"/>
      <c r="M1582" s="10"/>
      <c r="N1582" s="10"/>
      <c r="O1582" s="11"/>
      <c r="P1582" s="11"/>
      <c r="Q1582" s="11"/>
      <c r="R1582" s="11"/>
      <c r="S1582" s="11" t="s">
        <v>1181</v>
      </c>
      <c r="T1582" s="117"/>
    </row>
    <row r="1583" spans="1:20" x14ac:dyDescent="0.2">
      <c r="A1583" s="33"/>
      <c r="B1583" s="20"/>
      <c r="E1583" s="8" t="s">
        <v>1611</v>
      </c>
      <c r="F1583" s="9">
        <v>1</v>
      </c>
      <c r="G1583" s="9">
        <v>1</v>
      </c>
      <c r="H1583" s="9"/>
      <c r="I1583" s="9">
        <f t="shared" si="240"/>
        <v>2</v>
      </c>
      <c r="J1583" s="9"/>
      <c r="K1583" s="312" t="s">
        <v>76</v>
      </c>
      <c r="L1583" s="10"/>
      <c r="M1583" s="10"/>
      <c r="N1583" s="10"/>
      <c r="O1583" s="11"/>
      <c r="P1583" s="11"/>
      <c r="Q1583" s="11"/>
      <c r="R1583" s="11"/>
      <c r="S1583" s="11" t="s">
        <v>1181</v>
      </c>
      <c r="T1583" s="117"/>
    </row>
    <row r="1584" spans="1:20" x14ac:dyDescent="0.2">
      <c r="A1584" s="33"/>
      <c r="B1584" s="20"/>
      <c r="E1584" s="8" t="s">
        <v>467</v>
      </c>
      <c r="F1584" s="9">
        <v>1</v>
      </c>
      <c r="G1584" s="9">
        <v>2</v>
      </c>
      <c r="H1584" s="9"/>
      <c r="I1584" s="9">
        <f t="shared" si="240"/>
        <v>4</v>
      </c>
      <c r="J1584" s="9"/>
      <c r="K1584" s="311" t="s">
        <v>760</v>
      </c>
      <c r="L1584" s="10"/>
      <c r="M1584" s="10"/>
      <c r="N1584" s="10"/>
      <c r="O1584" s="11"/>
      <c r="P1584" s="11"/>
      <c r="Q1584" s="11"/>
      <c r="R1584" s="11"/>
      <c r="S1584" s="11" t="s">
        <v>1181</v>
      </c>
      <c r="T1584" s="117"/>
    </row>
    <row r="1585" spans="1:20" x14ac:dyDescent="0.2">
      <c r="A1585" s="33"/>
      <c r="B1585" s="20"/>
      <c r="E1585" s="8" t="s">
        <v>1612</v>
      </c>
      <c r="F1585" s="9">
        <v>1</v>
      </c>
      <c r="G1585" s="9">
        <v>1</v>
      </c>
      <c r="H1585" s="9"/>
      <c r="I1585" s="9">
        <f t="shared" si="240"/>
        <v>2</v>
      </c>
      <c r="J1585" s="9"/>
      <c r="K1585" s="243" t="s">
        <v>1529</v>
      </c>
      <c r="L1585" s="10"/>
      <c r="M1585" s="10"/>
      <c r="N1585" s="10"/>
      <c r="O1585" s="11"/>
      <c r="P1585" s="11"/>
      <c r="Q1585" s="11"/>
      <c r="R1585" s="11"/>
      <c r="S1585" s="11" t="s">
        <v>1181</v>
      </c>
      <c r="T1585" s="117"/>
    </row>
    <row r="1586" spans="1:20" x14ac:dyDescent="0.2">
      <c r="A1586" s="33"/>
      <c r="B1586" s="20"/>
      <c r="E1586" s="8" t="s">
        <v>1613</v>
      </c>
      <c r="F1586" s="9">
        <v>1</v>
      </c>
      <c r="G1586" s="9">
        <v>1</v>
      </c>
      <c r="H1586" s="9"/>
      <c r="I1586" s="9">
        <f t="shared" si="240"/>
        <v>2</v>
      </c>
      <c r="J1586" s="9"/>
      <c r="K1586" s="312" t="s">
        <v>77</v>
      </c>
      <c r="L1586" s="10"/>
      <c r="M1586" s="10"/>
      <c r="N1586" s="10"/>
      <c r="O1586" s="11"/>
      <c r="P1586" s="11"/>
      <c r="Q1586" s="11"/>
      <c r="R1586" s="11"/>
      <c r="S1586" s="11" t="s">
        <v>1181</v>
      </c>
      <c r="T1586" s="117"/>
    </row>
    <row r="1587" spans="1:20" x14ac:dyDescent="0.2">
      <c r="A1587" s="33"/>
      <c r="B1587" s="20"/>
      <c r="E1587" s="8" t="s">
        <v>568</v>
      </c>
      <c r="F1587" s="9">
        <v>1</v>
      </c>
      <c r="G1587" s="9">
        <v>2</v>
      </c>
      <c r="H1587" s="9"/>
      <c r="I1587" s="9">
        <f t="shared" si="240"/>
        <v>4</v>
      </c>
      <c r="J1587" s="9"/>
      <c r="K1587" s="312" t="s">
        <v>1118</v>
      </c>
      <c r="L1587" s="10"/>
      <c r="M1587" s="10"/>
      <c r="N1587" s="10"/>
      <c r="O1587" s="11"/>
      <c r="P1587" s="11"/>
      <c r="Q1587" s="11"/>
      <c r="R1587" s="11"/>
      <c r="S1587" s="11" t="s">
        <v>1181</v>
      </c>
      <c r="T1587" s="117"/>
    </row>
    <row r="1588" spans="1:20" x14ac:dyDescent="0.2">
      <c r="A1588" s="33"/>
      <c r="B1588" s="20"/>
      <c r="E1588" s="8" t="s">
        <v>569</v>
      </c>
      <c r="F1588" s="9">
        <v>1</v>
      </c>
      <c r="G1588" s="9">
        <v>2</v>
      </c>
      <c r="H1588" s="9"/>
      <c r="I1588" s="9">
        <f t="shared" si="240"/>
        <v>4</v>
      </c>
      <c r="J1588" s="9"/>
      <c r="K1588" s="312" t="s">
        <v>1118</v>
      </c>
      <c r="L1588" s="10"/>
      <c r="M1588" s="10"/>
      <c r="N1588" s="10"/>
      <c r="O1588" s="11"/>
      <c r="P1588" s="11"/>
      <c r="Q1588" s="11"/>
      <c r="R1588" s="11"/>
      <c r="S1588" s="11" t="s">
        <v>1181</v>
      </c>
      <c r="T1588" s="117"/>
    </row>
    <row r="1589" spans="1:20" x14ac:dyDescent="0.2">
      <c r="A1589" s="33"/>
      <c r="B1589" s="20"/>
      <c r="E1589" s="8" t="s">
        <v>570</v>
      </c>
      <c r="F1589" s="9">
        <v>1</v>
      </c>
      <c r="G1589" s="9">
        <v>2</v>
      </c>
      <c r="H1589" s="9"/>
      <c r="I1589" s="9">
        <f t="shared" si="240"/>
        <v>4</v>
      </c>
      <c r="J1589" s="9"/>
      <c r="K1589" s="312" t="s">
        <v>1118</v>
      </c>
      <c r="L1589" s="10"/>
      <c r="M1589" s="10"/>
      <c r="N1589" s="10"/>
      <c r="O1589" s="11"/>
      <c r="P1589" s="11"/>
      <c r="Q1589" s="11"/>
      <c r="R1589" s="11"/>
      <c r="S1589" s="11" t="s">
        <v>1181</v>
      </c>
      <c r="T1589" s="117"/>
    </row>
    <row r="1590" spans="1:20" x14ac:dyDescent="0.2">
      <c r="A1590" s="33"/>
      <c r="B1590" s="20"/>
      <c r="E1590" s="8" t="s">
        <v>268</v>
      </c>
      <c r="F1590" s="9">
        <v>1</v>
      </c>
      <c r="G1590" s="9">
        <v>1</v>
      </c>
      <c r="H1590" s="9"/>
      <c r="I1590" s="9">
        <f t="shared" si="240"/>
        <v>2</v>
      </c>
      <c r="J1590" s="9"/>
      <c r="K1590" s="243" t="s">
        <v>1530</v>
      </c>
      <c r="L1590" s="10"/>
      <c r="M1590" s="10"/>
      <c r="N1590" s="10"/>
      <c r="O1590" s="11"/>
      <c r="P1590" s="11"/>
      <c r="Q1590" s="11"/>
      <c r="R1590" s="11"/>
      <c r="S1590" s="11" t="s">
        <v>1181</v>
      </c>
      <c r="T1590" s="117"/>
    </row>
    <row r="1591" spans="1:20" x14ac:dyDescent="0.2">
      <c r="A1591" s="33"/>
      <c r="B1591" s="20"/>
      <c r="E1591" s="8" t="s">
        <v>269</v>
      </c>
      <c r="F1591" s="9">
        <v>1</v>
      </c>
      <c r="G1591" s="9">
        <v>1</v>
      </c>
      <c r="H1591" s="9"/>
      <c r="I1591" s="9">
        <f t="shared" si="240"/>
        <v>2</v>
      </c>
      <c r="J1591" s="9"/>
      <c r="K1591" s="243" t="s">
        <v>1531</v>
      </c>
      <c r="L1591" s="10"/>
      <c r="M1591" s="10"/>
      <c r="N1591" s="10"/>
      <c r="O1591" s="11"/>
      <c r="P1591" s="11"/>
      <c r="Q1591" s="11"/>
      <c r="R1591" s="11"/>
      <c r="S1591" s="11" t="s">
        <v>1181</v>
      </c>
      <c r="T1591" s="117"/>
    </row>
    <row r="1592" spans="1:20" x14ac:dyDescent="0.2">
      <c r="A1592" s="33"/>
      <c r="B1592" s="20"/>
      <c r="E1592" s="8" t="s">
        <v>270</v>
      </c>
      <c r="F1592" s="9">
        <v>1</v>
      </c>
      <c r="G1592" s="9">
        <v>1</v>
      </c>
      <c r="H1592" s="9"/>
      <c r="I1592" s="9">
        <f t="shared" si="240"/>
        <v>2</v>
      </c>
      <c r="J1592" s="9"/>
      <c r="K1592" s="243" t="s">
        <v>1531</v>
      </c>
      <c r="L1592" s="10"/>
      <c r="M1592" s="10"/>
      <c r="N1592" s="10"/>
      <c r="O1592" s="11"/>
      <c r="P1592" s="11"/>
      <c r="Q1592" s="11"/>
      <c r="R1592" s="11"/>
      <c r="S1592" s="11" t="s">
        <v>1181</v>
      </c>
      <c r="T1592" s="117"/>
    </row>
    <row r="1593" spans="1:20" x14ac:dyDescent="0.2">
      <c r="A1593" s="33"/>
      <c r="B1593" s="20"/>
      <c r="E1593" s="8" t="s">
        <v>473</v>
      </c>
      <c r="F1593" s="9">
        <v>1</v>
      </c>
      <c r="G1593" s="9">
        <v>1</v>
      </c>
      <c r="H1593" s="9"/>
      <c r="I1593" s="9">
        <f t="shared" si="240"/>
        <v>2</v>
      </c>
      <c r="J1593" s="9"/>
      <c r="K1593" s="243" t="s">
        <v>1532</v>
      </c>
      <c r="L1593" s="10"/>
      <c r="M1593" s="10"/>
      <c r="N1593" s="10"/>
      <c r="O1593" s="11"/>
      <c r="P1593" s="11"/>
      <c r="Q1593" s="11"/>
      <c r="R1593" s="11"/>
      <c r="S1593" s="11" t="s">
        <v>1181</v>
      </c>
      <c r="T1593" s="117"/>
    </row>
    <row r="1594" spans="1:20" x14ac:dyDescent="0.2">
      <c r="A1594" s="33"/>
      <c r="B1594" s="20"/>
      <c r="E1594" s="8" t="s">
        <v>951</v>
      </c>
      <c r="F1594" s="9">
        <v>1</v>
      </c>
      <c r="G1594" s="9">
        <v>1</v>
      </c>
      <c r="H1594" s="9"/>
      <c r="I1594" s="9">
        <f t="shared" si="240"/>
        <v>2</v>
      </c>
      <c r="J1594" s="9"/>
      <c r="K1594" s="243" t="s">
        <v>1688</v>
      </c>
      <c r="L1594" s="10"/>
      <c r="M1594" s="10"/>
      <c r="N1594" s="10"/>
      <c r="O1594" s="11"/>
      <c r="P1594" s="11"/>
      <c r="Q1594" s="11"/>
      <c r="R1594" s="11"/>
      <c r="S1594" s="11" t="s">
        <v>1181</v>
      </c>
      <c r="T1594" s="117"/>
    </row>
    <row r="1595" spans="1:20" x14ac:dyDescent="0.2">
      <c r="A1595" s="33"/>
      <c r="B1595" s="20"/>
      <c r="E1595" s="8" t="s">
        <v>346</v>
      </c>
      <c r="F1595" s="9">
        <v>1</v>
      </c>
      <c r="G1595" s="9">
        <v>1</v>
      </c>
      <c r="H1595" s="9"/>
      <c r="I1595" s="9">
        <f t="shared" si="240"/>
        <v>2</v>
      </c>
      <c r="J1595" s="9"/>
      <c r="K1595" s="243" t="s">
        <v>1689</v>
      </c>
      <c r="L1595" s="10"/>
      <c r="M1595" s="10"/>
      <c r="N1595" s="10"/>
      <c r="O1595" s="11"/>
      <c r="P1595" s="11"/>
      <c r="Q1595" s="11"/>
      <c r="R1595" s="11"/>
      <c r="S1595" s="11" t="s">
        <v>1181</v>
      </c>
      <c r="T1595" s="117"/>
    </row>
    <row r="1596" spans="1:20" x14ac:dyDescent="0.2">
      <c r="A1596" s="33"/>
      <c r="B1596" s="20"/>
      <c r="E1596" s="8" t="s">
        <v>925</v>
      </c>
      <c r="F1596" s="9">
        <v>1</v>
      </c>
      <c r="G1596" s="9">
        <v>1</v>
      </c>
      <c r="H1596" s="9"/>
      <c r="I1596" s="9">
        <f t="shared" si="240"/>
        <v>2</v>
      </c>
      <c r="J1596" s="9"/>
      <c r="K1596" s="243" t="s">
        <v>1937</v>
      </c>
      <c r="L1596" s="10"/>
      <c r="M1596" s="10"/>
      <c r="N1596" s="10"/>
      <c r="O1596" s="11"/>
      <c r="P1596" s="11"/>
      <c r="Q1596" s="11"/>
      <c r="R1596" s="11"/>
      <c r="S1596" s="11" t="s">
        <v>1181</v>
      </c>
      <c r="T1596" s="117"/>
    </row>
    <row r="1597" spans="1:20" x14ac:dyDescent="0.2">
      <c r="A1597" s="33"/>
      <c r="B1597" s="20"/>
      <c r="E1597" s="8" t="s">
        <v>1385</v>
      </c>
      <c r="F1597" s="9">
        <v>1</v>
      </c>
      <c r="G1597" s="9">
        <v>1</v>
      </c>
      <c r="H1597" s="9"/>
      <c r="I1597" s="9">
        <f t="shared" si="240"/>
        <v>2</v>
      </c>
      <c r="J1597" s="12"/>
      <c r="K1597" s="310" t="s">
        <v>1533</v>
      </c>
      <c r="L1597" s="10"/>
      <c r="M1597" s="10"/>
      <c r="N1597" s="10"/>
      <c r="O1597" s="11"/>
      <c r="P1597" s="11"/>
      <c r="Q1597" s="11"/>
      <c r="R1597" s="11"/>
      <c r="S1597" s="11" t="s">
        <v>1181</v>
      </c>
      <c r="T1597" s="117"/>
    </row>
    <row r="1598" spans="1:20" x14ac:dyDescent="0.2">
      <c r="A1598" s="33"/>
      <c r="B1598" s="20"/>
      <c r="E1598" s="8" t="s">
        <v>631</v>
      </c>
      <c r="F1598" s="9">
        <v>1</v>
      </c>
      <c r="G1598" s="9">
        <v>1</v>
      </c>
      <c r="H1598" s="9"/>
      <c r="I1598" s="9">
        <f t="shared" si="240"/>
        <v>2</v>
      </c>
      <c r="J1598" s="9"/>
      <c r="K1598" s="310" t="s">
        <v>1534</v>
      </c>
      <c r="L1598" s="10"/>
      <c r="M1598" s="10"/>
      <c r="N1598" s="10"/>
      <c r="O1598" s="11"/>
      <c r="P1598" s="11"/>
      <c r="Q1598" s="11"/>
      <c r="R1598" s="11"/>
      <c r="S1598" s="11" t="s">
        <v>1181</v>
      </c>
      <c r="T1598" s="117"/>
    </row>
    <row r="1599" spans="1:20" x14ac:dyDescent="0.2">
      <c r="A1599" s="33"/>
      <c r="B1599" s="20"/>
      <c r="E1599" s="8" t="s">
        <v>1387</v>
      </c>
      <c r="F1599" s="9">
        <v>1</v>
      </c>
      <c r="G1599" s="9">
        <v>2</v>
      </c>
      <c r="H1599" s="9"/>
      <c r="I1599" s="9">
        <f t="shared" si="240"/>
        <v>4</v>
      </c>
      <c r="J1599" s="9"/>
      <c r="K1599" s="310" t="s">
        <v>1535</v>
      </c>
      <c r="L1599" s="10"/>
      <c r="M1599" s="10"/>
      <c r="N1599" s="10"/>
      <c r="O1599" s="11"/>
      <c r="P1599" s="11"/>
      <c r="Q1599" s="11"/>
      <c r="R1599" s="11"/>
      <c r="S1599" s="11" t="s">
        <v>1181</v>
      </c>
      <c r="T1599" s="117"/>
    </row>
    <row r="1600" spans="1:20" x14ac:dyDescent="0.2">
      <c r="A1600" s="33"/>
      <c r="B1600" s="20"/>
      <c r="E1600" s="8" t="s">
        <v>1386</v>
      </c>
      <c r="F1600" s="9">
        <v>1</v>
      </c>
      <c r="G1600" s="9">
        <v>1</v>
      </c>
      <c r="H1600" s="9"/>
      <c r="I1600" s="9">
        <f t="shared" si="240"/>
        <v>2</v>
      </c>
      <c r="J1600" s="9"/>
      <c r="K1600" s="310" t="s">
        <v>1534</v>
      </c>
      <c r="L1600" s="10"/>
      <c r="M1600" s="10"/>
      <c r="N1600" s="10"/>
      <c r="O1600" s="11"/>
      <c r="P1600" s="11"/>
      <c r="Q1600" s="11"/>
      <c r="R1600" s="11"/>
      <c r="S1600" s="11" t="s">
        <v>1181</v>
      </c>
      <c r="T1600" s="117"/>
    </row>
    <row r="1601" spans="1:20" x14ac:dyDescent="0.2">
      <c r="A1601" s="33"/>
      <c r="B1601" s="20"/>
      <c r="E1601" s="8" t="s">
        <v>1388</v>
      </c>
      <c r="F1601" s="9">
        <v>1</v>
      </c>
      <c r="G1601" s="9">
        <v>2</v>
      </c>
      <c r="H1601" s="9"/>
      <c r="I1601" s="9">
        <f t="shared" si="240"/>
        <v>4</v>
      </c>
      <c r="J1601" s="9"/>
      <c r="K1601" s="310" t="s">
        <v>1536</v>
      </c>
      <c r="L1601" s="10"/>
      <c r="M1601" s="10"/>
      <c r="N1601" s="10"/>
      <c r="O1601" s="11"/>
      <c r="P1601" s="11"/>
      <c r="Q1601" s="11"/>
      <c r="R1601" s="11"/>
      <c r="S1601" s="11" t="s">
        <v>1181</v>
      </c>
      <c r="T1601" s="117"/>
    </row>
    <row r="1602" spans="1:20" ht="56.25" x14ac:dyDescent="0.2">
      <c r="A1602" s="33"/>
      <c r="B1602" s="20"/>
      <c r="E1602" s="8" t="s">
        <v>633</v>
      </c>
      <c r="F1602" s="9">
        <v>1</v>
      </c>
      <c r="G1602" s="9">
        <v>1</v>
      </c>
      <c r="H1602" s="9"/>
      <c r="I1602" s="9">
        <f t="shared" si="240"/>
        <v>2</v>
      </c>
      <c r="J1602" s="9"/>
      <c r="K1602" s="313" t="s">
        <v>1537</v>
      </c>
      <c r="L1602" s="10"/>
      <c r="M1602" s="10"/>
      <c r="N1602" s="10"/>
      <c r="O1602" s="11"/>
      <c r="P1602" s="11"/>
      <c r="Q1602" s="11"/>
      <c r="R1602" s="11"/>
      <c r="S1602" s="11" t="s">
        <v>1181</v>
      </c>
      <c r="T1602" s="117"/>
    </row>
    <row r="1603" spans="1:20" x14ac:dyDescent="0.2">
      <c r="A1603" s="33"/>
      <c r="B1603" s="20"/>
      <c r="E1603" s="8" t="s">
        <v>1389</v>
      </c>
      <c r="F1603" s="9">
        <v>1</v>
      </c>
      <c r="G1603" s="9">
        <v>1</v>
      </c>
      <c r="H1603" s="9"/>
      <c r="I1603" s="9">
        <f t="shared" si="240"/>
        <v>2</v>
      </c>
      <c r="J1603" s="9"/>
      <c r="K1603" s="310" t="s">
        <v>1863</v>
      </c>
      <c r="L1603" s="10"/>
      <c r="M1603" s="10"/>
      <c r="N1603" s="10"/>
      <c r="O1603" s="11"/>
      <c r="P1603" s="11"/>
      <c r="Q1603" s="11"/>
      <c r="R1603" s="11"/>
      <c r="S1603" s="11" t="s">
        <v>1181</v>
      </c>
      <c r="T1603" s="117"/>
    </row>
    <row r="1604" spans="1:20" x14ac:dyDescent="0.2">
      <c r="A1604" s="33"/>
      <c r="B1604" s="20"/>
      <c r="E1604" s="8" t="s">
        <v>1391</v>
      </c>
      <c r="F1604" s="9">
        <v>1</v>
      </c>
      <c r="G1604" s="9">
        <v>1</v>
      </c>
      <c r="H1604" s="9"/>
      <c r="I1604" s="9">
        <f t="shared" si="240"/>
        <v>2</v>
      </c>
      <c r="J1604" s="9"/>
      <c r="K1604" s="310" t="s">
        <v>640</v>
      </c>
      <c r="L1604" s="10"/>
      <c r="M1604" s="10"/>
      <c r="N1604" s="10"/>
      <c r="O1604" s="11"/>
      <c r="P1604" s="11"/>
      <c r="Q1604" s="11"/>
      <c r="R1604" s="11"/>
      <c r="S1604" s="11" t="s">
        <v>1181</v>
      </c>
      <c r="T1604" s="117"/>
    </row>
    <row r="1605" spans="1:20" x14ac:dyDescent="0.2">
      <c r="A1605" s="33"/>
      <c r="B1605" s="20"/>
      <c r="E1605" s="8" t="s">
        <v>1390</v>
      </c>
      <c r="F1605" s="9">
        <v>1</v>
      </c>
      <c r="G1605" s="9">
        <v>1</v>
      </c>
      <c r="H1605" s="9"/>
      <c r="I1605" s="9">
        <f t="shared" si="240"/>
        <v>2</v>
      </c>
      <c r="J1605" s="9"/>
      <c r="K1605" s="310" t="s">
        <v>1699</v>
      </c>
      <c r="L1605" s="10"/>
      <c r="M1605" s="10"/>
      <c r="N1605" s="10"/>
      <c r="O1605" s="11"/>
      <c r="P1605" s="11"/>
      <c r="Q1605" s="11"/>
      <c r="R1605" s="11"/>
      <c r="S1605" s="11" t="s">
        <v>1181</v>
      </c>
      <c r="T1605" s="117"/>
    </row>
    <row r="1606" spans="1:20" x14ac:dyDescent="0.2">
      <c r="A1606" s="33"/>
      <c r="B1606" s="20"/>
      <c r="E1606" s="8" t="s">
        <v>116</v>
      </c>
      <c r="F1606" s="9">
        <v>1</v>
      </c>
      <c r="G1606" s="9">
        <v>1</v>
      </c>
      <c r="H1606" s="9"/>
      <c r="I1606" s="9">
        <f t="shared" si="240"/>
        <v>2</v>
      </c>
      <c r="J1606" s="9"/>
      <c r="K1606" s="310" t="s">
        <v>1496</v>
      </c>
      <c r="L1606" s="10"/>
      <c r="M1606" s="10"/>
      <c r="N1606" s="10"/>
      <c r="O1606" s="11"/>
      <c r="P1606" s="11"/>
      <c r="Q1606" s="11"/>
      <c r="R1606" s="11"/>
      <c r="S1606" s="11" t="s">
        <v>1181</v>
      </c>
      <c r="T1606" s="117"/>
    </row>
    <row r="1607" spans="1:20" x14ac:dyDescent="0.2">
      <c r="A1607" s="33"/>
      <c r="B1607" s="20"/>
      <c r="E1607" s="8" t="s">
        <v>117</v>
      </c>
      <c r="F1607" s="9">
        <v>1</v>
      </c>
      <c r="G1607" s="9">
        <v>1</v>
      </c>
      <c r="H1607" s="9"/>
      <c r="I1607" s="9">
        <f t="shared" si="240"/>
        <v>2</v>
      </c>
      <c r="J1607" s="9"/>
      <c r="K1607" s="310" t="s">
        <v>1495</v>
      </c>
      <c r="L1607" s="10"/>
      <c r="M1607" s="10"/>
      <c r="N1607" s="10"/>
      <c r="O1607" s="11"/>
      <c r="P1607" s="11"/>
      <c r="Q1607" s="11"/>
      <c r="R1607" s="11"/>
      <c r="S1607" s="11" t="s">
        <v>1181</v>
      </c>
      <c r="T1607" s="117"/>
    </row>
    <row r="1608" spans="1:20" ht="22.5" x14ac:dyDescent="0.2">
      <c r="A1608" s="33"/>
      <c r="B1608" s="20"/>
      <c r="E1608" s="8" t="s">
        <v>1494</v>
      </c>
      <c r="F1608" s="9">
        <v>1</v>
      </c>
      <c r="G1608" s="9">
        <v>1</v>
      </c>
      <c r="H1608" s="9"/>
      <c r="I1608" s="9">
        <f t="shared" si="240"/>
        <v>2</v>
      </c>
      <c r="J1608" s="9"/>
      <c r="K1608" s="310" t="s">
        <v>1941</v>
      </c>
      <c r="L1608" s="10"/>
      <c r="M1608" s="10"/>
      <c r="N1608" s="10"/>
      <c r="O1608" s="11"/>
      <c r="P1608" s="11"/>
      <c r="Q1608" s="11"/>
      <c r="R1608" s="11"/>
      <c r="S1608" s="11" t="s">
        <v>1181</v>
      </c>
      <c r="T1608" s="117"/>
    </row>
    <row r="1609" spans="1:20" x14ac:dyDescent="0.2">
      <c r="A1609" s="33"/>
      <c r="B1609" s="20"/>
      <c r="E1609" s="367" t="s">
        <v>1783</v>
      </c>
      <c r="F1609" s="368">
        <v>1</v>
      </c>
      <c r="G1609" s="368">
        <v>1</v>
      </c>
      <c r="H1609" s="368"/>
      <c r="I1609" s="368">
        <f t="shared" si="240"/>
        <v>2</v>
      </c>
      <c r="J1609" s="368"/>
      <c r="K1609" s="369" t="s">
        <v>1775</v>
      </c>
      <c r="L1609" s="10"/>
      <c r="M1609" s="10"/>
      <c r="N1609" s="10"/>
      <c r="O1609" s="11"/>
      <c r="P1609" s="11"/>
      <c r="Q1609" s="11"/>
      <c r="R1609" s="11"/>
      <c r="S1609" s="11" t="s">
        <v>1181</v>
      </c>
      <c r="T1609" s="117"/>
    </row>
    <row r="1610" spans="1:20" x14ac:dyDescent="0.2">
      <c r="A1610" s="33"/>
      <c r="B1610" s="20"/>
      <c r="E1610" s="367" t="s">
        <v>1779</v>
      </c>
      <c r="F1610" s="368">
        <v>1</v>
      </c>
      <c r="G1610" s="368">
        <v>1</v>
      </c>
      <c r="H1610" s="368"/>
      <c r="I1610" s="368">
        <f t="shared" si="240"/>
        <v>2</v>
      </c>
      <c r="J1610" s="368"/>
      <c r="K1610" s="369" t="s">
        <v>1775</v>
      </c>
      <c r="L1610" s="10"/>
      <c r="M1610" s="10"/>
      <c r="N1610" s="10"/>
      <c r="O1610" s="11"/>
      <c r="P1610" s="11"/>
      <c r="Q1610" s="11"/>
      <c r="R1610" s="11"/>
      <c r="S1610" s="11" t="s">
        <v>1181</v>
      </c>
      <c r="T1610" s="117"/>
    </row>
    <row r="1611" spans="1:20" x14ac:dyDescent="0.2">
      <c r="A1611" s="33"/>
      <c r="B1611" s="20"/>
      <c r="E1611" s="367" t="s">
        <v>1781</v>
      </c>
      <c r="F1611" s="368">
        <v>1</v>
      </c>
      <c r="G1611" s="368">
        <v>1</v>
      </c>
      <c r="H1611" s="368"/>
      <c r="I1611" s="368">
        <f t="shared" si="240"/>
        <v>2</v>
      </c>
      <c r="J1611" s="368"/>
      <c r="K1611" s="370" t="s">
        <v>1776</v>
      </c>
      <c r="L1611" s="10"/>
      <c r="M1611" s="10"/>
      <c r="N1611" s="10"/>
      <c r="O1611" s="11"/>
      <c r="P1611" s="11"/>
      <c r="Q1611" s="11"/>
      <c r="R1611" s="11"/>
      <c r="S1611" s="11" t="s">
        <v>1181</v>
      </c>
      <c r="T1611" s="117"/>
    </row>
    <row r="1612" spans="1:20" x14ac:dyDescent="0.2">
      <c r="A1612" s="33"/>
      <c r="B1612" s="20"/>
      <c r="E1612" s="367" t="s">
        <v>1780</v>
      </c>
      <c r="F1612" s="368">
        <v>1</v>
      </c>
      <c r="G1612" s="368">
        <v>2</v>
      </c>
      <c r="H1612" s="368"/>
      <c r="I1612" s="368">
        <f t="shared" si="240"/>
        <v>4</v>
      </c>
      <c r="J1612" s="368"/>
      <c r="K1612" s="374" t="s">
        <v>639</v>
      </c>
      <c r="L1612" s="10"/>
      <c r="M1612" s="10"/>
      <c r="N1612" s="10"/>
      <c r="O1612" s="11"/>
      <c r="P1612" s="11"/>
      <c r="Q1612" s="11"/>
      <c r="R1612" s="11"/>
      <c r="S1612" s="11" t="s">
        <v>1181</v>
      </c>
      <c r="T1612" s="117"/>
    </row>
    <row r="1613" spans="1:20" x14ac:dyDescent="0.2">
      <c r="A1613" s="33"/>
      <c r="B1613" s="20"/>
      <c r="E1613" s="367" t="s">
        <v>1782</v>
      </c>
      <c r="F1613" s="368">
        <v>1</v>
      </c>
      <c r="G1613" s="368">
        <v>2</v>
      </c>
      <c r="H1613" s="368"/>
      <c r="I1613" s="368">
        <f t="shared" si="240"/>
        <v>4</v>
      </c>
      <c r="J1613" s="368"/>
      <c r="K1613" s="374" t="s">
        <v>639</v>
      </c>
      <c r="L1613" s="10"/>
      <c r="M1613" s="10"/>
      <c r="N1613" s="10"/>
      <c r="O1613" s="11"/>
      <c r="P1613" s="11"/>
      <c r="Q1613" s="11"/>
      <c r="R1613" s="11"/>
      <c r="S1613" s="11" t="s">
        <v>1181</v>
      </c>
      <c r="T1613" s="117"/>
    </row>
    <row r="1614" spans="1:20" x14ac:dyDescent="0.2">
      <c r="A1614" s="33"/>
      <c r="B1614" s="20"/>
      <c r="E1614" s="371" t="s">
        <v>1793</v>
      </c>
      <c r="F1614" s="377">
        <v>1</v>
      </c>
      <c r="G1614" s="377">
        <v>2</v>
      </c>
      <c r="H1614" s="377"/>
      <c r="I1614" s="377">
        <f>F1614*2*G1614</f>
        <v>4</v>
      </c>
      <c r="J1614" s="368"/>
      <c r="K1614" s="374" t="s">
        <v>639</v>
      </c>
      <c r="L1614" s="10"/>
      <c r="M1614" s="10"/>
      <c r="N1614" s="10"/>
      <c r="O1614" s="11"/>
      <c r="P1614" s="11"/>
      <c r="Q1614" s="11"/>
      <c r="R1614" s="11"/>
      <c r="S1614" s="11" t="s">
        <v>1181</v>
      </c>
      <c r="T1614" s="117"/>
    </row>
    <row r="1615" spans="1:20" x14ac:dyDescent="0.2">
      <c r="A1615" s="33"/>
      <c r="B1615" s="20"/>
      <c r="E1615" s="371" t="s">
        <v>1797</v>
      </c>
      <c r="F1615" s="377">
        <v>1</v>
      </c>
      <c r="G1615" s="377">
        <v>1</v>
      </c>
      <c r="H1615" s="377"/>
      <c r="I1615" s="377">
        <f>F1615*2*G1615</f>
        <v>2</v>
      </c>
      <c r="J1615" s="368"/>
      <c r="K1615" s="370" t="s">
        <v>1807</v>
      </c>
      <c r="L1615" s="10"/>
      <c r="M1615" s="10"/>
      <c r="N1615" s="10"/>
      <c r="O1615" s="11"/>
      <c r="P1615" s="11"/>
      <c r="Q1615" s="11"/>
      <c r="R1615" s="11"/>
      <c r="S1615" s="11" t="s">
        <v>1181</v>
      </c>
      <c r="T1615" s="117"/>
    </row>
    <row r="1616" spans="1:20" x14ac:dyDescent="0.2">
      <c r="A1616" s="33"/>
      <c r="B1616" s="20"/>
      <c r="E1616" s="371" t="s">
        <v>1798</v>
      </c>
      <c r="F1616" s="377">
        <v>1</v>
      </c>
      <c r="G1616" s="377">
        <v>32</v>
      </c>
      <c r="H1616" s="377"/>
      <c r="I1616" s="377">
        <f>F1616*2*G1616</f>
        <v>64</v>
      </c>
      <c r="J1616" s="368"/>
      <c r="K1616" s="370" t="s">
        <v>1799</v>
      </c>
      <c r="L1616" s="10"/>
      <c r="M1616" s="10"/>
      <c r="N1616" s="10"/>
      <c r="O1616" s="11"/>
      <c r="P1616" s="11"/>
      <c r="Q1616" s="11"/>
      <c r="R1616" s="11"/>
      <c r="S1616" s="11" t="s">
        <v>1181</v>
      </c>
      <c r="T1616" s="117"/>
    </row>
    <row r="1617" spans="1:20" x14ac:dyDescent="0.2">
      <c r="A1617" s="33"/>
      <c r="B1617" s="20"/>
      <c r="E1617" s="371" t="s">
        <v>1796</v>
      </c>
      <c r="F1617" s="377">
        <v>1</v>
      </c>
      <c r="G1617" s="377">
        <v>5</v>
      </c>
      <c r="H1617" s="377"/>
      <c r="I1617" s="377">
        <f>F1617*2*G1617</f>
        <v>10</v>
      </c>
      <c r="J1617" s="368"/>
      <c r="K1617" s="370" t="s">
        <v>1800</v>
      </c>
      <c r="L1617" s="10"/>
      <c r="M1617" s="10"/>
      <c r="N1617" s="10"/>
      <c r="O1617" s="11"/>
      <c r="P1617" s="11"/>
      <c r="Q1617" s="11"/>
      <c r="R1617" s="11"/>
      <c r="S1617" s="11" t="s">
        <v>1181</v>
      </c>
      <c r="T1617" s="117"/>
    </row>
    <row r="1618" spans="1:20" x14ac:dyDescent="0.2">
      <c r="A1618" s="33"/>
      <c r="B1618" s="20"/>
      <c r="E1618" s="371"/>
      <c r="F1618" s="377"/>
      <c r="G1618" s="377"/>
      <c r="H1618" s="377"/>
      <c r="I1618" s="377"/>
      <c r="J1618" s="368"/>
      <c r="K1618" s="370"/>
      <c r="L1618" s="10"/>
      <c r="M1618" s="10"/>
      <c r="N1618" s="10"/>
      <c r="O1618" s="11"/>
      <c r="P1618" s="11"/>
      <c r="Q1618" s="11"/>
      <c r="R1618" s="11"/>
      <c r="S1618" s="11" t="s">
        <v>1181</v>
      </c>
      <c r="T1618" s="117"/>
    </row>
    <row r="1619" spans="1:20" x14ac:dyDescent="0.2">
      <c r="A1619" s="33"/>
      <c r="B1619" s="20"/>
      <c r="E1619" s="20" t="s">
        <v>1614</v>
      </c>
      <c r="F1619" s="9"/>
      <c r="G1619" s="9"/>
      <c r="H1619" s="9"/>
      <c r="I1619" s="9"/>
      <c r="J1619" s="9"/>
      <c r="K1619" s="310"/>
      <c r="L1619" s="10"/>
      <c r="M1619" s="10"/>
      <c r="N1619" s="10"/>
      <c r="O1619" s="11"/>
      <c r="P1619" s="34"/>
      <c r="Q1619" s="34"/>
      <c r="R1619" s="145"/>
      <c r="S1619" s="145"/>
      <c r="T1619" s="117"/>
    </row>
    <row r="1620" spans="1:20" x14ac:dyDescent="0.2">
      <c r="A1620" s="33"/>
      <c r="B1620" s="173" t="s">
        <v>802</v>
      </c>
      <c r="E1620" s="117"/>
      <c r="F1620" s="9"/>
      <c r="G1620" s="9">
        <f>SUM(G1581:G1617)</f>
        <v>82</v>
      </c>
      <c r="H1620" s="9"/>
      <c r="I1620" s="9">
        <f>SUM(I1581:I1617)</f>
        <v>164</v>
      </c>
      <c r="J1620" s="9"/>
      <c r="K1620" s="10"/>
      <c r="L1620" s="10"/>
      <c r="M1620" s="10"/>
      <c r="N1620" s="10"/>
      <c r="O1620" s="11"/>
      <c r="P1620" s="34"/>
      <c r="Q1620" s="34"/>
      <c r="R1620" s="145"/>
      <c r="S1620" s="145"/>
      <c r="T1620" s="117"/>
    </row>
    <row r="1621" spans="1:20" ht="11.25" customHeight="1" x14ac:dyDescent="0.2">
      <c r="A1621" s="33"/>
      <c r="B1621" s="52" t="s">
        <v>1778</v>
      </c>
      <c r="C1621" s="30"/>
      <c r="D1621" s="31"/>
      <c r="E1621" s="53"/>
      <c r="F1621" s="31"/>
      <c r="G1621" s="31"/>
      <c r="H1621" s="31"/>
      <c r="I1621" s="31"/>
      <c r="J1621" s="31"/>
      <c r="K1621" s="29"/>
      <c r="L1621" s="29"/>
      <c r="M1621" s="29"/>
      <c r="N1621" s="29"/>
      <c r="O1621" s="109"/>
      <c r="P1621" s="34"/>
      <c r="Q1621" s="34"/>
      <c r="R1621" s="149"/>
      <c r="S1621" s="149"/>
      <c r="T1621" s="160"/>
    </row>
    <row r="1622" spans="1:20" x14ac:dyDescent="0.2">
      <c r="A1622" s="33"/>
      <c r="B1622" s="20" t="s">
        <v>801</v>
      </c>
      <c r="E1622" s="21"/>
      <c r="F1622" s="9"/>
      <c r="G1622" s="9"/>
      <c r="H1622" s="9"/>
      <c r="I1622" s="9"/>
      <c r="J1622" s="9"/>
      <c r="K1622" s="10"/>
      <c r="L1622" s="10"/>
      <c r="M1622" s="10"/>
      <c r="N1622" s="10"/>
      <c r="O1622" s="11"/>
      <c r="P1622" s="34"/>
      <c r="Q1622" s="34"/>
      <c r="R1622" s="145"/>
      <c r="S1622" s="145"/>
      <c r="T1622" s="117"/>
    </row>
    <row r="1623" spans="1:20" x14ac:dyDescent="0.2">
      <c r="A1623" s="33"/>
      <c r="B1623" s="8" t="s">
        <v>1942</v>
      </c>
      <c r="E1623" s="20" t="s">
        <v>119</v>
      </c>
      <c r="F1623" s="9">
        <v>1</v>
      </c>
      <c r="G1623" s="9">
        <f>G1620 * F1623</f>
        <v>82</v>
      </c>
      <c r="H1623" s="9"/>
      <c r="I1623" s="9">
        <f>F1623*I1620</f>
        <v>164</v>
      </c>
      <c r="J1623" s="9"/>
      <c r="K1623" s="10" t="s">
        <v>1943</v>
      </c>
      <c r="L1623" s="10"/>
      <c r="M1623" s="10"/>
      <c r="N1623" s="10"/>
      <c r="O1623" s="11"/>
      <c r="P1623" s="34"/>
      <c r="Q1623" s="34"/>
      <c r="R1623" s="145"/>
      <c r="S1623" s="145"/>
      <c r="T1623" s="117"/>
    </row>
    <row r="1624" spans="1:20" x14ac:dyDescent="0.2">
      <c r="A1624" s="33"/>
      <c r="B1624" s="20" t="s">
        <v>803</v>
      </c>
      <c r="E1624" s="7"/>
      <c r="F1624" s="9"/>
      <c r="G1624" s="9"/>
      <c r="H1624" s="9"/>
      <c r="I1624" s="9"/>
      <c r="J1624" s="9"/>
      <c r="K1624" s="10"/>
      <c r="L1624" s="10"/>
      <c r="M1624" s="10"/>
      <c r="N1624" s="10"/>
      <c r="O1624" s="11"/>
      <c r="P1624" s="34"/>
      <c r="Q1624" s="34"/>
      <c r="R1624" s="145"/>
      <c r="S1624" s="145"/>
      <c r="T1624" s="117"/>
    </row>
    <row r="1625" spans="1:20" x14ac:dyDescent="0.2">
      <c r="A1625" s="33"/>
      <c r="B1625" s="52"/>
      <c r="C1625" s="30"/>
      <c r="D1625" s="31"/>
      <c r="E1625" s="53"/>
      <c r="F1625" s="31"/>
      <c r="G1625" s="31"/>
      <c r="H1625" s="31"/>
      <c r="I1625" s="31"/>
      <c r="J1625" s="31"/>
      <c r="K1625" s="29"/>
      <c r="L1625" s="29"/>
      <c r="M1625" s="29"/>
      <c r="N1625" s="29"/>
      <c r="O1625" s="109"/>
      <c r="P1625" s="34"/>
      <c r="Q1625" s="34"/>
      <c r="R1625" s="149"/>
      <c r="S1625" s="149"/>
      <c r="T1625" s="160"/>
    </row>
    <row r="1626" spans="1:20" x14ac:dyDescent="0.2">
      <c r="A1626" s="33"/>
      <c r="B1626" s="20"/>
      <c r="E1626" s="21"/>
      <c r="F1626" s="9"/>
      <c r="G1626" s="9"/>
      <c r="H1626" s="9"/>
      <c r="I1626" s="9"/>
      <c r="J1626" s="9"/>
      <c r="K1626" s="10"/>
      <c r="L1626" s="10"/>
      <c r="M1626" s="10"/>
      <c r="N1626" s="10"/>
      <c r="O1626" s="11"/>
      <c r="P1626" s="34"/>
      <c r="Q1626" s="34"/>
      <c r="R1626" s="145"/>
      <c r="S1626" s="145"/>
      <c r="T1626" s="117"/>
    </row>
    <row r="1627" spans="1:20" x14ac:dyDescent="0.2">
      <c r="A1627" s="33"/>
      <c r="B1627" s="8"/>
      <c r="E1627" s="20"/>
      <c r="F1627" s="9"/>
      <c r="G1627" s="9"/>
      <c r="H1627" s="9"/>
      <c r="I1627" s="9"/>
      <c r="J1627" s="9"/>
      <c r="K1627" s="10"/>
      <c r="L1627" s="10"/>
      <c r="M1627" s="10"/>
      <c r="N1627" s="10"/>
      <c r="O1627" s="11"/>
      <c r="P1627" s="34"/>
      <c r="Q1627" s="34"/>
      <c r="R1627" s="145"/>
      <c r="S1627" s="145"/>
      <c r="T1627" s="117"/>
    </row>
    <row r="1628" spans="1:20" x14ac:dyDescent="0.2">
      <c r="A1628" s="33"/>
      <c r="B1628" s="20"/>
      <c r="E1628" s="7"/>
      <c r="F1628" s="9"/>
      <c r="G1628" s="9"/>
      <c r="H1628" s="9"/>
      <c r="I1628" s="9"/>
      <c r="J1628" s="9"/>
      <c r="K1628" s="10"/>
      <c r="L1628" s="10"/>
      <c r="M1628" s="10"/>
      <c r="N1628" s="10"/>
      <c r="O1628" s="11"/>
      <c r="P1628" s="34"/>
      <c r="Q1628" s="34"/>
      <c r="R1628" s="145"/>
      <c r="S1628" s="145"/>
      <c r="T1628" s="117"/>
    </row>
    <row r="1629" spans="1:20" x14ac:dyDescent="0.2">
      <c r="A1629" s="33"/>
      <c r="B1629" s="52" t="s">
        <v>926</v>
      </c>
      <c r="C1629" s="30"/>
      <c r="D1629" s="31"/>
      <c r="E1629" s="53"/>
      <c r="F1629" s="30" t="s">
        <v>487</v>
      </c>
      <c r="G1629" s="30" t="s">
        <v>488</v>
      </c>
      <c r="H1629" s="48"/>
      <c r="I1629" s="31" t="s">
        <v>489</v>
      </c>
      <c r="J1629" s="31"/>
      <c r="K1629" s="29"/>
      <c r="L1629" s="29"/>
      <c r="M1629" s="29"/>
      <c r="N1629" s="29"/>
      <c r="O1629" s="109"/>
      <c r="P1629" s="34"/>
      <c r="Q1629" s="34"/>
      <c r="R1629" s="149"/>
      <c r="S1629" s="149"/>
      <c r="T1629" s="160"/>
    </row>
    <row r="1630" spans="1:20" x14ac:dyDescent="0.2">
      <c r="A1630" s="33"/>
      <c r="B1630" s="20"/>
      <c r="E1630" s="20"/>
      <c r="F1630" s="9"/>
      <c r="G1630" s="9"/>
      <c r="H1630" s="9"/>
      <c r="I1630" s="9"/>
      <c r="J1630" s="9"/>
      <c r="K1630" s="10"/>
      <c r="L1630" s="10"/>
      <c r="M1630" s="10"/>
      <c r="N1630" s="10"/>
      <c r="O1630" s="11"/>
      <c r="P1630" s="34"/>
      <c r="Q1630" s="34"/>
      <c r="R1630" s="145"/>
      <c r="S1630" s="145"/>
      <c r="T1630" s="117"/>
    </row>
    <row r="1631" spans="1:20" x14ac:dyDescent="0.2">
      <c r="A1631" s="33"/>
      <c r="B1631" s="20"/>
      <c r="E1631" s="8" t="s">
        <v>571</v>
      </c>
      <c r="F1631" s="9">
        <v>1</v>
      </c>
      <c r="G1631" s="9">
        <v>1</v>
      </c>
      <c r="H1631" s="9"/>
      <c r="I1631" s="9">
        <f>F1631*G1631*2</f>
        <v>2</v>
      </c>
      <c r="J1631" s="9"/>
      <c r="K1631" s="57" t="s">
        <v>695</v>
      </c>
      <c r="L1631" s="11" t="s">
        <v>797</v>
      </c>
      <c r="M1631" s="11"/>
      <c r="N1631" s="10"/>
      <c r="O1631" s="11"/>
      <c r="P1631" s="11"/>
      <c r="Q1631" s="11"/>
      <c r="R1631" s="11"/>
      <c r="S1631" s="11" t="s">
        <v>1181</v>
      </c>
      <c r="T1631" s="117"/>
    </row>
    <row r="1632" spans="1:20" x14ac:dyDescent="0.2">
      <c r="A1632" s="33"/>
      <c r="B1632" s="20"/>
      <c r="E1632" s="8" t="s">
        <v>540</v>
      </c>
      <c r="F1632" s="9">
        <v>1</v>
      </c>
      <c r="G1632" s="9">
        <v>1</v>
      </c>
      <c r="H1632" s="9"/>
      <c r="I1632" s="9">
        <f>F1632*2*G1632</f>
        <v>2</v>
      </c>
      <c r="J1632" s="9"/>
      <c r="K1632" s="57" t="s">
        <v>695</v>
      </c>
      <c r="L1632" s="11" t="s">
        <v>797</v>
      </c>
      <c r="M1632" s="11"/>
      <c r="N1632" s="10"/>
      <c r="O1632" s="11"/>
      <c r="P1632" s="11"/>
      <c r="Q1632" s="11"/>
      <c r="R1632" s="11"/>
      <c r="S1632" s="11" t="s">
        <v>1181</v>
      </c>
      <c r="T1632" s="117"/>
    </row>
    <row r="1633" spans="1:20" x14ac:dyDescent="0.2">
      <c r="A1633" s="33"/>
      <c r="B1633" s="20"/>
      <c r="E1633" s="8" t="s">
        <v>536</v>
      </c>
      <c r="F1633" s="9">
        <v>1</v>
      </c>
      <c r="G1633" s="9">
        <v>1</v>
      </c>
      <c r="H1633" s="9"/>
      <c r="I1633" s="9">
        <f>F1633*2*G1633</f>
        <v>2</v>
      </c>
      <c r="J1633" s="9"/>
      <c r="K1633" s="57" t="s">
        <v>759</v>
      </c>
      <c r="L1633" s="11" t="s">
        <v>797</v>
      </c>
      <c r="M1633" s="11"/>
      <c r="N1633" s="10"/>
      <c r="O1633" s="11"/>
      <c r="P1633" s="11"/>
      <c r="Q1633" s="11"/>
      <c r="R1633" s="11"/>
      <c r="S1633" s="11" t="s">
        <v>1181</v>
      </c>
      <c r="T1633" s="117"/>
    </row>
    <row r="1634" spans="1:20" x14ac:dyDescent="0.2">
      <c r="A1634" s="33"/>
      <c r="B1634" s="20"/>
      <c r="E1634" s="8" t="s">
        <v>539</v>
      </c>
      <c r="F1634" s="9">
        <v>1</v>
      </c>
      <c r="G1634" s="9">
        <v>1</v>
      </c>
      <c r="H1634" s="9"/>
      <c r="I1634" s="9">
        <f>F1634*2*G1634</f>
        <v>2</v>
      </c>
      <c r="J1634" s="9"/>
      <c r="K1634" s="57" t="s">
        <v>759</v>
      </c>
      <c r="L1634" s="11" t="s">
        <v>797</v>
      </c>
      <c r="M1634" s="11"/>
      <c r="N1634" s="10"/>
      <c r="O1634" s="11"/>
      <c r="P1634" s="11"/>
      <c r="Q1634" s="11"/>
      <c r="R1634" s="11"/>
      <c r="S1634" s="11" t="s">
        <v>1181</v>
      </c>
      <c r="T1634" s="117"/>
    </row>
    <row r="1635" spans="1:20" x14ac:dyDescent="0.2">
      <c r="A1635" s="33"/>
      <c r="B1635" s="20"/>
      <c r="E1635" s="8" t="s">
        <v>675</v>
      </c>
      <c r="F1635" s="9">
        <v>1</v>
      </c>
      <c r="G1635" s="9">
        <v>1</v>
      </c>
      <c r="H1635" s="9"/>
      <c r="I1635" s="9">
        <f>F1635*2*G1635</f>
        <v>2</v>
      </c>
      <c r="J1635" s="9"/>
      <c r="K1635" s="94" t="s">
        <v>1934</v>
      </c>
      <c r="L1635" s="11" t="s">
        <v>797</v>
      </c>
      <c r="M1635" s="11"/>
      <c r="N1635" s="10"/>
      <c r="O1635" s="11"/>
      <c r="P1635" s="11"/>
      <c r="Q1635" s="11"/>
      <c r="R1635" s="11"/>
      <c r="S1635" s="11" t="s">
        <v>1181</v>
      </c>
      <c r="T1635" s="117"/>
    </row>
    <row r="1636" spans="1:20" ht="56.25" x14ac:dyDescent="0.2">
      <c r="A1636" s="33"/>
      <c r="B1636" s="20"/>
      <c r="E1636" s="8" t="s">
        <v>647</v>
      </c>
      <c r="F1636" s="9">
        <v>1</v>
      </c>
      <c r="G1636" s="9">
        <v>3</v>
      </c>
      <c r="H1636" s="9"/>
      <c r="I1636" s="9">
        <f>F1636*G1636*2</f>
        <v>6</v>
      </c>
      <c r="J1636" s="9"/>
      <c r="K1636" s="165" t="s">
        <v>339</v>
      </c>
      <c r="L1636" s="11" t="s">
        <v>797</v>
      </c>
      <c r="M1636" s="11"/>
      <c r="N1636" s="10"/>
      <c r="O1636" s="11"/>
      <c r="P1636" s="11"/>
      <c r="Q1636" s="11"/>
      <c r="R1636" s="11"/>
      <c r="S1636" s="11" t="s">
        <v>1181</v>
      </c>
      <c r="T1636" s="117"/>
    </row>
    <row r="1637" spans="1:20" ht="56.25" x14ac:dyDescent="0.2">
      <c r="A1637" s="33"/>
      <c r="B1637" s="20"/>
      <c r="E1637" s="8" t="s">
        <v>648</v>
      </c>
      <c r="F1637" s="9">
        <v>1</v>
      </c>
      <c r="G1637" s="9">
        <v>3</v>
      </c>
      <c r="H1637" s="9"/>
      <c r="I1637" s="9">
        <f>F1637*G1637*2</f>
        <v>6</v>
      </c>
      <c r="J1637" s="9"/>
      <c r="K1637" s="165" t="s">
        <v>340</v>
      </c>
      <c r="L1637" s="11" t="s">
        <v>797</v>
      </c>
      <c r="M1637" s="11"/>
      <c r="N1637" s="10"/>
      <c r="O1637" s="11"/>
      <c r="P1637" s="11"/>
      <c r="Q1637" s="11"/>
      <c r="R1637" s="11"/>
      <c r="S1637" s="11" t="s">
        <v>1181</v>
      </c>
      <c r="T1637" s="117"/>
    </row>
    <row r="1638" spans="1:20" ht="11.25" customHeight="1" x14ac:dyDescent="0.2">
      <c r="A1638" s="33"/>
      <c r="B1638" s="20"/>
      <c r="E1638" s="20"/>
      <c r="F1638" s="9"/>
      <c r="G1638" s="9"/>
      <c r="H1638" s="9"/>
      <c r="I1638" s="9"/>
      <c r="J1638" s="9"/>
      <c r="K1638" s="10"/>
      <c r="L1638" s="10"/>
      <c r="M1638" s="10"/>
      <c r="N1638" s="10"/>
      <c r="O1638" s="11"/>
      <c r="P1638" s="34"/>
      <c r="Q1638" s="34"/>
      <c r="R1638" s="145"/>
      <c r="S1638" s="145"/>
      <c r="T1638" s="117"/>
    </row>
    <row r="1639" spans="1:20" x14ac:dyDescent="0.2">
      <c r="A1639" s="33"/>
      <c r="B1639" s="173" t="s">
        <v>802</v>
      </c>
      <c r="E1639" s="117"/>
      <c r="F1639" s="9"/>
      <c r="G1639" s="9">
        <f>SUM(G1631:G1637)</f>
        <v>11</v>
      </c>
      <c r="H1639" s="9"/>
      <c r="I1639" s="9">
        <f>SUM(I1631:I1637)</f>
        <v>22</v>
      </c>
      <c r="J1639" s="9"/>
      <c r="K1639" s="10"/>
      <c r="L1639" s="10"/>
      <c r="M1639" s="10"/>
      <c r="N1639" s="10"/>
      <c r="O1639" s="11"/>
      <c r="P1639" s="34"/>
      <c r="Q1639" s="34"/>
      <c r="R1639" s="145"/>
      <c r="S1639" s="145"/>
      <c r="T1639" s="117"/>
    </row>
    <row r="1640" spans="1:20" x14ac:dyDescent="0.2">
      <c r="A1640" s="33"/>
      <c r="B1640" s="52"/>
      <c r="C1640" s="30"/>
      <c r="D1640" s="31"/>
      <c r="E1640" s="53"/>
      <c r="F1640" s="31"/>
      <c r="G1640" s="31"/>
      <c r="H1640" s="31"/>
      <c r="I1640" s="31"/>
      <c r="J1640" s="31"/>
      <c r="K1640" s="29"/>
      <c r="L1640" s="29"/>
      <c r="M1640" s="29"/>
      <c r="N1640" s="29"/>
      <c r="O1640" s="109"/>
      <c r="P1640" s="34"/>
      <c r="Q1640" s="34"/>
      <c r="R1640" s="149"/>
      <c r="S1640" s="149"/>
      <c r="T1640" s="160"/>
    </row>
    <row r="1641" spans="1:20" x14ac:dyDescent="0.2">
      <c r="A1641" s="33"/>
      <c r="B1641" s="20" t="s">
        <v>801</v>
      </c>
      <c r="E1641" s="21"/>
      <c r="F1641" s="9"/>
      <c r="G1641" s="9"/>
      <c r="H1641" s="9"/>
      <c r="I1641" s="9"/>
      <c r="J1641" s="9"/>
      <c r="K1641" s="10"/>
      <c r="L1641" s="10"/>
      <c r="M1641" s="10"/>
      <c r="N1641" s="10"/>
      <c r="O1641" s="11"/>
      <c r="P1641" s="34"/>
      <c r="Q1641" s="34"/>
      <c r="R1641" s="145"/>
      <c r="S1641" s="145"/>
      <c r="T1641" s="117"/>
    </row>
    <row r="1642" spans="1:20" x14ac:dyDescent="0.2">
      <c r="A1642" s="33"/>
      <c r="B1642" s="8" t="s">
        <v>118</v>
      </c>
      <c r="E1642" s="20" t="s">
        <v>927</v>
      </c>
      <c r="F1642" s="9">
        <v>1</v>
      </c>
      <c r="G1642" s="9">
        <f>G1639 * F1642</f>
        <v>11</v>
      </c>
      <c r="H1642" s="9"/>
      <c r="I1642" s="9">
        <f>F1642*I1639</f>
        <v>22</v>
      </c>
      <c r="J1642" s="9"/>
      <c r="K1642" s="10"/>
      <c r="L1642" s="11" t="s">
        <v>797</v>
      </c>
      <c r="M1642" s="11"/>
      <c r="N1642" s="10"/>
      <c r="O1642" s="11"/>
      <c r="P1642" s="34"/>
      <c r="Q1642" s="34"/>
      <c r="R1642" s="145"/>
      <c r="S1642" s="145"/>
      <c r="T1642" s="117"/>
    </row>
    <row r="1643" spans="1:20" x14ac:dyDescent="0.2">
      <c r="A1643" s="33"/>
      <c r="B1643" s="20" t="s">
        <v>803</v>
      </c>
      <c r="E1643" s="7"/>
      <c r="F1643" s="9"/>
      <c r="G1643" s="9"/>
      <c r="H1643" s="9"/>
      <c r="I1643" s="9"/>
      <c r="J1643" s="9"/>
      <c r="K1643" s="10"/>
      <c r="L1643" s="10"/>
      <c r="M1643" s="10"/>
      <c r="N1643" s="10"/>
      <c r="O1643" s="11"/>
      <c r="P1643" s="34"/>
      <c r="Q1643" s="34"/>
      <c r="R1643" s="145"/>
      <c r="S1643" s="145"/>
      <c r="T1643" s="117"/>
    </row>
    <row r="1644" spans="1:20" x14ac:dyDescent="0.2">
      <c r="A1644" s="33"/>
      <c r="B1644" s="52" t="s">
        <v>1312</v>
      </c>
      <c r="C1644" s="30"/>
      <c r="D1644" s="31"/>
      <c r="E1644" s="53"/>
      <c r="F1644" s="30" t="s">
        <v>487</v>
      </c>
      <c r="G1644" s="30" t="s">
        <v>488</v>
      </c>
      <c r="H1644" s="48"/>
      <c r="I1644" s="31" t="s">
        <v>489</v>
      </c>
      <c r="J1644" s="31"/>
      <c r="K1644" s="29"/>
      <c r="L1644" s="29"/>
      <c r="M1644" s="29"/>
      <c r="N1644" s="29"/>
      <c r="O1644" s="109"/>
      <c r="P1644" s="123"/>
      <c r="Q1644" s="121"/>
      <c r="R1644" s="149"/>
      <c r="S1644" s="149"/>
      <c r="T1644" s="160"/>
    </row>
    <row r="1645" spans="1:20" x14ac:dyDescent="0.2">
      <c r="A1645" s="33"/>
      <c r="B1645" s="173" t="s">
        <v>800</v>
      </c>
      <c r="E1645" s="20"/>
      <c r="F1645" s="9"/>
      <c r="G1645" s="9"/>
      <c r="H1645" s="9"/>
      <c r="I1645" s="9"/>
      <c r="J1645" s="9"/>
      <c r="K1645" s="10"/>
      <c r="L1645" s="10"/>
      <c r="M1645" s="10"/>
      <c r="N1645" s="10"/>
      <c r="O1645" s="11"/>
      <c r="P1645" s="123"/>
      <c r="Q1645" s="121"/>
      <c r="R1645" s="145"/>
      <c r="S1645" s="145"/>
      <c r="T1645" s="117"/>
    </row>
    <row r="1646" spans="1:20" x14ac:dyDescent="0.2">
      <c r="A1646" s="33"/>
      <c r="E1646" s="20" t="s">
        <v>1013</v>
      </c>
      <c r="F1646" s="9">
        <v>8</v>
      </c>
      <c r="G1646" s="9">
        <f>F1646*8</f>
        <v>64</v>
      </c>
      <c r="H1646" s="9"/>
      <c r="I1646" s="9">
        <f>G1646*2</f>
        <v>128</v>
      </c>
      <c r="J1646" s="9"/>
      <c r="K1646" s="94" t="s">
        <v>1015</v>
      </c>
      <c r="L1646" s="10"/>
      <c r="M1646" s="10"/>
      <c r="N1646" s="10"/>
      <c r="O1646" s="11"/>
      <c r="P1646" s="11"/>
      <c r="Q1646" s="11"/>
      <c r="R1646" s="11"/>
      <c r="S1646" s="11" t="s">
        <v>1181</v>
      </c>
      <c r="T1646" s="117"/>
    </row>
    <row r="1647" spans="1:20" x14ac:dyDescent="0.2">
      <c r="A1647" s="33"/>
      <c r="B1647" s="173" t="s">
        <v>802</v>
      </c>
      <c r="E1647" s="21"/>
      <c r="F1647" s="9"/>
      <c r="G1647" s="9"/>
      <c r="H1647" s="9"/>
      <c r="I1647" s="9"/>
      <c r="J1647" s="9"/>
      <c r="K1647" s="242" t="s">
        <v>1014</v>
      </c>
      <c r="L1647" s="10"/>
      <c r="M1647" s="10"/>
      <c r="N1647" s="10"/>
      <c r="O1647" s="11"/>
      <c r="P1647" s="123"/>
      <c r="Q1647" s="121"/>
      <c r="R1647" s="145"/>
      <c r="S1647" s="145"/>
      <c r="T1647" s="117"/>
    </row>
    <row r="1648" spans="1:20" x14ac:dyDescent="0.2">
      <c r="A1648" s="33"/>
      <c r="B1648" s="13"/>
      <c r="C1648" s="46"/>
      <c r="D1648" s="48"/>
      <c r="E1648" s="48"/>
      <c r="F1648" s="48"/>
      <c r="G1648" s="48"/>
      <c r="H1648" s="48"/>
      <c r="I1648" s="48"/>
      <c r="J1648" s="48"/>
      <c r="K1648" s="49"/>
      <c r="L1648" s="49"/>
      <c r="M1648" s="49"/>
      <c r="N1648" s="49"/>
      <c r="O1648" s="32"/>
      <c r="P1648" s="29"/>
      <c r="Q1648" s="29"/>
      <c r="R1648" s="143"/>
      <c r="S1648" s="143"/>
      <c r="T1648" s="156"/>
    </row>
    <row r="1649" spans="1:20" x14ac:dyDescent="0.2">
      <c r="A1649" s="33"/>
      <c r="B1649" s="173" t="s">
        <v>801</v>
      </c>
      <c r="E1649" s="7"/>
      <c r="F1649" s="9"/>
      <c r="G1649" s="9"/>
      <c r="H1649" s="9"/>
      <c r="I1649" s="9"/>
      <c r="J1649" s="9"/>
      <c r="K1649" s="10"/>
      <c r="L1649" s="11"/>
      <c r="M1649" s="11"/>
      <c r="N1649" s="11"/>
      <c r="O1649" s="11"/>
      <c r="P1649" s="120"/>
      <c r="Q1649" s="120"/>
      <c r="R1649" s="145"/>
      <c r="S1649" s="145"/>
      <c r="T1649" s="117"/>
    </row>
    <row r="1650" spans="1:20" x14ac:dyDescent="0.2">
      <c r="A1650" s="33"/>
      <c r="B1650" s="8" t="s">
        <v>1070</v>
      </c>
      <c r="E1650" s="20" t="s">
        <v>1013</v>
      </c>
      <c r="F1650" s="9">
        <v>2</v>
      </c>
      <c r="G1650" s="9">
        <f>G1646 * F1650</f>
        <v>128</v>
      </c>
      <c r="H1650" s="9"/>
      <c r="I1650" s="9">
        <f>F1650*I1646</f>
        <v>256</v>
      </c>
      <c r="J1650" s="9"/>
      <c r="K1650" s="10"/>
      <c r="L1650" s="11" t="s">
        <v>797</v>
      </c>
      <c r="M1650" s="11"/>
      <c r="N1650" s="11"/>
      <c r="O1650" s="11"/>
      <c r="P1650" s="120"/>
      <c r="Q1650" s="49"/>
      <c r="R1650" s="144"/>
      <c r="S1650" s="144"/>
      <c r="T1650" s="117"/>
    </row>
    <row r="1651" spans="1:20" x14ac:dyDescent="0.2">
      <c r="A1651" s="33"/>
      <c r="B1651" s="20" t="s">
        <v>803</v>
      </c>
      <c r="E1651" s="7"/>
      <c r="F1651" s="9"/>
      <c r="G1651" s="9"/>
      <c r="H1651" s="9"/>
      <c r="I1651" s="9"/>
      <c r="J1651" s="9"/>
      <c r="K1651" s="10"/>
      <c r="L1651" s="10"/>
      <c r="M1651" s="10"/>
      <c r="N1651" s="10"/>
      <c r="O1651" s="11"/>
      <c r="P1651" s="120"/>
      <c r="Q1651" s="49"/>
      <c r="R1651" s="145"/>
      <c r="S1651" s="145"/>
      <c r="T1651" s="117"/>
    </row>
    <row r="1652" spans="1:20" x14ac:dyDescent="0.2">
      <c r="A1652" s="33"/>
      <c r="B1652" s="52" t="s">
        <v>1087</v>
      </c>
      <c r="C1652" s="30"/>
      <c r="D1652" s="31"/>
      <c r="E1652" s="53"/>
      <c r="F1652" s="30" t="s">
        <v>487</v>
      </c>
      <c r="G1652" s="30" t="s">
        <v>488</v>
      </c>
      <c r="H1652" s="48"/>
      <c r="I1652" s="31" t="s">
        <v>489</v>
      </c>
      <c r="J1652" s="31"/>
      <c r="K1652" s="29"/>
      <c r="L1652" s="29"/>
      <c r="M1652" s="29"/>
      <c r="N1652" s="29"/>
      <c r="O1652" s="109"/>
      <c r="P1652" s="123"/>
      <c r="Q1652" s="121"/>
      <c r="R1652" s="149"/>
      <c r="S1652" s="149"/>
      <c r="T1652" s="160"/>
    </row>
    <row r="1653" spans="1:20" x14ac:dyDescent="0.2">
      <c r="A1653" s="33"/>
      <c r="B1653" s="173" t="s">
        <v>800</v>
      </c>
      <c r="E1653" s="20"/>
      <c r="F1653" s="9"/>
      <c r="G1653" s="9"/>
      <c r="H1653" s="9"/>
      <c r="I1653" s="9"/>
      <c r="J1653" s="9"/>
      <c r="K1653" s="10"/>
      <c r="L1653" s="10"/>
      <c r="M1653" s="10"/>
      <c r="N1653" s="10"/>
      <c r="O1653" s="11"/>
      <c r="P1653" s="123"/>
      <c r="Q1653" s="121"/>
      <c r="R1653" s="145"/>
      <c r="S1653" s="145"/>
      <c r="T1653" s="117"/>
    </row>
    <row r="1654" spans="1:20" x14ac:dyDescent="0.2">
      <c r="A1654" s="33"/>
      <c r="E1654" s="20" t="s">
        <v>1012</v>
      </c>
      <c r="F1654" s="9">
        <v>8</v>
      </c>
      <c r="G1654" s="9">
        <f>F1654*8</f>
        <v>64</v>
      </c>
      <c r="H1654" s="9"/>
      <c r="I1654" s="9">
        <f>G1654*2</f>
        <v>128</v>
      </c>
      <c r="J1654" s="9"/>
      <c r="K1654" s="94" t="s">
        <v>1015</v>
      </c>
      <c r="L1654" s="10"/>
      <c r="M1654" s="10"/>
      <c r="N1654" s="10"/>
      <c r="O1654" s="11"/>
      <c r="P1654" s="11"/>
      <c r="Q1654" s="11"/>
      <c r="R1654" s="11"/>
      <c r="S1654" s="11" t="s">
        <v>1181</v>
      </c>
      <c r="T1654" s="117"/>
    </row>
    <row r="1655" spans="1:20" x14ac:dyDescent="0.2">
      <c r="A1655" s="33"/>
      <c r="B1655" s="173" t="s">
        <v>802</v>
      </c>
      <c r="E1655" s="21"/>
      <c r="F1655" s="9"/>
      <c r="G1655" s="9"/>
      <c r="H1655" s="9"/>
      <c r="I1655" s="9"/>
      <c r="J1655" s="9"/>
      <c r="K1655" s="242" t="s">
        <v>1014</v>
      </c>
      <c r="L1655" s="10"/>
      <c r="M1655" s="10"/>
      <c r="N1655" s="10"/>
      <c r="O1655" s="11"/>
      <c r="P1655" s="123"/>
      <c r="Q1655" s="121"/>
      <c r="R1655" s="145"/>
      <c r="S1655" s="145"/>
      <c r="T1655" s="117"/>
    </row>
    <row r="1656" spans="1:20" x14ac:dyDescent="0.2">
      <c r="A1656" s="33"/>
      <c r="B1656" s="13"/>
      <c r="C1656" s="46"/>
      <c r="D1656" s="48"/>
      <c r="E1656" s="48"/>
      <c r="F1656" s="48"/>
      <c r="G1656" s="48"/>
      <c r="H1656" s="48"/>
      <c r="I1656" s="48"/>
      <c r="J1656" s="48"/>
      <c r="K1656" s="49"/>
      <c r="L1656" s="49"/>
      <c r="M1656" s="49"/>
      <c r="N1656" s="49"/>
      <c r="O1656" s="32"/>
      <c r="P1656" s="29"/>
      <c r="Q1656" s="29"/>
      <c r="R1656" s="143"/>
      <c r="S1656" s="143"/>
      <c r="T1656" s="156"/>
    </row>
    <row r="1657" spans="1:20" x14ac:dyDescent="0.2">
      <c r="A1657" s="33"/>
      <c r="B1657" s="173" t="s">
        <v>801</v>
      </c>
      <c r="E1657" s="7"/>
      <c r="F1657" s="9"/>
      <c r="G1657" s="9"/>
      <c r="H1657" s="9"/>
      <c r="I1657" s="9"/>
      <c r="J1657" s="9"/>
      <c r="K1657" s="10"/>
      <c r="L1657" s="11"/>
      <c r="M1657" s="11"/>
      <c r="N1657" s="11"/>
      <c r="O1657" s="11"/>
      <c r="P1657" s="120"/>
      <c r="Q1657" s="120"/>
      <c r="R1657" s="145"/>
      <c r="S1657" s="145"/>
      <c r="T1657" s="117"/>
    </row>
    <row r="1658" spans="1:20" x14ac:dyDescent="0.2">
      <c r="A1658" s="33"/>
      <c r="B1658" s="8" t="s">
        <v>1069</v>
      </c>
      <c r="E1658" s="20" t="s">
        <v>1012</v>
      </c>
      <c r="F1658" s="9">
        <v>32</v>
      </c>
      <c r="G1658" s="9">
        <f>G1654 * F1658</f>
        <v>2048</v>
      </c>
      <c r="H1658" s="9"/>
      <c r="I1658" s="9">
        <f>F1658*I1654</f>
        <v>4096</v>
      </c>
      <c r="J1658" s="9"/>
      <c r="K1658" s="10"/>
      <c r="L1658" s="11" t="s">
        <v>797</v>
      </c>
      <c r="M1658" s="11"/>
      <c r="N1658" s="11"/>
      <c r="O1658" s="11"/>
      <c r="P1658" s="120"/>
      <c r="Q1658" s="49"/>
      <c r="R1658" s="144"/>
      <c r="S1658" s="144"/>
      <c r="T1658" s="117"/>
    </row>
    <row r="1659" spans="1:20" x14ac:dyDescent="0.2">
      <c r="A1659" s="33"/>
      <c r="B1659" s="20" t="s">
        <v>803</v>
      </c>
      <c r="E1659" s="7"/>
      <c r="F1659" s="9"/>
      <c r="G1659" s="9"/>
      <c r="H1659" s="9"/>
      <c r="I1659" s="9"/>
      <c r="J1659" s="9"/>
      <c r="K1659" s="10"/>
      <c r="L1659" s="10"/>
      <c r="M1659" s="10"/>
      <c r="N1659" s="10"/>
      <c r="O1659" s="11"/>
      <c r="P1659" s="120"/>
      <c r="Q1659" s="49"/>
      <c r="R1659" s="145"/>
      <c r="S1659" s="145"/>
      <c r="T1659" s="117"/>
    </row>
    <row r="1660" spans="1:20" x14ac:dyDescent="0.2">
      <c r="A1660" s="33"/>
      <c r="B1660" s="52" t="s">
        <v>1320</v>
      </c>
      <c r="C1660" s="30"/>
      <c r="D1660" s="31"/>
      <c r="E1660" s="53"/>
      <c r="F1660" s="30" t="s">
        <v>487</v>
      </c>
      <c r="G1660" s="30" t="s">
        <v>488</v>
      </c>
      <c r="H1660" s="48"/>
      <c r="I1660" s="31" t="s">
        <v>489</v>
      </c>
      <c r="J1660" s="31"/>
      <c r="K1660" s="29"/>
      <c r="L1660" s="29"/>
      <c r="M1660" s="29"/>
      <c r="N1660" s="29"/>
      <c r="O1660" s="109"/>
      <c r="P1660" s="123"/>
      <c r="Q1660" s="121"/>
      <c r="R1660" s="149"/>
      <c r="S1660" s="149"/>
      <c r="T1660" s="160"/>
    </row>
    <row r="1661" spans="1:20" x14ac:dyDescent="0.2">
      <c r="A1661" s="33"/>
      <c r="B1661" s="173" t="s">
        <v>800</v>
      </c>
      <c r="E1661" s="20"/>
      <c r="F1661" s="9"/>
      <c r="G1661" s="9"/>
      <c r="H1661" s="9"/>
      <c r="I1661" s="9"/>
      <c r="J1661" s="9"/>
      <c r="K1661" s="10"/>
      <c r="L1661" s="10"/>
      <c r="M1661" s="10"/>
      <c r="N1661" s="10"/>
      <c r="O1661" s="11"/>
      <c r="P1661" s="10"/>
      <c r="Q1661" s="10"/>
      <c r="R1661" s="145"/>
      <c r="S1661" s="145"/>
      <c r="T1661" s="117"/>
    </row>
    <row r="1662" spans="1:20" x14ac:dyDescent="0.2">
      <c r="A1662" s="33"/>
      <c r="E1662" s="20" t="s">
        <v>1313</v>
      </c>
      <c r="F1662" s="9">
        <v>8</v>
      </c>
      <c r="G1662" s="9">
        <f>F1662*8</f>
        <v>64</v>
      </c>
      <c r="H1662" s="9"/>
      <c r="I1662" s="9">
        <f>G1662*2</f>
        <v>128</v>
      </c>
      <c r="J1662" s="9"/>
      <c r="K1662" s="94" t="s">
        <v>1015</v>
      </c>
      <c r="L1662" s="10"/>
      <c r="M1662" s="10"/>
      <c r="N1662" s="10"/>
      <c r="O1662" s="11"/>
      <c r="P1662" s="11"/>
      <c r="Q1662" s="11"/>
      <c r="R1662" s="11"/>
      <c r="S1662" s="11" t="s">
        <v>1181</v>
      </c>
      <c r="T1662" s="117"/>
    </row>
    <row r="1663" spans="1:20" x14ac:dyDescent="0.2">
      <c r="A1663" s="33"/>
      <c r="B1663" s="173" t="s">
        <v>802</v>
      </c>
      <c r="E1663" s="21"/>
      <c r="F1663" s="9"/>
      <c r="G1663" s="9"/>
      <c r="H1663" s="9"/>
      <c r="I1663" s="9"/>
      <c r="J1663" s="9"/>
      <c r="K1663" s="242" t="s">
        <v>1014</v>
      </c>
      <c r="L1663" s="10"/>
      <c r="M1663" s="10"/>
      <c r="N1663" s="10"/>
      <c r="O1663" s="11"/>
      <c r="P1663" s="10"/>
      <c r="Q1663" s="10"/>
      <c r="R1663" s="145"/>
      <c r="S1663" s="145"/>
      <c r="T1663" s="117"/>
    </row>
    <row r="1664" spans="1:20" x14ac:dyDescent="0.2">
      <c r="A1664" s="33"/>
      <c r="B1664" s="13"/>
      <c r="C1664" s="46"/>
      <c r="D1664" s="48"/>
      <c r="E1664" s="48"/>
      <c r="F1664" s="48"/>
      <c r="G1664" s="48"/>
      <c r="H1664" s="48"/>
      <c r="I1664" s="48"/>
      <c r="J1664" s="48"/>
      <c r="K1664" s="49"/>
      <c r="L1664" s="49"/>
      <c r="M1664" s="49"/>
      <c r="N1664" s="49"/>
      <c r="O1664" s="32"/>
      <c r="P1664" s="29"/>
      <c r="Q1664" s="29"/>
      <c r="R1664" s="143"/>
      <c r="S1664" s="143"/>
      <c r="T1664" s="156"/>
    </row>
    <row r="1665" spans="1:20" x14ac:dyDescent="0.2">
      <c r="A1665" s="33"/>
      <c r="B1665" s="173" t="s">
        <v>801</v>
      </c>
      <c r="E1665" s="7"/>
      <c r="F1665" s="9"/>
      <c r="G1665" s="9"/>
      <c r="H1665" s="9"/>
      <c r="I1665" s="9"/>
      <c r="J1665" s="9"/>
      <c r="K1665" s="10"/>
      <c r="L1665" s="11"/>
      <c r="M1665" s="11"/>
      <c r="N1665" s="11"/>
      <c r="O1665" s="11"/>
      <c r="P1665" s="120"/>
      <c r="Q1665" s="120"/>
      <c r="R1665" s="145"/>
      <c r="S1665" s="145"/>
      <c r="T1665" s="117"/>
    </row>
    <row r="1666" spans="1:20" x14ac:dyDescent="0.2">
      <c r="A1666" s="33"/>
      <c r="B1666" s="8" t="s">
        <v>1016</v>
      </c>
      <c r="E1666" s="20" t="s">
        <v>1313</v>
      </c>
      <c r="F1666" s="9">
        <v>2</v>
      </c>
      <c r="G1666" s="9">
        <f>G1662 * F1666</f>
        <v>128</v>
      </c>
      <c r="H1666" s="9"/>
      <c r="I1666" s="9">
        <f>F1666*I1662</f>
        <v>256</v>
      </c>
      <c r="J1666" s="9"/>
      <c r="K1666" s="10"/>
      <c r="L1666" s="11" t="s">
        <v>797</v>
      </c>
      <c r="M1666" s="11"/>
      <c r="N1666" s="11"/>
      <c r="O1666" s="11"/>
      <c r="P1666" s="120"/>
      <c r="Q1666" s="49"/>
      <c r="R1666" s="144"/>
      <c r="S1666" s="144"/>
      <c r="T1666" s="117"/>
    </row>
    <row r="1667" spans="1:20" x14ac:dyDescent="0.2">
      <c r="A1667" s="33"/>
      <c r="B1667" s="20" t="s">
        <v>803</v>
      </c>
      <c r="E1667" s="7"/>
      <c r="F1667" s="9"/>
      <c r="G1667" s="9"/>
      <c r="H1667" s="9"/>
      <c r="I1667" s="9"/>
      <c r="J1667" s="9"/>
      <c r="K1667" s="10"/>
      <c r="L1667" s="10"/>
      <c r="M1667" s="10"/>
      <c r="N1667" s="10"/>
      <c r="O1667" s="11"/>
      <c r="P1667" s="120"/>
      <c r="Q1667" s="49"/>
      <c r="R1667" s="145"/>
      <c r="S1667" s="145"/>
      <c r="T1667" s="117"/>
    </row>
    <row r="1668" spans="1:20" x14ac:dyDescent="0.2">
      <c r="A1668" s="33"/>
      <c r="B1668" s="52" t="s">
        <v>1086</v>
      </c>
      <c r="C1668" s="30"/>
      <c r="D1668" s="31"/>
      <c r="E1668" s="53"/>
      <c r="F1668" s="30" t="s">
        <v>487</v>
      </c>
      <c r="G1668" s="30" t="s">
        <v>488</v>
      </c>
      <c r="H1668" s="48"/>
      <c r="I1668" s="31" t="s">
        <v>489</v>
      </c>
      <c r="J1668" s="31"/>
      <c r="K1668" s="29"/>
      <c r="L1668" s="29"/>
      <c r="M1668" s="29"/>
      <c r="N1668" s="29"/>
      <c r="O1668" s="109"/>
      <c r="P1668" s="123"/>
      <c r="Q1668" s="121"/>
      <c r="R1668" s="149"/>
      <c r="S1668" s="149"/>
      <c r="T1668" s="160"/>
    </row>
    <row r="1669" spans="1:20" x14ac:dyDescent="0.2">
      <c r="A1669" s="33"/>
      <c r="B1669" s="173" t="s">
        <v>800</v>
      </c>
      <c r="E1669" s="20"/>
      <c r="F1669" s="9"/>
      <c r="G1669" s="9"/>
      <c r="H1669" s="9"/>
      <c r="I1669" s="9"/>
      <c r="J1669" s="9"/>
      <c r="K1669" s="10"/>
      <c r="L1669" s="10"/>
      <c r="M1669" s="10"/>
      <c r="N1669" s="10"/>
      <c r="O1669" s="11"/>
      <c r="P1669" s="10"/>
      <c r="Q1669" s="10"/>
      <c r="R1669" s="145"/>
      <c r="S1669" s="145"/>
      <c r="T1669" s="117"/>
    </row>
    <row r="1670" spans="1:20" x14ac:dyDescent="0.2">
      <c r="A1670" s="33"/>
      <c r="E1670" s="20" t="s">
        <v>1071</v>
      </c>
      <c r="F1670" s="9">
        <v>8</v>
      </c>
      <c r="G1670" s="9">
        <f>F1670*8</f>
        <v>64</v>
      </c>
      <c r="H1670" s="9"/>
      <c r="I1670" s="9">
        <f>G1670*2</f>
        <v>128</v>
      </c>
      <c r="J1670" s="9"/>
      <c r="K1670" s="94" t="s">
        <v>1015</v>
      </c>
      <c r="L1670" s="10"/>
      <c r="M1670" s="10"/>
      <c r="N1670" s="10"/>
      <c r="O1670" s="11"/>
      <c r="P1670" s="11"/>
      <c r="Q1670" s="11"/>
      <c r="R1670" s="11"/>
      <c r="S1670" s="11" t="s">
        <v>1181</v>
      </c>
      <c r="T1670" s="117"/>
    </row>
    <row r="1671" spans="1:20" x14ac:dyDescent="0.2">
      <c r="A1671" s="33"/>
      <c r="B1671" s="173" t="s">
        <v>802</v>
      </c>
      <c r="E1671" s="21"/>
      <c r="F1671" s="9"/>
      <c r="G1671" s="9"/>
      <c r="H1671" s="9"/>
      <c r="I1671" s="9"/>
      <c r="J1671" s="9"/>
      <c r="K1671" s="242" t="s">
        <v>1014</v>
      </c>
      <c r="L1671" s="10"/>
      <c r="M1671" s="10"/>
      <c r="N1671" s="10"/>
      <c r="O1671" s="11"/>
      <c r="P1671" s="10"/>
      <c r="Q1671" s="10"/>
      <c r="R1671" s="145"/>
      <c r="S1671" s="145"/>
      <c r="T1671" s="117"/>
    </row>
    <row r="1672" spans="1:20" x14ac:dyDescent="0.2">
      <c r="A1672" s="33"/>
      <c r="B1672" s="13"/>
      <c r="C1672" s="46"/>
      <c r="D1672" s="48"/>
      <c r="E1672" s="48"/>
      <c r="F1672" s="48"/>
      <c r="G1672" s="48"/>
      <c r="H1672" s="48"/>
      <c r="I1672" s="48"/>
      <c r="J1672" s="48"/>
      <c r="K1672" s="49"/>
      <c r="L1672" s="49"/>
      <c r="M1672" s="49"/>
      <c r="N1672" s="49"/>
      <c r="O1672" s="32"/>
      <c r="P1672" s="29"/>
      <c r="Q1672" s="29"/>
      <c r="R1672" s="143"/>
      <c r="S1672" s="143"/>
      <c r="T1672" s="156"/>
    </row>
    <row r="1673" spans="1:20" x14ac:dyDescent="0.2">
      <c r="A1673" s="33"/>
      <c r="B1673" s="173" t="s">
        <v>801</v>
      </c>
      <c r="E1673" s="7"/>
      <c r="F1673" s="9"/>
      <c r="G1673" s="9"/>
      <c r="H1673" s="9"/>
      <c r="I1673" s="9"/>
      <c r="J1673" s="9"/>
      <c r="K1673" s="10"/>
      <c r="L1673" s="11"/>
      <c r="M1673" s="11"/>
      <c r="N1673" s="11"/>
      <c r="O1673" s="11"/>
      <c r="P1673" s="120"/>
      <c r="Q1673" s="120"/>
      <c r="R1673" s="145"/>
      <c r="S1673" s="145"/>
      <c r="T1673" s="117"/>
    </row>
    <row r="1674" spans="1:20" x14ac:dyDescent="0.2">
      <c r="A1674" s="33"/>
      <c r="B1674" s="8" t="s">
        <v>1017</v>
      </c>
      <c r="E1674" s="20" t="s">
        <v>1071</v>
      </c>
      <c r="F1674" s="9">
        <v>32</v>
      </c>
      <c r="G1674" s="9">
        <f>G1670 * F1674</f>
        <v>2048</v>
      </c>
      <c r="H1674" s="9"/>
      <c r="I1674" s="9">
        <f>F1674*I1670</f>
        <v>4096</v>
      </c>
      <c r="J1674" s="9"/>
      <c r="K1674" s="10"/>
      <c r="L1674" s="11" t="s">
        <v>797</v>
      </c>
      <c r="M1674" s="11"/>
      <c r="N1674" s="11"/>
      <c r="O1674" s="11"/>
      <c r="P1674" s="120"/>
      <c r="Q1674" s="49"/>
      <c r="R1674" s="144"/>
      <c r="S1674" s="144"/>
      <c r="T1674" s="117"/>
    </row>
    <row r="1675" spans="1:20" x14ac:dyDescent="0.2">
      <c r="A1675" s="33"/>
      <c r="B1675" s="20" t="s">
        <v>803</v>
      </c>
      <c r="E1675" s="7"/>
      <c r="F1675" s="9"/>
      <c r="G1675" s="9"/>
      <c r="H1675" s="9"/>
      <c r="I1675" s="9"/>
      <c r="J1675" s="9"/>
      <c r="K1675" s="10"/>
      <c r="L1675" s="10"/>
      <c r="M1675" s="10"/>
      <c r="N1675" s="10"/>
      <c r="O1675" s="11"/>
      <c r="P1675" s="120"/>
      <c r="Q1675" s="49"/>
      <c r="R1675" s="145"/>
      <c r="S1675" s="145"/>
      <c r="T1675" s="117"/>
    </row>
    <row r="1676" spans="1:20" x14ac:dyDescent="0.2">
      <c r="A1676" s="33"/>
      <c r="B1676" s="52" t="s">
        <v>1085</v>
      </c>
      <c r="C1676" s="30"/>
      <c r="D1676" s="31"/>
      <c r="E1676" s="53"/>
      <c r="F1676" s="30" t="s">
        <v>487</v>
      </c>
      <c r="G1676" s="30" t="s">
        <v>488</v>
      </c>
      <c r="H1676" s="48"/>
      <c r="I1676" s="31" t="s">
        <v>489</v>
      </c>
      <c r="J1676" s="31"/>
      <c r="K1676" s="29"/>
      <c r="L1676" s="29"/>
      <c r="M1676" s="29"/>
      <c r="N1676" s="29"/>
      <c r="O1676" s="109"/>
      <c r="P1676" s="123"/>
      <c r="Q1676" s="121"/>
      <c r="R1676" s="149"/>
      <c r="S1676" s="149"/>
      <c r="T1676" s="160"/>
    </row>
    <row r="1677" spans="1:20" x14ac:dyDescent="0.2">
      <c r="A1677" s="33"/>
      <c r="B1677" s="173" t="s">
        <v>800</v>
      </c>
      <c r="E1677" s="20"/>
      <c r="F1677" s="9"/>
      <c r="G1677" s="9"/>
      <c r="H1677" s="9"/>
      <c r="I1677" s="9"/>
      <c r="J1677" s="9"/>
      <c r="K1677" s="10"/>
      <c r="L1677" s="10"/>
      <c r="M1677" s="10"/>
      <c r="N1677" s="10"/>
      <c r="O1677" s="11"/>
      <c r="P1677" s="10"/>
      <c r="Q1677" s="10"/>
      <c r="R1677" s="145"/>
      <c r="S1677" s="145"/>
      <c r="T1677" s="117"/>
    </row>
    <row r="1678" spans="1:20" x14ac:dyDescent="0.2">
      <c r="A1678" s="33"/>
      <c r="E1678" s="20" t="s">
        <v>21</v>
      </c>
      <c r="F1678" s="9">
        <v>8</v>
      </c>
      <c r="G1678" s="9">
        <f>F1678*8</f>
        <v>64</v>
      </c>
      <c r="H1678" s="9"/>
      <c r="I1678" s="9">
        <f>G1678*2</f>
        <v>128</v>
      </c>
      <c r="J1678" s="9"/>
      <c r="K1678" s="94" t="s">
        <v>1015</v>
      </c>
      <c r="L1678" s="10"/>
      <c r="M1678" s="10"/>
      <c r="N1678" s="10"/>
      <c r="O1678" s="11"/>
      <c r="P1678" s="11"/>
      <c r="Q1678" s="11"/>
      <c r="R1678" s="11"/>
      <c r="S1678" s="11" t="s">
        <v>1181</v>
      </c>
      <c r="T1678" s="117"/>
    </row>
    <row r="1679" spans="1:20" x14ac:dyDescent="0.2">
      <c r="A1679" s="33"/>
      <c r="B1679" s="173" t="s">
        <v>802</v>
      </c>
      <c r="E1679" s="21"/>
      <c r="F1679" s="9"/>
      <c r="G1679" s="9"/>
      <c r="H1679" s="9"/>
      <c r="I1679" s="9"/>
      <c r="J1679" s="9"/>
      <c r="K1679" s="242" t="s">
        <v>1014</v>
      </c>
      <c r="L1679" s="10"/>
      <c r="M1679" s="10"/>
      <c r="N1679" s="10"/>
      <c r="O1679" s="11"/>
      <c r="P1679" s="10"/>
      <c r="Q1679" s="10"/>
      <c r="R1679" s="145"/>
      <c r="S1679" s="145"/>
      <c r="T1679" s="117"/>
    </row>
    <row r="1680" spans="1:20" x14ac:dyDescent="0.2">
      <c r="A1680" s="33"/>
      <c r="B1680" s="13"/>
      <c r="C1680" s="46"/>
      <c r="D1680" s="48"/>
      <c r="E1680" s="48"/>
      <c r="F1680" s="48"/>
      <c r="G1680" s="48"/>
      <c r="H1680" s="48"/>
      <c r="I1680" s="48"/>
      <c r="J1680" s="48"/>
      <c r="K1680" s="49"/>
      <c r="L1680" s="49"/>
      <c r="M1680" s="49"/>
      <c r="N1680" s="49"/>
      <c r="O1680" s="32"/>
      <c r="P1680" s="29"/>
      <c r="Q1680" s="29"/>
      <c r="R1680" s="143"/>
      <c r="S1680" s="143"/>
      <c r="T1680" s="156"/>
    </row>
    <row r="1681" spans="1:20" x14ac:dyDescent="0.2">
      <c r="A1681" s="33"/>
      <c r="B1681" s="173" t="s">
        <v>801</v>
      </c>
      <c r="E1681" s="7"/>
      <c r="F1681" s="9"/>
      <c r="G1681" s="9"/>
      <c r="H1681" s="9"/>
      <c r="I1681" s="9"/>
      <c r="J1681" s="9"/>
      <c r="K1681" s="10"/>
      <c r="L1681" s="11"/>
      <c r="M1681" s="11"/>
      <c r="N1681" s="11"/>
      <c r="O1681" s="11"/>
      <c r="P1681" s="120"/>
      <c r="Q1681" s="120"/>
      <c r="R1681" s="145"/>
      <c r="S1681" s="145"/>
      <c r="T1681" s="117"/>
    </row>
    <row r="1682" spans="1:20" x14ac:dyDescent="0.2">
      <c r="A1682" s="33"/>
      <c r="B1682" s="8" t="s">
        <v>1076</v>
      </c>
      <c r="E1682" s="20" t="s">
        <v>21</v>
      </c>
      <c r="F1682" s="9">
        <v>8</v>
      </c>
      <c r="G1682" s="9">
        <f>G1678 * F1682</f>
        <v>512</v>
      </c>
      <c r="H1682" s="9"/>
      <c r="I1682" s="9">
        <f>F1682*I1678</f>
        <v>1024</v>
      </c>
      <c r="J1682" s="9"/>
      <c r="K1682" s="10"/>
      <c r="L1682" s="11" t="s">
        <v>797</v>
      </c>
      <c r="M1682" s="11"/>
      <c r="N1682" s="11"/>
      <c r="O1682" s="11"/>
      <c r="P1682" s="120"/>
      <c r="Q1682" s="49"/>
      <c r="R1682" s="144"/>
      <c r="S1682" s="144"/>
      <c r="T1682" s="117"/>
    </row>
    <row r="1683" spans="1:20" x14ac:dyDescent="0.2">
      <c r="A1683" s="33"/>
      <c r="B1683" s="20" t="s">
        <v>803</v>
      </c>
      <c r="E1683" s="7"/>
      <c r="F1683" s="9"/>
      <c r="G1683" s="9"/>
      <c r="H1683" s="9"/>
      <c r="I1683" s="9"/>
      <c r="J1683" s="9"/>
      <c r="K1683" s="10"/>
      <c r="L1683" s="10"/>
      <c r="M1683" s="10"/>
      <c r="N1683" s="10"/>
      <c r="O1683" s="11"/>
      <c r="P1683" s="120"/>
      <c r="Q1683" s="49"/>
      <c r="R1683" s="145"/>
      <c r="S1683" s="145"/>
      <c r="T1683" s="117"/>
    </row>
    <row r="1684" spans="1:20" x14ac:dyDescent="0.2">
      <c r="A1684" s="33"/>
      <c r="B1684" s="52" t="s">
        <v>1084</v>
      </c>
      <c r="C1684" s="30"/>
      <c r="D1684" s="31"/>
      <c r="E1684" s="53"/>
      <c r="F1684" s="30" t="s">
        <v>487</v>
      </c>
      <c r="G1684" s="30" t="s">
        <v>488</v>
      </c>
      <c r="H1684" s="48"/>
      <c r="I1684" s="31" t="s">
        <v>489</v>
      </c>
      <c r="J1684" s="31"/>
      <c r="K1684" s="29"/>
      <c r="L1684" s="29"/>
      <c r="M1684" s="29"/>
      <c r="N1684" s="29"/>
      <c r="O1684" s="109"/>
      <c r="P1684" s="123"/>
      <c r="Q1684" s="121"/>
      <c r="R1684" s="149"/>
      <c r="S1684" s="149"/>
      <c r="T1684" s="160"/>
    </row>
    <row r="1685" spans="1:20" x14ac:dyDescent="0.2">
      <c r="A1685" s="33"/>
      <c r="B1685" s="173" t="s">
        <v>800</v>
      </c>
      <c r="E1685" s="20"/>
      <c r="F1685" s="9"/>
      <c r="G1685" s="9"/>
      <c r="H1685" s="9"/>
      <c r="I1685" s="9"/>
      <c r="J1685" s="9"/>
      <c r="K1685" s="10"/>
      <c r="L1685" s="10"/>
      <c r="M1685" s="10"/>
      <c r="N1685" s="10"/>
      <c r="O1685" s="11"/>
      <c r="P1685" s="10"/>
      <c r="Q1685" s="10"/>
      <c r="R1685" s="145"/>
      <c r="S1685" s="145"/>
      <c r="T1685" s="117"/>
    </row>
    <row r="1686" spans="1:20" x14ac:dyDescent="0.2">
      <c r="A1686" s="33"/>
      <c r="E1686" s="20" t="s">
        <v>34</v>
      </c>
      <c r="F1686" s="9">
        <v>8</v>
      </c>
      <c r="G1686" s="9">
        <f>F1686*8</f>
        <v>64</v>
      </c>
      <c r="H1686" s="9"/>
      <c r="I1686" s="9">
        <f>G1686*2</f>
        <v>128</v>
      </c>
      <c r="J1686" s="9"/>
      <c r="K1686" s="94" t="s">
        <v>1015</v>
      </c>
      <c r="L1686" s="10"/>
      <c r="M1686" s="10"/>
      <c r="N1686" s="10"/>
      <c r="O1686" s="11"/>
      <c r="P1686" s="11"/>
      <c r="Q1686" s="11"/>
      <c r="R1686" s="11"/>
      <c r="S1686" s="11" t="s">
        <v>1181</v>
      </c>
      <c r="T1686" s="117"/>
    </row>
    <row r="1687" spans="1:20" x14ac:dyDescent="0.2">
      <c r="A1687" s="33"/>
      <c r="B1687" s="173" t="s">
        <v>802</v>
      </c>
      <c r="E1687" s="21"/>
      <c r="F1687" s="9"/>
      <c r="G1687" s="9"/>
      <c r="H1687" s="9"/>
      <c r="I1687" s="9"/>
      <c r="J1687" s="9"/>
      <c r="K1687" s="242" t="s">
        <v>1014</v>
      </c>
      <c r="L1687" s="10"/>
      <c r="M1687" s="10"/>
      <c r="N1687" s="10"/>
      <c r="O1687" s="11"/>
      <c r="P1687" s="10"/>
      <c r="Q1687" s="10"/>
      <c r="R1687" s="145"/>
      <c r="S1687" s="145"/>
      <c r="T1687" s="117"/>
    </row>
    <row r="1688" spans="1:20" x14ac:dyDescent="0.2">
      <c r="A1688" s="33"/>
      <c r="B1688" s="13"/>
      <c r="C1688" s="46"/>
      <c r="D1688" s="48"/>
      <c r="E1688" s="48"/>
      <c r="F1688" s="48"/>
      <c r="G1688" s="48"/>
      <c r="H1688" s="48"/>
      <c r="I1688" s="48"/>
      <c r="J1688" s="48"/>
      <c r="K1688" s="49"/>
      <c r="L1688" s="49"/>
      <c r="M1688" s="49"/>
      <c r="N1688" s="49"/>
      <c r="O1688" s="32"/>
      <c r="P1688" s="29"/>
      <c r="Q1688" s="29"/>
      <c r="R1688" s="143"/>
      <c r="S1688" s="143"/>
      <c r="T1688" s="156"/>
    </row>
    <row r="1689" spans="1:20" x14ac:dyDescent="0.2">
      <c r="A1689" s="33"/>
      <c r="B1689" s="173" t="s">
        <v>801</v>
      </c>
      <c r="E1689" s="7"/>
      <c r="F1689" s="9"/>
      <c r="G1689" s="9"/>
      <c r="H1689" s="9"/>
      <c r="I1689" s="9"/>
      <c r="J1689" s="9"/>
      <c r="K1689" s="10"/>
      <c r="L1689" s="11"/>
      <c r="M1689" s="11"/>
      <c r="N1689" s="11"/>
      <c r="O1689" s="11"/>
      <c r="P1689" s="120"/>
      <c r="Q1689" s="120"/>
      <c r="R1689" s="145"/>
      <c r="S1689" s="145"/>
      <c r="T1689" s="117"/>
    </row>
    <row r="1690" spans="1:20" x14ac:dyDescent="0.2">
      <c r="A1690" s="33"/>
      <c r="B1690" s="8" t="s">
        <v>1340</v>
      </c>
      <c r="E1690" s="20" t="s">
        <v>34</v>
      </c>
      <c r="F1690" s="9">
        <v>128</v>
      </c>
      <c r="G1690" s="9">
        <f>G1686 * F1690</f>
        <v>8192</v>
      </c>
      <c r="H1690" s="9"/>
      <c r="I1690" s="9">
        <f>F1690*I1686</f>
        <v>16384</v>
      </c>
      <c r="J1690" s="9"/>
      <c r="K1690" s="10"/>
      <c r="L1690" s="11" t="s">
        <v>797</v>
      </c>
      <c r="M1690" s="11"/>
      <c r="N1690" s="11"/>
      <c r="O1690" s="11"/>
      <c r="P1690" s="120"/>
      <c r="Q1690" s="49"/>
      <c r="R1690" s="144"/>
      <c r="S1690" s="144"/>
      <c r="T1690" s="117"/>
    </row>
    <row r="1691" spans="1:20" x14ac:dyDescent="0.2">
      <c r="A1691" s="33"/>
      <c r="B1691" s="20" t="s">
        <v>803</v>
      </c>
      <c r="E1691" s="7"/>
      <c r="F1691" s="9"/>
      <c r="G1691" s="9"/>
      <c r="H1691" s="9"/>
      <c r="I1691" s="9"/>
      <c r="J1691" s="9"/>
      <c r="K1691" s="10"/>
      <c r="L1691" s="10"/>
      <c r="M1691" s="10"/>
      <c r="N1691" s="10"/>
      <c r="O1691" s="11"/>
      <c r="P1691" s="120"/>
      <c r="Q1691" s="49"/>
      <c r="R1691" s="145"/>
      <c r="S1691" s="145"/>
      <c r="T1691" s="117"/>
    </row>
    <row r="1692" spans="1:20" x14ac:dyDescent="0.2">
      <c r="A1692" s="33"/>
      <c r="B1692" s="52" t="s">
        <v>1083</v>
      </c>
      <c r="C1692" s="30"/>
      <c r="D1692" s="31"/>
      <c r="E1692" s="53"/>
      <c r="F1692" s="30" t="s">
        <v>487</v>
      </c>
      <c r="G1692" s="30" t="s">
        <v>488</v>
      </c>
      <c r="H1692" s="48"/>
      <c r="I1692" s="31" t="s">
        <v>489</v>
      </c>
      <c r="J1692" s="31"/>
      <c r="K1692" s="29"/>
      <c r="L1692" s="29"/>
      <c r="M1692" s="29"/>
      <c r="N1692" s="29"/>
      <c r="O1692" s="109"/>
      <c r="P1692" s="123"/>
      <c r="Q1692" s="121"/>
      <c r="R1692" s="149"/>
      <c r="S1692" s="149"/>
      <c r="T1692" s="160"/>
    </row>
    <row r="1693" spans="1:20" x14ac:dyDescent="0.2">
      <c r="A1693" s="33"/>
      <c r="B1693" s="173" t="s">
        <v>800</v>
      </c>
      <c r="E1693" s="20"/>
      <c r="F1693" s="9"/>
      <c r="G1693" s="9"/>
      <c r="H1693" s="9"/>
      <c r="I1693" s="9"/>
      <c r="J1693" s="9"/>
      <c r="K1693" s="10"/>
      <c r="L1693" s="10"/>
      <c r="M1693" s="10"/>
      <c r="N1693" s="10"/>
      <c r="O1693" s="11"/>
      <c r="P1693" s="10"/>
      <c r="Q1693" s="10"/>
      <c r="R1693" s="145"/>
      <c r="S1693" s="145"/>
      <c r="T1693" s="117"/>
    </row>
    <row r="1694" spans="1:20" x14ac:dyDescent="0.2">
      <c r="A1694" s="33"/>
      <c r="E1694" s="20" t="s">
        <v>1077</v>
      </c>
      <c r="F1694" s="9">
        <v>8</v>
      </c>
      <c r="G1694" s="9">
        <v>64</v>
      </c>
      <c r="H1694" s="9"/>
      <c r="I1694" s="9">
        <f>G1694*2</f>
        <v>128</v>
      </c>
      <c r="J1694" s="9"/>
      <c r="K1694" s="94" t="s">
        <v>1015</v>
      </c>
      <c r="L1694" s="10"/>
      <c r="M1694" s="10"/>
      <c r="N1694" s="10"/>
      <c r="O1694" s="11"/>
      <c r="P1694" s="11"/>
      <c r="Q1694" s="11"/>
      <c r="R1694" s="11"/>
      <c r="S1694" s="11" t="s">
        <v>1181</v>
      </c>
      <c r="T1694" s="117"/>
    </row>
    <row r="1695" spans="1:20" x14ac:dyDescent="0.2">
      <c r="A1695" s="33"/>
      <c r="B1695" s="173" t="s">
        <v>802</v>
      </c>
      <c r="E1695" s="21"/>
      <c r="F1695" s="9"/>
      <c r="G1695" s="9"/>
      <c r="H1695" s="9"/>
      <c r="I1695" s="9"/>
      <c r="J1695" s="9"/>
      <c r="K1695" s="242" t="s">
        <v>1014</v>
      </c>
      <c r="L1695" s="10"/>
      <c r="M1695" s="10"/>
      <c r="N1695" s="10"/>
      <c r="O1695" s="11"/>
      <c r="P1695" s="10"/>
      <c r="Q1695" s="10"/>
      <c r="R1695" s="145"/>
      <c r="S1695" s="145"/>
      <c r="T1695" s="117"/>
    </row>
    <row r="1696" spans="1:20" x14ac:dyDescent="0.2">
      <c r="A1696" s="33"/>
      <c r="B1696" s="13"/>
      <c r="C1696" s="46"/>
      <c r="D1696" s="48"/>
      <c r="E1696" s="48"/>
      <c r="F1696" s="48"/>
      <c r="G1696" s="48"/>
      <c r="H1696" s="48"/>
      <c r="I1696" s="48"/>
      <c r="J1696" s="48"/>
      <c r="K1696" s="49"/>
      <c r="L1696" s="49"/>
      <c r="M1696" s="49"/>
      <c r="N1696" s="49"/>
      <c r="O1696" s="32"/>
      <c r="P1696" s="29"/>
      <c r="Q1696" s="29"/>
      <c r="R1696" s="143"/>
      <c r="S1696" s="143"/>
      <c r="T1696" s="156"/>
    </row>
    <row r="1697" spans="1:20" x14ac:dyDescent="0.2">
      <c r="A1697" s="33"/>
      <c r="B1697" s="173" t="s">
        <v>801</v>
      </c>
      <c r="E1697" s="7"/>
      <c r="F1697" s="9"/>
      <c r="G1697" s="9"/>
      <c r="H1697" s="9"/>
      <c r="I1697" s="9"/>
      <c r="J1697" s="9"/>
      <c r="K1697" s="10"/>
      <c r="L1697" s="11"/>
      <c r="M1697" s="11"/>
      <c r="N1697" s="11"/>
      <c r="O1697" s="11"/>
      <c r="P1697" s="120"/>
      <c r="Q1697" s="120"/>
      <c r="R1697" s="145"/>
      <c r="S1697" s="145"/>
      <c r="T1697" s="117"/>
    </row>
    <row r="1698" spans="1:20" x14ac:dyDescent="0.2">
      <c r="A1698" s="33"/>
      <c r="B1698" s="8" t="s">
        <v>1078</v>
      </c>
      <c r="E1698" s="20" t="s">
        <v>1077</v>
      </c>
      <c r="F1698" s="9">
        <v>12</v>
      </c>
      <c r="G1698" s="9">
        <f>G1694 * F1698</f>
        <v>768</v>
      </c>
      <c r="H1698" s="9"/>
      <c r="I1698" s="9">
        <f>F1698*I1694</f>
        <v>1536</v>
      </c>
      <c r="J1698" s="9"/>
      <c r="K1698" s="10"/>
      <c r="L1698" s="11" t="s">
        <v>797</v>
      </c>
      <c r="M1698" s="11"/>
      <c r="N1698" s="11"/>
      <c r="O1698" s="11"/>
      <c r="P1698" s="120"/>
      <c r="Q1698" s="49"/>
      <c r="R1698" s="144"/>
      <c r="S1698" s="144"/>
      <c r="T1698" s="117"/>
    </row>
    <row r="1699" spans="1:20" x14ac:dyDescent="0.2">
      <c r="A1699" s="33"/>
      <c r="B1699" s="20" t="s">
        <v>803</v>
      </c>
      <c r="E1699" s="7"/>
      <c r="F1699" s="9"/>
      <c r="G1699" s="9"/>
      <c r="H1699" s="9"/>
      <c r="I1699" s="9"/>
      <c r="J1699" s="9"/>
      <c r="K1699" s="10"/>
      <c r="L1699" s="10"/>
      <c r="M1699" s="10"/>
      <c r="N1699" s="10"/>
      <c r="O1699" s="11"/>
      <c r="P1699" s="120"/>
      <c r="Q1699" s="49"/>
      <c r="R1699" s="145"/>
      <c r="S1699" s="145"/>
      <c r="T1699" s="117"/>
    </row>
    <row r="1700" spans="1:20" x14ac:dyDescent="0.2">
      <c r="A1700" s="33"/>
      <c r="B1700" s="52" t="s">
        <v>1082</v>
      </c>
      <c r="C1700" s="30"/>
      <c r="D1700" s="31"/>
      <c r="E1700" s="53"/>
      <c r="F1700" s="30" t="s">
        <v>487</v>
      </c>
      <c r="G1700" s="30" t="s">
        <v>488</v>
      </c>
      <c r="H1700" s="48"/>
      <c r="I1700" s="31" t="s">
        <v>489</v>
      </c>
      <c r="J1700" s="31"/>
      <c r="K1700" s="29"/>
      <c r="L1700" s="29"/>
      <c r="M1700" s="29"/>
      <c r="N1700" s="29"/>
      <c r="O1700" s="109"/>
      <c r="P1700" s="123"/>
      <c r="Q1700" s="121"/>
      <c r="R1700" s="149"/>
      <c r="S1700" s="149"/>
      <c r="T1700" s="160"/>
    </row>
    <row r="1701" spans="1:20" x14ac:dyDescent="0.2">
      <c r="A1701" s="33"/>
      <c r="B1701" s="173" t="s">
        <v>800</v>
      </c>
      <c r="E1701" s="20"/>
      <c r="F1701" s="9"/>
      <c r="G1701" s="9"/>
      <c r="H1701" s="9"/>
      <c r="I1701" s="9"/>
      <c r="J1701" s="9"/>
      <c r="K1701" s="10"/>
      <c r="L1701" s="10"/>
      <c r="M1701" s="10"/>
      <c r="N1701" s="10"/>
      <c r="O1701" s="11"/>
      <c r="P1701" s="10"/>
      <c r="Q1701" s="10"/>
      <c r="R1701" s="145"/>
      <c r="S1701" s="145"/>
      <c r="T1701" s="117"/>
    </row>
    <row r="1702" spans="1:20" x14ac:dyDescent="0.2">
      <c r="A1702" s="33"/>
      <c r="E1702" s="20" t="s">
        <v>214</v>
      </c>
      <c r="F1702" s="9">
        <v>8</v>
      </c>
      <c r="G1702" s="9">
        <f>F1702*8</f>
        <v>64</v>
      </c>
      <c r="H1702" s="9"/>
      <c r="I1702" s="9">
        <f>G1702*2</f>
        <v>128</v>
      </c>
      <c r="J1702" s="9"/>
      <c r="K1702" s="94" t="s">
        <v>1015</v>
      </c>
      <c r="L1702" s="10"/>
      <c r="M1702" s="10"/>
      <c r="N1702" s="10"/>
      <c r="O1702" s="11"/>
      <c r="P1702" s="11"/>
      <c r="Q1702" s="11"/>
      <c r="R1702" s="11"/>
      <c r="S1702" s="11" t="s">
        <v>1181</v>
      </c>
      <c r="T1702" s="117"/>
    </row>
    <row r="1703" spans="1:20" x14ac:dyDescent="0.2">
      <c r="A1703" s="33"/>
      <c r="B1703" s="173" t="s">
        <v>802</v>
      </c>
      <c r="E1703" s="21"/>
      <c r="F1703" s="9"/>
      <c r="G1703" s="9"/>
      <c r="H1703" s="9"/>
      <c r="I1703" s="9"/>
      <c r="J1703" s="9"/>
      <c r="K1703" s="242" t="s">
        <v>1014</v>
      </c>
      <c r="L1703" s="10"/>
      <c r="M1703" s="10"/>
      <c r="N1703" s="10"/>
      <c r="O1703" s="11"/>
      <c r="P1703" s="10"/>
      <c r="Q1703" s="10"/>
      <c r="R1703" s="145"/>
      <c r="S1703" s="145"/>
      <c r="T1703" s="117"/>
    </row>
    <row r="1704" spans="1:20" x14ac:dyDescent="0.2">
      <c r="A1704" s="33"/>
      <c r="B1704" s="13"/>
      <c r="C1704" s="46"/>
      <c r="D1704" s="48"/>
      <c r="E1704" s="48"/>
      <c r="F1704" s="48"/>
      <c r="G1704" s="48"/>
      <c r="H1704" s="48"/>
      <c r="I1704" s="48"/>
      <c r="J1704" s="48"/>
      <c r="K1704" s="49"/>
      <c r="L1704" s="49"/>
      <c r="M1704" s="49"/>
      <c r="N1704" s="49"/>
      <c r="O1704" s="32"/>
      <c r="P1704" s="29"/>
      <c r="Q1704" s="29"/>
      <c r="R1704" s="143"/>
      <c r="S1704" s="143"/>
      <c r="T1704" s="156"/>
    </row>
    <row r="1705" spans="1:20" x14ac:dyDescent="0.2">
      <c r="A1705" s="33"/>
      <c r="B1705" s="173" t="s">
        <v>801</v>
      </c>
      <c r="E1705" s="7"/>
      <c r="F1705" s="9"/>
      <c r="G1705" s="9"/>
      <c r="H1705" s="9"/>
      <c r="I1705" s="9"/>
      <c r="J1705" s="9"/>
      <c r="K1705" s="10"/>
      <c r="L1705" s="11"/>
      <c r="M1705" s="11"/>
      <c r="N1705" s="11"/>
      <c r="O1705" s="11"/>
      <c r="P1705" s="120"/>
      <c r="Q1705" s="120"/>
      <c r="R1705" s="145"/>
      <c r="S1705" s="145"/>
      <c r="T1705" s="117"/>
    </row>
    <row r="1706" spans="1:20" x14ac:dyDescent="0.2">
      <c r="A1706" s="33"/>
      <c r="B1706" s="8" t="s">
        <v>1016</v>
      </c>
      <c r="E1706" s="20" t="s">
        <v>214</v>
      </c>
      <c r="F1706" s="9">
        <v>2</v>
      </c>
      <c r="G1706" s="9">
        <f>G1702 * F1706</f>
        <v>128</v>
      </c>
      <c r="H1706" s="9"/>
      <c r="I1706" s="9">
        <f>F1706*I1702</f>
        <v>256</v>
      </c>
      <c r="J1706" s="9"/>
      <c r="K1706" s="10"/>
      <c r="L1706" s="11" t="s">
        <v>797</v>
      </c>
      <c r="M1706" s="11"/>
      <c r="N1706" s="11"/>
      <c r="O1706" s="11"/>
      <c r="P1706" s="120"/>
      <c r="Q1706" s="49"/>
      <c r="R1706" s="144"/>
      <c r="S1706" s="144"/>
      <c r="T1706" s="117"/>
    </row>
    <row r="1707" spans="1:20" x14ac:dyDescent="0.2">
      <c r="A1707" s="33"/>
      <c r="B1707" s="20" t="s">
        <v>803</v>
      </c>
      <c r="E1707" s="7"/>
      <c r="F1707" s="9"/>
      <c r="G1707" s="9"/>
      <c r="H1707" s="9"/>
      <c r="I1707" s="9"/>
      <c r="J1707" s="9"/>
      <c r="K1707" s="10"/>
      <c r="L1707" s="10"/>
      <c r="M1707" s="10"/>
      <c r="N1707" s="10"/>
      <c r="O1707" s="11"/>
      <c r="P1707" s="120"/>
      <c r="Q1707" s="49"/>
      <c r="R1707" s="145"/>
      <c r="S1707" s="145"/>
      <c r="T1707" s="117"/>
    </row>
    <row r="1708" spans="1:20" x14ac:dyDescent="0.2">
      <c r="A1708" s="33"/>
      <c r="B1708" s="52" t="s">
        <v>1816</v>
      </c>
      <c r="C1708" s="30"/>
      <c r="D1708" s="31"/>
      <c r="E1708" s="53"/>
      <c r="F1708" s="30" t="s">
        <v>487</v>
      </c>
      <c r="G1708" s="30" t="s">
        <v>488</v>
      </c>
      <c r="H1708" s="48"/>
      <c r="I1708" s="31" t="s">
        <v>489</v>
      </c>
      <c r="J1708" s="31"/>
      <c r="K1708" s="29"/>
      <c r="L1708" s="29"/>
      <c r="M1708" s="29"/>
      <c r="N1708" s="29"/>
      <c r="O1708" s="109"/>
      <c r="P1708" s="123"/>
      <c r="Q1708" s="121"/>
      <c r="R1708" s="149"/>
      <c r="S1708" s="149"/>
      <c r="T1708" s="160"/>
    </row>
    <row r="1709" spans="1:20" x14ac:dyDescent="0.2">
      <c r="A1709" s="33"/>
      <c r="B1709" s="173" t="s">
        <v>800</v>
      </c>
      <c r="E1709" s="20"/>
      <c r="F1709" s="9"/>
      <c r="G1709" s="9"/>
      <c r="H1709" s="9"/>
      <c r="I1709" s="9"/>
      <c r="J1709" s="9"/>
      <c r="K1709" s="10"/>
      <c r="L1709" s="10"/>
      <c r="M1709" s="10"/>
      <c r="N1709" s="10"/>
      <c r="O1709" s="11"/>
      <c r="P1709" s="10"/>
      <c r="Q1709" s="10"/>
      <c r="R1709" s="145"/>
      <c r="S1709" s="145"/>
      <c r="T1709" s="117"/>
    </row>
    <row r="1710" spans="1:20" x14ac:dyDescent="0.2">
      <c r="A1710" s="33"/>
      <c r="E1710" s="20" t="s">
        <v>1808</v>
      </c>
      <c r="F1710" s="9">
        <v>8</v>
      </c>
      <c r="G1710" s="9">
        <f>F1710*8</f>
        <v>64</v>
      </c>
      <c r="H1710" s="9"/>
      <c r="I1710" s="9">
        <f>G1710*2</f>
        <v>128</v>
      </c>
      <c r="J1710" s="9"/>
      <c r="K1710" s="94" t="s">
        <v>1015</v>
      </c>
      <c r="L1710" s="10"/>
      <c r="M1710" s="10"/>
      <c r="N1710" s="10"/>
      <c r="O1710" s="11"/>
      <c r="P1710" s="11"/>
      <c r="Q1710" s="11"/>
      <c r="R1710" s="11"/>
      <c r="S1710" s="11" t="s">
        <v>1181</v>
      </c>
      <c r="T1710" s="117"/>
    </row>
    <row r="1711" spans="1:20" x14ac:dyDescent="0.2">
      <c r="A1711" s="33"/>
      <c r="B1711" s="173" t="s">
        <v>802</v>
      </c>
      <c r="E1711" s="21"/>
      <c r="F1711" s="9"/>
      <c r="G1711" s="9"/>
      <c r="H1711" s="9"/>
      <c r="I1711" s="9"/>
      <c r="J1711" s="9"/>
      <c r="K1711" s="242" t="s">
        <v>1014</v>
      </c>
      <c r="L1711" s="10"/>
      <c r="M1711" s="10"/>
      <c r="N1711" s="10"/>
      <c r="O1711" s="11"/>
      <c r="P1711" s="10"/>
      <c r="Q1711" s="10"/>
      <c r="R1711" s="145"/>
      <c r="S1711" s="145"/>
      <c r="T1711" s="117"/>
    </row>
    <row r="1712" spans="1:20" x14ac:dyDescent="0.2">
      <c r="A1712" s="33"/>
      <c r="B1712" s="13"/>
      <c r="C1712" s="46"/>
      <c r="D1712" s="48"/>
      <c r="E1712" s="48"/>
      <c r="F1712" s="48"/>
      <c r="G1712" s="48"/>
      <c r="H1712" s="48"/>
      <c r="I1712" s="48"/>
      <c r="J1712" s="48"/>
      <c r="K1712" s="49"/>
      <c r="L1712" s="49"/>
      <c r="M1712" s="49"/>
      <c r="N1712" s="49"/>
      <c r="O1712" s="32"/>
      <c r="P1712" s="29"/>
      <c r="Q1712" s="29"/>
      <c r="R1712" s="143"/>
      <c r="S1712" s="143"/>
      <c r="T1712" s="156"/>
    </row>
    <row r="1713" spans="1:20" x14ac:dyDescent="0.2">
      <c r="A1713" s="33"/>
      <c r="B1713" s="173" t="s">
        <v>801</v>
      </c>
      <c r="E1713" s="7"/>
      <c r="F1713" s="9"/>
      <c r="G1713" s="9"/>
      <c r="H1713" s="9"/>
      <c r="I1713" s="9"/>
      <c r="J1713" s="9"/>
      <c r="K1713" s="10"/>
      <c r="L1713" s="11"/>
      <c r="M1713" s="11"/>
      <c r="N1713" s="11"/>
      <c r="O1713" s="11"/>
      <c r="P1713" s="120"/>
      <c r="Q1713" s="120"/>
      <c r="R1713" s="145"/>
      <c r="S1713" s="145"/>
      <c r="T1713" s="117"/>
    </row>
    <row r="1714" spans="1:20" x14ac:dyDescent="0.2">
      <c r="A1714" s="33"/>
      <c r="B1714" s="8" t="s">
        <v>1809</v>
      </c>
      <c r="E1714" s="20" t="s">
        <v>1808</v>
      </c>
      <c r="F1714" s="9">
        <v>8</v>
      </c>
      <c r="G1714" s="9">
        <f>G1710 * F1714</f>
        <v>512</v>
      </c>
      <c r="H1714" s="9"/>
      <c r="I1714" s="9">
        <f>F1714*I1710</f>
        <v>1024</v>
      </c>
      <c r="J1714" s="9"/>
      <c r="K1714" s="10"/>
      <c r="L1714" s="11" t="s">
        <v>797</v>
      </c>
      <c r="M1714" s="11"/>
      <c r="N1714" s="11"/>
      <c r="O1714" s="11"/>
      <c r="P1714" s="120"/>
      <c r="Q1714" s="49"/>
      <c r="R1714" s="144"/>
      <c r="S1714" s="144"/>
      <c r="T1714" s="117"/>
    </row>
    <row r="1715" spans="1:20" x14ac:dyDescent="0.2">
      <c r="A1715" s="33"/>
      <c r="B1715" s="20" t="s">
        <v>803</v>
      </c>
      <c r="E1715" s="7"/>
      <c r="F1715" s="9"/>
      <c r="G1715" s="9"/>
      <c r="H1715" s="9"/>
      <c r="I1715" s="9"/>
      <c r="J1715" s="9"/>
      <c r="K1715" s="10"/>
      <c r="L1715" s="10"/>
      <c r="M1715" s="10"/>
      <c r="N1715" s="10"/>
      <c r="O1715" s="11"/>
      <c r="P1715" s="120"/>
      <c r="Q1715" s="49"/>
      <c r="R1715" s="145"/>
      <c r="S1715" s="145"/>
      <c r="T1715" s="117"/>
    </row>
    <row r="1716" spans="1:20" x14ac:dyDescent="0.2">
      <c r="A1716" s="33"/>
      <c r="B1716" s="52" t="s">
        <v>1817</v>
      </c>
      <c r="C1716" s="30"/>
      <c r="D1716" s="31"/>
      <c r="E1716" s="53"/>
      <c r="F1716" s="30" t="s">
        <v>487</v>
      </c>
      <c r="G1716" s="30" t="s">
        <v>488</v>
      </c>
      <c r="H1716" s="48"/>
      <c r="I1716" s="31" t="s">
        <v>489</v>
      </c>
      <c r="J1716" s="31"/>
      <c r="K1716" s="29"/>
      <c r="L1716" s="29"/>
      <c r="M1716" s="29"/>
      <c r="N1716" s="29"/>
      <c r="O1716" s="109"/>
      <c r="P1716" s="123"/>
      <c r="Q1716" s="121"/>
      <c r="R1716" s="149"/>
      <c r="S1716" s="149"/>
      <c r="T1716" s="160"/>
    </row>
    <row r="1717" spans="1:20" x14ac:dyDescent="0.2">
      <c r="A1717" s="33"/>
      <c r="B1717" s="173" t="s">
        <v>800</v>
      </c>
      <c r="E1717" s="20"/>
      <c r="F1717" s="9"/>
      <c r="G1717" s="9"/>
      <c r="H1717" s="9"/>
      <c r="I1717" s="9"/>
      <c r="J1717" s="9"/>
      <c r="K1717" s="10"/>
      <c r="L1717" s="10"/>
      <c r="M1717" s="10"/>
      <c r="N1717" s="10"/>
      <c r="O1717" s="11"/>
      <c r="P1717" s="10"/>
      <c r="Q1717" s="10"/>
      <c r="R1717" s="145"/>
      <c r="S1717" s="145"/>
      <c r="T1717" s="117"/>
    </row>
    <row r="1718" spans="1:20" x14ac:dyDescent="0.2">
      <c r="A1718" s="33"/>
      <c r="E1718" s="20" t="s">
        <v>1514</v>
      </c>
      <c r="F1718" s="9">
        <v>8</v>
      </c>
      <c r="G1718" s="9">
        <f>F1718*8</f>
        <v>64</v>
      </c>
      <c r="H1718" s="9"/>
      <c r="I1718" s="9">
        <f>G1718*2</f>
        <v>128</v>
      </c>
      <c r="J1718" s="9"/>
      <c r="K1718" s="94" t="s">
        <v>1015</v>
      </c>
      <c r="L1718" s="10"/>
      <c r="M1718" s="10"/>
      <c r="N1718" s="10"/>
      <c r="O1718" s="11"/>
      <c r="P1718" s="11"/>
      <c r="Q1718" s="11"/>
      <c r="R1718" s="11"/>
      <c r="S1718" s="11" t="s">
        <v>1181</v>
      </c>
      <c r="T1718" s="117"/>
    </row>
    <row r="1719" spans="1:20" x14ac:dyDescent="0.2">
      <c r="A1719" s="33"/>
      <c r="B1719" s="173" t="s">
        <v>802</v>
      </c>
      <c r="E1719" s="21"/>
      <c r="F1719" s="9"/>
      <c r="G1719" s="9"/>
      <c r="H1719" s="9"/>
      <c r="I1719" s="9"/>
      <c r="J1719" s="9"/>
      <c r="K1719" s="242" t="s">
        <v>1014</v>
      </c>
      <c r="L1719" s="10"/>
      <c r="M1719" s="10"/>
      <c r="N1719" s="10"/>
      <c r="O1719" s="11"/>
      <c r="P1719" s="10"/>
      <c r="Q1719" s="10"/>
      <c r="R1719" s="145"/>
      <c r="S1719" s="145"/>
      <c r="T1719" s="117"/>
    </row>
    <row r="1720" spans="1:20" x14ac:dyDescent="0.2">
      <c r="A1720" s="33"/>
      <c r="B1720" s="13"/>
      <c r="C1720" s="46"/>
      <c r="D1720" s="48"/>
      <c r="E1720" s="48"/>
      <c r="F1720" s="48"/>
      <c r="G1720" s="48"/>
      <c r="H1720" s="48"/>
      <c r="I1720" s="48"/>
      <c r="J1720" s="48"/>
      <c r="K1720" s="49"/>
      <c r="L1720" s="49"/>
      <c r="M1720" s="49"/>
      <c r="N1720" s="49"/>
      <c r="O1720" s="32"/>
      <c r="P1720" s="29"/>
      <c r="Q1720" s="29"/>
      <c r="R1720" s="143"/>
      <c r="S1720" s="143"/>
      <c r="T1720" s="156"/>
    </row>
    <row r="1721" spans="1:20" x14ac:dyDescent="0.2">
      <c r="A1721" s="33"/>
      <c r="B1721" s="173" t="s">
        <v>801</v>
      </c>
      <c r="E1721" s="7"/>
      <c r="F1721" s="9"/>
      <c r="G1721" s="9"/>
      <c r="H1721" s="9"/>
      <c r="I1721" s="9"/>
      <c r="J1721" s="9"/>
      <c r="K1721" s="10"/>
      <c r="L1721" s="11"/>
      <c r="M1721" s="11"/>
      <c r="N1721" s="11"/>
      <c r="O1721" s="11"/>
      <c r="P1721" s="120"/>
      <c r="Q1721" s="120"/>
      <c r="R1721" s="145"/>
      <c r="S1721" s="145"/>
      <c r="T1721" s="117"/>
    </row>
    <row r="1722" spans="1:20" x14ac:dyDescent="0.2">
      <c r="A1722" s="33"/>
      <c r="B1722" s="8" t="s">
        <v>1017</v>
      </c>
      <c r="E1722" s="20" t="s">
        <v>1514</v>
      </c>
      <c r="F1722" s="9">
        <v>32</v>
      </c>
      <c r="G1722" s="9">
        <f>G1718 * F1722</f>
        <v>2048</v>
      </c>
      <c r="H1722" s="9"/>
      <c r="I1722" s="9">
        <f>F1722*I1718</f>
        <v>4096</v>
      </c>
      <c r="J1722" s="9"/>
      <c r="K1722" s="10"/>
      <c r="L1722" s="11" t="s">
        <v>797</v>
      </c>
      <c r="M1722" s="11"/>
      <c r="N1722" s="11"/>
      <c r="O1722" s="11"/>
      <c r="P1722" s="120"/>
      <c r="Q1722" s="49"/>
      <c r="R1722" s="144"/>
      <c r="S1722" s="144"/>
      <c r="T1722" s="117"/>
    </row>
    <row r="1723" spans="1:20" x14ac:dyDescent="0.2">
      <c r="A1723" s="33"/>
      <c r="B1723" s="20" t="s">
        <v>803</v>
      </c>
      <c r="E1723" s="7"/>
      <c r="F1723" s="9"/>
      <c r="G1723" s="9"/>
      <c r="H1723" s="9"/>
      <c r="I1723" s="9"/>
      <c r="J1723" s="9"/>
      <c r="K1723" s="10"/>
      <c r="L1723" s="10"/>
      <c r="M1723" s="10"/>
      <c r="N1723" s="10"/>
      <c r="O1723" s="11"/>
      <c r="P1723" s="120"/>
      <c r="Q1723" s="49"/>
      <c r="R1723" s="145"/>
      <c r="S1723" s="145"/>
      <c r="T1723" s="117"/>
    </row>
    <row r="1724" spans="1:20" x14ac:dyDescent="0.2">
      <c r="A1724" s="33"/>
      <c r="B1724" s="52" t="s">
        <v>1801</v>
      </c>
      <c r="C1724" s="46"/>
      <c r="D1724" s="48"/>
      <c r="E1724" s="48"/>
      <c r="F1724" s="48"/>
      <c r="G1724" s="48"/>
      <c r="H1724" s="48"/>
      <c r="I1724" s="48"/>
      <c r="J1724" s="48"/>
      <c r="K1724" s="49"/>
      <c r="L1724" s="49"/>
      <c r="M1724" s="49"/>
      <c r="N1724" s="49"/>
      <c r="O1724" s="32"/>
      <c r="P1724" s="29"/>
      <c r="Q1724" s="29"/>
      <c r="R1724" s="143"/>
      <c r="S1724" s="143"/>
      <c r="T1724" s="156"/>
    </row>
    <row r="1725" spans="1:20" x14ac:dyDescent="0.2">
      <c r="A1725" s="33"/>
      <c r="B1725" s="173" t="s">
        <v>801</v>
      </c>
      <c r="I1725" s="12"/>
      <c r="J1725" s="12"/>
      <c r="K1725" s="12"/>
      <c r="L1725" s="10"/>
      <c r="M1725" s="10"/>
      <c r="N1725" s="10"/>
      <c r="O1725" s="11"/>
      <c r="P1725" s="11"/>
      <c r="Q1725" s="11"/>
      <c r="R1725" s="11"/>
      <c r="S1725" s="11" t="s">
        <v>1181</v>
      </c>
      <c r="T1725" s="117"/>
    </row>
    <row r="1726" spans="1:20" x14ac:dyDescent="0.2">
      <c r="A1726" s="33"/>
      <c r="B1726" s="8" t="s">
        <v>118</v>
      </c>
      <c r="E1726" s="378" t="s">
        <v>1795</v>
      </c>
      <c r="F1726" s="377">
        <v>1</v>
      </c>
      <c r="G1726" s="377">
        <v>32</v>
      </c>
      <c r="H1726" s="377"/>
      <c r="I1726" s="377">
        <f>F1726*2*G1726</f>
        <v>64</v>
      </c>
      <c r="J1726" s="368"/>
      <c r="K1726" s="370" t="s">
        <v>1805</v>
      </c>
      <c r="L1726" s="10"/>
      <c r="M1726" s="10"/>
      <c r="N1726" s="10"/>
      <c r="O1726" s="11"/>
      <c r="P1726" s="11"/>
      <c r="Q1726" s="11"/>
      <c r="R1726" s="11"/>
      <c r="S1726" s="11"/>
      <c r="T1726" s="117"/>
    </row>
    <row r="1727" spans="1:20" x14ac:dyDescent="0.2">
      <c r="A1727" s="33"/>
      <c r="B1727" s="8" t="s">
        <v>1802</v>
      </c>
      <c r="E1727" s="378" t="s">
        <v>1794</v>
      </c>
      <c r="F1727" s="377">
        <v>1</v>
      </c>
      <c r="G1727" s="377">
        <v>32</v>
      </c>
      <c r="H1727" s="377"/>
      <c r="I1727" s="377">
        <f>F1727*2*G1727</f>
        <v>64</v>
      </c>
      <c r="J1727" s="368"/>
      <c r="K1727" s="370" t="s">
        <v>1806</v>
      </c>
      <c r="L1727" s="10"/>
      <c r="M1727" s="10"/>
      <c r="N1727" s="10"/>
      <c r="O1727" s="11"/>
      <c r="P1727" s="11"/>
      <c r="Q1727" s="11"/>
      <c r="R1727" s="11"/>
      <c r="S1727" s="11"/>
      <c r="T1727" s="117"/>
    </row>
    <row r="1728" spans="1:20" x14ac:dyDescent="0.2">
      <c r="A1728" s="33"/>
      <c r="B1728" s="20" t="s">
        <v>803</v>
      </c>
      <c r="I1728" s="12"/>
      <c r="J1728" s="12"/>
      <c r="K1728" s="12"/>
      <c r="L1728" s="10"/>
      <c r="M1728" s="10"/>
      <c r="N1728" s="10"/>
      <c r="O1728" s="11"/>
      <c r="P1728" s="11"/>
      <c r="Q1728" s="11"/>
      <c r="R1728" s="11"/>
      <c r="S1728" s="11" t="s">
        <v>1181</v>
      </c>
      <c r="T1728" s="117"/>
    </row>
    <row r="1729" spans="1:20" x14ac:dyDescent="0.2">
      <c r="A1729" s="33"/>
      <c r="B1729" s="13"/>
      <c r="C1729" s="46"/>
      <c r="D1729" s="48"/>
      <c r="E1729" s="48"/>
      <c r="F1729" s="48"/>
      <c r="G1729" s="48"/>
      <c r="H1729" s="48"/>
      <c r="I1729" s="48"/>
      <c r="J1729" s="48"/>
      <c r="K1729" s="49"/>
      <c r="L1729" s="49"/>
      <c r="M1729" s="49"/>
      <c r="N1729" s="49"/>
      <c r="O1729" s="32"/>
      <c r="P1729" s="29"/>
      <c r="Q1729" s="29"/>
      <c r="R1729" s="143"/>
      <c r="S1729" s="143"/>
      <c r="T1729" s="156"/>
    </row>
    <row r="1730" spans="1:20" x14ac:dyDescent="0.2">
      <c r="A1730" s="33"/>
      <c r="B1730" s="173" t="s">
        <v>801</v>
      </c>
      <c r="E1730" s="7"/>
      <c r="F1730" s="9"/>
      <c r="G1730" s="9"/>
      <c r="H1730" s="9"/>
      <c r="I1730" s="9"/>
      <c r="J1730" s="9"/>
      <c r="K1730" s="10"/>
      <c r="L1730" s="11"/>
      <c r="M1730" s="11"/>
      <c r="N1730" s="11"/>
      <c r="O1730" s="11"/>
      <c r="P1730" s="120"/>
      <c r="Q1730" s="120"/>
      <c r="R1730" s="145"/>
      <c r="S1730" s="145"/>
      <c r="T1730" s="117"/>
    </row>
    <row r="1731" spans="1:20" x14ac:dyDescent="0.2">
      <c r="A1731" s="33"/>
      <c r="B1731" s="8" t="s">
        <v>1803</v>
      </c>
      <c r="E1731" s="373" t="s">
        <v>1804</v>
      </c>
      <c r="F1731" s="368">
        <v>6</v>
      </c>
      <c r="G1731" s="368">
        <f>G1727 * F1731</f>
        <v>192</v>
      </c>
      <c r="H1731" s="368"/>
      <c r="I1731" s="368">
        <f>F1731*I1727</f>
        <v>384</v>
      </c>
      <c r="J1731" s="9"/>
      <c r="K1731" s="10"/>
      <c r="L1731" s="11" t="s">
        <v>797</v>
      </c>
      <c r="M1731" s="11"/>
      <c r="N1731" s="11"/>
      <c r="O1731" s="11"/>
      <c r="P1731" s="120"/>
      <c r="Q1731" s="49"/>
      <c r="R1731" s="144"/>
      <c r="S1731" s="144"/>
      <c r="T1731" s="117"/>
    </row>
    <row r="1732" spans="1:20" x14ac:dyDescent="0.2">
      <c r="A1732" s="33"/>
      <c r="B1732" s="20" t="s">
        <v>803</v>
      </c>
      <c r="E1732" s="7"/>
      <c r="F1732" s="9"/>
      <c r="G1732" s="9"/>
      <c r="H1732" s="9"/>
      <c r="I1732" s="9"/>
      <c r="J1732" s="9"/>
      <c r="K1732" s="10"/>
      <c r="L1732" s="10"/>
      <c r="M1732" s="10"/>
      <c r="N1732" s="10"/>
      <c r="O1732" s="11"/>
      <c r="P1732" s="120"/>
      <c r="Q1732" s="49"/>
      <c r="R1732" s="145"/>
      <c r="S1732" s="145"/>
      <c r="T1732" s="117"/>
    </row>
    <row r="1733" spans="1:20" x14ac:dyDescent="0.2">
      <c r="A1733" s="33"/>
      <c r="B1733" s="52" t="s">
        <v>2373</v>
      </c>
      <c r="C1733" s="30"/>
      <c r="D1733" s="31"/>
      <c r="E1733" s="53"/>
      <c r="F1733" s="30" t="s">
        <v>487</v>
      </c>
      <c r="G1733" s="30" t="s">
        <v>488</v>
      </c>
      <c r="H1733" s="48"/>
      <c r="I1733" s="31" t="s">
        <v>489</v>
      </c>
      <c r="J1733" s="31"/>
      <c r="K1733" s="29"/>
      <c r="L1733" s="29"/>
      <c r="M1733" s="29"/>
      <c r="N1733" s="29"/>
      <c r="O1733" s="109"/>
      <c r="P1733" s="123"/>
      <c r="Q1733" s="121"/>
      <c r="R1733" s="149"/>
      <c r="S1733" s="149"/>
      <c r="T1733" s="160"/>
    </row>
    <row r="1734" spans="1:20" x14ac:dyDescent="0.2">
      <c r="A1734" s="33"/>
      <c r="B1734" s="173" t="s">
        <v>800</v>
      </c>
      <c r="E1734" s="20"/>
      <c r="F1734" s="9"/>
      <c r="G1734" s="9"/>
      <c r="H1734" s="9"/>
      <c r="I1734" s="9"/>
      <c r="J1734" s="9"/>
      <c r="K1734" s="10"/>
      <c r="L1734" s="10"/>
      <c r="M1734" s="10"/>
      <c r="N1734" s="10"/>
      <c r="O1734" s="11"/>
      <c r="P1734" s="10"/>
      <c r="Q1734" s="10"/>
      <c r="R1734" s="145"/>
      <c r="S1734" s="145"/>
      <c r="T1734" s="117"/>
    </row>
    <row r="1735" spans="1:20" x14ac:dyDescent="0.2">
      <c r="A1735" s="33"/>
      <c r="E1735" s="20"/>
      <c r="F1735" s="9"/>
      <c r="G1735" s="9"/>
      <c r="H1735" s="9"/>
      <c r="I1735" s="9"/>
      <c r="J1735" s="9"/>
      <c r="K1735" s="94"/>
      <c r="L1735" s="10"/>
      <c r="M1735" s="10"/>
      <c r="N1735" s="10"/>
      <c r="O1735" s="11"/>
      <c r="P1735" s="11"/>
      <c r="Q1735" s="11"/>
      <c r="R1735" s="11"/>
      <c r="S1735" s="11"/>
      <c r="T1735" s="117"/>
    </row>
    <row r="1736" spans="1:20" x14ac:dyDescent="0.2">
      <c r="A1736" s="33"/>
      <c r="B1736" s="173" t="s">
        <v>802</v>
      </c>
      <c r="E1736" s="7"/>
      <c r="F1736" s="9"/>
      <c r="G1736" s="9"/>
      <c r="H1736" s="9"/>
      <c r="I1736" s="9"/>
      <c r="J1736" s="9"/>
      <c r="K1736" s="242"/>
      <c r="L1736" s="10"/>
      <c r="M1736" s="10"/>
      <c r="N1736" s="10"/>
      <c r="O1736" s="11"/>
      <c r="P1736" s="10"/>
      <c r="Q1736" s="10"/>
      <c r="R1736" s="145"/>
      <c r="S1736" s="145"/>
      <c r="T1736" s="117"/>
    </row>
    <row r="1737" spans="1:20" x14ac:dyDescent="0.2">
      <c r="A1737" s="33"/>
      <c r="B1737" s="13"/>
      <c r="C1737" s="46"/>
      <c r="D1737" s="48"/>
      <c r="E1737" s="48"/>
      <c r="F1737" s="48"/>
      <c r="G1737" s="48"/>
      <c r="H1737" s="48"/>
      <c r="I1737" s="48"/>
      <c r="J1737" s="48"/>
      <c r="K1737" s="49"/>
      <c r="L1737" s="49"/>
      <c r="M1737" s="49"/>
      <c r="N1737" s="49"/>
      <c r="O1737" s="32"/>
      <c r="P1737" s="29"/>
      <c r="Q1737" s="29"/>
      <c r="R1737" s="143"/>
      <c r="S1737" s="143"/>
      <c r="T1737" s="156"/>
    </row>
    <row r="1738" spans="1:20" x14ac:dyDescent="0.2">
      <c r="A1738" s="33"/>
      <c r="B1738" s="173" t="s">
        <v>801</v>
      </c>
      <c r="E1738" s="7"/>
      <c r="F1738" s="9"/>
      <c r="G1738" s="9"/>
      <c r="H1738" s="9"/>
      <c r="I1738" s="9"/>
      <c r="J1738" s="9"/>
      <c r="K1738" s="10"/>
      <c r="L1738" s="11"/>
      <c r="M1738" s="11"/>
      <c r="N1738" s="11"/>
      <c r="O1738" s="11"/>
      <c r="P1738" s="136"/>
      <c r="Q1738" s="136"/>
      <c r="R1738" s="145"/>
      <c r="S1738" s="145"/>
      <c r="T1738" s="117"/>
    </row>
    <row r="1739" spans="1:20" x14ac:dyDescent="0.2">
      <c r="A1739" s="33"/>
      <c r="B1739" s="8"/>
      <c r="E1739" s="20"/>
      <c r="F1739" s="9"/>
      <c r="G1739" s="9"/>
      <c r="H1739" s="9"/>
      <c r="I1739" s="9"/>
      <c r="J1739" s="9"/>
      <c r="K1739" s="94"/>
      <c r="L1739" s="11"/>
      <c r="M1739" s="11"/>
      <c r="N1739" s="11"/>
      <c r="O1739" s="11"/>
      <c r="P1739" s="136"/>
      <c r="Q1739" s="10"/>
      <c r="R1739" s="144"/>
      <c r="S1739" s="144"/>
      <c r="T1739" s="117"/>
    </row>
    <row r="1740" spans="1:20" x14ac:dyDescent="0.2">
      <c r="A1740" s="33"/>
      <c r="B1740" s="20"/>
      <c r="E1740" s="7"/>
      <c r="F1740" s="9"/>
      <c r="G1740" s="9"/>
      <c r="H1740" s="9"/>
      <c r="I1740" s="9"/>
      <c r="J1740" s="9"/>
      <c r="K1740" s="242"/>
      <c r="L1740" s="10"/>
      <c r="M1740" s="10"/>
      <c r="N1740" s="10"/>
      <c r="O1740" s="11"/>
      <c r="P1740" s="136"/>
      <c r="Q1740" s="10"/>
      <c r="R1740" s="145"/>
      <c r="S1740" s="145"/>
      <c r="T1740" s="117"/>
    </row>
    <row r="1741" spans="1:20" x14ac:dyDescent="0.2">
      <c r="A1741" s="33"/>
      <c r="B1741" s="52" t="s">
        <v>1321</v>
      </c>
      <c r="C1741" s="30"/>
      <c r="D1741" s="31"/>
      <c r="E1741" s="53"/>
      <c r="F1741" s="30" t="s">
        <v>487</v>
      </c>
      <c r="G1741" s="30" t="s">
        <v>488</v>
      </c>
      <c r="H1741" s="48"/>
      <c r="I1741" s="31" t="s">
        <v>489</v>
      </c>
      <c r="J1741" s="31"/>
      <c r="K1741" s="29"/>
      <c r="L1741" s="29"/>
      <c r="M1741" s="29"/>
      <c r="N1741" s="29"/>
      <c r="O1741" s="109"/>
      <c r="P1741" s="123"/>
      <c r="Q1741" s="121"/>
      <c r="R1741" s="149"/>
      <c r="S1741" s="149"/>
      <c r="T1741" s="160"/>
    </row>
    <row r="1742" spans="1:20" x14ac:dyDescent="0.2">
      <c r="A1742" s="33"/>
      <c r="B1742" s="173" t="s">
        <v>800</v>
      </c>
      <c r="E1742" s="20"/>
      <c r="F1742" s="9"/>
      <c r="G1742" s="9"/>
      <c r="H1742" s="9"/>
      <c r="I1742" s="9"/>
      <c r="J1742" s="9"/>
      <c r="K1742" s="10"/>
      <c r="L1742" s="10"/>
      <c r="M1742" s="10"/>
      <c r="N1742" s="10"/>
      <c r="O1742" s="11"/>
      <c r="P1742" s="10"/>
      <c r="Q1742" s="10"/>
      <c r="R1742" s="145"/>
      <c r="S1742" s="145"/>
      <c r="T1742" s="117"/>
    </row>
    <row r="1743" spans="1:20" x14ac:dyDescent="0.2">
      <c r="A1743" s="33"/>
      <c r="E1743" s="20" t="s">
        <v>1314</v>
      </c>
      <c r="F1743" s="9">
        <v>8</v>
      </c>
      <c r="G1743" s="9">
        <f>F1743*8</f>
        <v>64</v>
      </c>
      <c r="H1743" s="9"/>
      <c r="I1743" s="9">
        <f>G1743*2</f>
        <v>128</v>
      </c>
      <c r="J1743" s="9"/>
      <c r="K1743" s="94" t="s">
        <v>1015</v>
      </c>
      <c r="L1743" s="10"/>
      <c r="M1743" s="10"/>
      <c r="N1743" s="10"/>
      <c r="O1743" s="11"/>
      <c r="P1743" s="11"/>
      <c r="Q1743" s="11"/>
      <c r="R1743" s="11"/>
      <c r="S1743" s="11" t="s">
        <v>1181</v>
      </c>
      <c r="T1743" s="117"/>
    </row>
    <row r="1744" spans="1:20" x14ac:dyDescent="0.2">
      <c r="A1744" s="33"/>
      <c r="B1744" s="173" t="s">
        <v>802</v>
      </c>
      <c r="E1744" s="7"/>
      <c r="F1744" s="9"/>
      <c r="G1744" s="9"/>
      <c r="H1744" s="9"/>
      <c r="I1744" s="9"/>
      <c r="J1744" s="9"/>
      <c r="K1744" s="242" t="s">
        <v>1014</v>
      </c>
      <c r="L1744" s="10"/>
      <c r="M1744" s="10"/>
      <c r="N1744" s="10"/>
      <c r="O1744" s="11"/>
      <c r="P1744" s="10"/>
      <c r="Q1744" s="10"/>
      <c r="R1744" s="145"/>
      <c r="S1744" s="145"/>
      <c r="T1744" s="117"/>
    </row>
    <row r="1745" spans="1:20" x14ac:dyDescent="0.2">
      <c r="A1745" s="33"/>
      <c r="B1745" s="13"/>
      <c r="C1745" s="46"/>
      <c r="D1745" s="48"/>
      <c r="E1745" s="48"/>
      <c r="F1745" s="48"/>
      <c r="G1745" s="48"/>
      <c r="H1745" s="48"/>
      <c r="I1745" s="48"/>
      <c r="J1745" s="48"/>
      <c r="K1745" s="49"/>
      <c r="L1745" s="49"/>
      <c r="M1745" s="49"/>
      <c r="N1745" s="49"/>
      <c r="O1745" s="32"/>
      <c r="P1745" s="29"/>
      <c r="Q1745" s="29"/>
      <c r="R1745" s="143"/>
      <c r="S1745" s="143"/>
      <c r="T1745" s="156"/>
    </row>
    <row r="1746" spans="1:20" x14ac:dyDescent="0.2">
      <c r="A1746" s="33"/>
      <c r="B1746" s="173" t="s">
        <v>801</v>
      </c>
      <c r="E1746" s="7"/>
      <c r="F1746" s="9"/>
      <c r="G1746" s="9"/>
      <c r="H1746" s="9"/>
      <c r="I1746" s="9"/>
      <c r="J1746" s="9"/>
      <c r="K1746" s="10"/>
      <c r="L1746" s="11"/>
      <c r="M1746" s="11"/>
      <c r="N1746" s="11"/>
      <c r="O1746" s="11"/>
      <c r="P1746" s="136"/>
      <c r="Q1746" s="136"/>
      <c r="R1746" s="145"/>
      <c r="S1746" s="145"/>
      <c r="T1746" s="117"/>
    </row>
    <row r="1747" spans="1:20" x14ac:dyDescent="0.2">
      <c r="A1747" s="33"/>
      <c r="B1747" s="8" t="s">
        <v>2374</v>
      </c>
      <c r="E1747" s="20" t="s">
        <v>1315</v>
      </c>
      <c r="F1747" s="9">
        <v>144</v>
      </c>
      <c r="G1747" s="9">
        <f>G1743* F1747</f>
        <v>9216</v>
      </c>
      <c r="H1747" s="9"/>
      <c r="I1747" s="9">
        <f>F1747*I1743</f>
        <v>18432</v>
      </c>
      <c r="J1747" s="9"/>
      <c r="K1747" s="94" t="s">
        <v>1015</v>
      </c>
      <c r="L1747" s="11" t="s">
        <v>797</v>
      </c>
      <c r="M1747" s="11"/>
      <c r="N1747" s="11"/>
      <c r="O1747" s="11"/>
      <c r="P1747" s="136"/>
      <c r="Q1747" s="10"/>
      <c r="R1747" s="144"/>
      <c r="S1747" s="144"/>
      <c r="T1747" s="117"/>
    </row>
    <row r="1748" spans="1:20" x14ac:dyDescent="0.2">
      <c r="A1748" s="33"/>
      <c r="B1748" s="20" t="s">
        <v>803</v>
      </c>
      <c r="E1748" s="7"/>
      <c r="F1748" s="9"/>
      <c r="G1748" s="9"/>
      <c r="H1748" s="9"/>
      <c r="I1748" s="9"/>
      <c r="J1748" s="9"/>
      <c r="K1748" s="242" t="s">
        <v>1014</v>
      </c>
      <c r="L1748" s="10"/>
      <c r="M1748" s="10"/>
      <c r="N1748" s="10"/>
      <c r="O1748" s="11"/>
      <c r="P1748" s="136"/>
      <c r="Q1748" s="10"/>
      <c r="R1748" s="145"/>
      <c r="S1748" s="145"/>
      <c r="T1748" s="117"/>
    </row>
    <row r="1749" spans="1:20" x14ac:dyDescent="0.2">
      <c r="A1749" s="33"/>
      <c r="B1749" s="26" t="s">
        <v>1378</v>
      </c>
      <c r="C1749" s="30"/>
      <c r="D1749" s="31"/>
      <c r="E1749" s="30"/>
      <c r="F1749" s="30" t="s">
        <v>487</v>
      </c>
      <c r="G1749" s="30" t="s">
        <v>488</v>
      </c>
      <c r="H1749" s="48"/>
      <c r="I1749" s="31" t="s">
        <v>489</v>
      </c>
      <c r="J1749" s="31"/>
      <c r="K1749" s="29"/>
      <c r="L1749" s="29"/>
      <c r="M1749" s="29"/>
      <c r="N1749" s="29"/>
      <c r="O1749" s="109"/>
      <c r="P1749" s="120"/>
      <c r="Q1749" s="49"/>
      <c r="R1749" s="149"/>
      <c r="S1749" s="149"/>
      <c r="T1749" s="160"/>
    </row>
    <row r="1750" spans="1:20" x14ac:dyDescent="0.2">
      <c r="A1750" s="33"/>
      <c r="B1750" s="173" t="s">
        <v>800</v>
      </c>
      <c r="E1750" s="20"/>
      <c r="F1750" s="9"/>
      <c r="G1750" s="9"/>
      <c r="H1750" s="9"/>
      <c r="I1750" s="9"/>
      <c r="J1750" s="9"/>
      <c r="K1750" s="10"/>
      <c r="L1750" s="10"/>
      <c r="M1750" s="10"/>
      <c r="N1750" s="10"/>
      <c r="O1750" s="11"/>
      <c r="P1750" s="120"/>
      <c r="Q1750" s="49"/>
      <c r="R1750" s="145"/>
      <c r="S1750" s="145"/>
      <c r="T1750" s="117"/>
    </row>
    <row r="1751" spans="1:20" x14ac:dyDescent="0.2">
      <c r="A1751" s="33"/>
      <c r="B1751" s="20"/>
      <c r="E1751" s="20" t="s">
        <v>1364</v>
      </c>
      <c r="F1751" s="9">
        <v>1</v>
      </c>
      <c r="G1751" s="9">
        <v>64</v>
      </c>
      <c r="H1751" s="9"/>
      <c r="I1751" s="9">
        <f>F1751*2*G1751</f>
        <v>128</v>
      </c>
      <c r="J1751" s="9"/>
      <c r="K1751" s="232" t="s">
        <v>1373</v>
      </c>
      <c r="L1751" s="11" t="s">
        <v>1365</v>
      </c>
      <c r="M1751" s="11"/>
      <c r="N1751" s="10"/>
      <c r="O1751" s="11"/>
      <c r="P1751" s="11"/>
      <c r="Q1751" s="11"/>
      <c r="R1751" s="11"/>
      <c r="S1751" s="11" t="s">
        <v>1181</v>
      </c>
      <c r="T1751" s="117"/>
    </row>
    <row r="1752" spans="1:20" x14ac:dyDescent="0.2">
      <c r="A1752" s="33"/>
      <c r="B1752" s="173" t="s">
        <v>802</v>
      </c>
      <c r="E1752" s="20"/>
      <c r="F1752" s="9"/>
      <c r="G1752" s="9"/>
      <c r="H1752" s="9"/>
      <c r="I1752" s="9"/>
      <c r="J1752" s="9"/>
      <c r="K1752" s="298"/>
      <c r="L1752" s="10"/>
      <c r="M1752" s="10"/>
      <c r="N1752" s="10"/>
      <c r="O1752" s="11"/>
      <c r="P1752" s="124"/>
      <c r="Q1752" s="124"/>
      <c r="R1752" s="145"/>
      <c r="S1752" s="145"/>
      <c r="T1752" s="117"/>
    </row>
    <row r="1753" spans="1:20" x14ac:dyDescent="0.2">
      <c r="A1753" s="33"/>
      <c r="B1753" s="20" t="s">
        <v>803</v>
      </c>
      <c r="E1753" s="7"/>
      <c r="F1753" s="9"/>
      <c r="G1753" s="9"/>
      <c r="H1753" s="9"/>
      <c r="I1753" s="9"/>
      <c r="J1753" s="9"/>
      <c r="K1753" s="10"/>
      <c r="L1753" s="10"/>
      <c r="M1753" s="10"/>
      <c r="N1753" s="10"/>
      <c r="O1753" s="11"/>
      <c r="P1753" s="34"/>
      <c r="Q1753" s="34"/>
      <c r="R1753" s="145"/>
      <c r="S1753" s="145"/>
      <c r="T1753" s="117"/>
    </row>
    <row r="1754" spans="1:20" x14ac:dyDescent="0.2">
      <c r="A1754" s="33"/>
      <c r="B1754" s="13"/>
      <c r="C1754" s="46"/>
      <c r="D1754" s="48"/>
      <c r="E1754" s="48"/>
      <c r="F1754" s="48"/>
      <c r="G1754" s="48"/>
      <c r="H1754" s="48"/>
      <c r="I1754" s="48"/>
      <c r="J1754" s="48"/>
      <c r="K1754" s="49"/>
      <c r="L1754" s="49"/>
      <c r="M1754" s="49"/>
      <c r="N1754" s="49"/>
      <c r="O1754" s="32"/>
      <c r="P1754" s="29"/>
      <c r="Q1754" s="29"/>
      <c r="R1754" s="143"/>
      <c r="S1754" s="143"/>
      <c r="T1754" s="156"/>
    </row>
    <row r="1755" spans="1:20" x14ac:dyDescent="0.2">
      <c r="A1755" s="33"/>
      <c r="B1755" s="52" t="s">
        <v>1566</v>
      </c>
      <c r="C1755" s="30"/>
      <c r="D1755" s="31"/>
      <c r="E1755" s="53"/>
      <c r="F1755" s="30" t="s">
        <v>487</v>
      </c>
      <c r="G1755" s="30" t="s">
        <v>488</v>
      </c>
      <c r="H1755" s="48"/>
      <c r="I1755" s="31" t="s">
        <v>489</v>
      </c>
      <c r="J1755" s="31"/>
      <c r="K1755" s="29"/>
      <c r="L1755" s="29"/>
      <c r="M1755" s="29"/>
      <c r="N1755" s="29"/>
      <c r="O1755" s="109"/>
      <c r="P1755" s="34"/>
      <c r="Q1755" s="34"/>
      <c r="R1755" s="149"/>
      <c r="S1755" s="149"/>
      <c r="T1755" s="160"/>
    </row>
    <row r="1756" spans="1:20" x14ac:dyDescent="0.2">
      <c r="A1756" s="33"/>
      <c r="B1756" s="348"/>
      <c r="C1756" s="330"/>
      <c r="D1756" s="333"/>
      <c r="E1756" s="348"/>
      <c r="F1756" s="333"/>
      <c r="G1756" s="333"/>
      <c r="H1756" s="333"/>
      <c r="I1756" s="333"/>
      <c r="J1756" s="333"/>
      <c r="K1756" s="340"/>
      <c r="L1756" s="340"/>
      <c r="M1756" s="340"/>
      <c r="N1756" s="340"/>
      <c r="O1756" s="335"/>
      <c r="P1756" s="336"/>
      <c r="Q1756" s="336"/>
      <c r="R1756" s="343"/>
      <c r="S1756" s="343"/>
      <c r="T1756" s="338"/>
    </row>
    <row r="1757" spans="1:20" x14ac:dyDescent="0.2">
      <c r="A1757" s="33"/>
      <c r="B1757" s="348"/>
      <c r="C1757" s="330"/>
      <c r="D1757" s="333"/>
      <c r="E1757" s="339" t="s">
        <v>1563</v>
      </c>
      <c r="F1757" s="333">
        <v>1</v>
      </c>
      <c r="G1757" s="333">
        <v>12</v>
      </c>
      <c r="H1757" s="333"/>
      <c r="I1757" s="333">
        <f t="shared" ref="I1757:I1762" si="241">F1757*G1757*2</f>
        <v>24</v>
      </c>
      <c r="J1757" s="333"/>
      <c r="K1757" s="347"/>
      <c r="L1757" s="335" t="s">
        <v>1365</v>
      </c>
      <c r="M1757" s="335"/>
      <c r="N1757" s="340"/>
      <c r="O1757" s="11"/>
      <c r="P1757" s="11"/>
      <c r="Q1757" s="11"/>
      <c r="R1757" s="11"/>
      <c r="S1757" s="11" t="s">
        <v>1181</v>
      </c>
      <c r="T1757" s="338"/>
    </row>
    <row r="1758" spans="1:20" x14ac:dyDescent="0.2">
      <c r="A1758" s="33"/>
      <c r="B1758" s="348"/>
      <c r="C1758" s="330"/>
      <c r="D1758" s="333"/>
      <c r="E1758" s="339" t="s">
        <v>1556</v>
      </c>
      <c r="F1758" s="333">
        <v>1</v>
      </c>
      <c r="G1758" s="333">
        <v>12</v>
      </c>
      <c r="H1758" s="333"/>
      <c r="I1758" s="333">
        <f t="shared" si="241"/>
        <v>24</v>
      </c>
      <c r="J1758" s="333"/>
      <c r="K1758" s="347"/>
      <c r="L1758" s="335" t="s">
        <v>1365</v>
      </c>
      <c r="M1758" s="335"/>
      <c r="N1758" s="340"/>
      <c r="O1758" s="11"/>
      <c r="P1758" s="11"/>
      <c r="Q1758" s="11"/>
      <c r="R1758" s="11"/>
      <c r="S1758" s="11" t="s">
        <v>1181</v>
      </c>
      <c r="T1758" s="338"/>
    </row>
    <row r="1759" spans="1:20" x14ac:dyDescent="0.2">
      <c r="A1759" s="33"/>
      <c r="B1759" s="348"/>
      <c r="C1759" s="330"/>
      <c r="D1759" s="333"/>
      <c r="E1759" s="339" t="s">
        <v>1557</v>
      </c>
      <c r="F1759" s="333">
        <v>1</v>
      </c>
      <c r="G1759" s="333">
        <v>12</v>
      </c>
      <c r="H1759" s="333"/>
      <c r="I1759" s="333">
        <f t="shared" si="241"/>
        <v>24</v>
      </c>
      <c r="J1759" s="333"/>
      <c r="K1759" s="347"/>
      <c r="L1759" s="335" t="s">
        <v>1365</v>
      </c>
      <c r="M1759" s="335"/>
      <c r="N1759" s="340"/>
      <c r="O1759" s="11"/>
      <c r="P1759" s="11"/>
      <c r="Q1759" s="11"/>
      <c r="R1759" s="11"/>
      <c r="S1759" s="11" t="s">
        <v>1181</v>
      </c>
      <c r="T1759" s="338"/>
    </row>
    <row r="1760" spans="1:20" x14ac:dyDescent="0.2">
      <c r="A1760" s="33"/>
      <c r="B1760" s="348"/>
      <c r="C1760" s="330"/>
      <c r="D1760" s="333"/>
      <c r="E1760" s="339" t="s">
        <v>1558</v>
      </c>
      <c r="F1760" s="333">
        <v>1</v>
      </c>
      <c r="G1760" s="333">
        <v>12</v>
      </c>
      <c r="H1760" s="333"/>
      <c r="I1760" s="333">
        <f t="shared" si="241"/>
        <v>24</v>
      </c>
      <c r="J1760" s="333"/>
      <c r="K1760" s="347"/>
      <c r="L1760" s="335" t="s">
        <v>1365</v>
      </c>
      <c r="M1760" s="335"/>
      <c r="N1760" s="340"/>
      <c r="O1760" s="11"/>
      <c r="P1760" s="11"/>
      <c r="Q1760" s="11"/>
      <c r="R1760" s="11"/>
      <c r="S1760" s="11" t="s">
        <v>1181</v>
      </c>
      <c r="T1760" s="338"/>
    </row>
    <row r="1761" spans="1:20" x14ac:dyDescent="0.2">
      <c r="A1761" s="33"/>
      <c r="B1761" s="348"/>
      <c r="C1761" s="330"/>
      <c r="D1761" s="333"/>
      <c r="E1761" s="339" t="s">
        <v>1559</v>
      </c>
      <c r="F1761" s="333">
        <v>1</v>
      </c>
      <c r="G1761" s="333">
        <v>12</v>
      </c>
      <c r="H1761" s="333"/>
      <c r="I1761" s="333">
        <f t="shared" si="241"/>
        <v>24</v>
      </c>
      <c r="J1761" s="333"/>
      <c r="K1761" s="347"/>
      <c r="L1761" s="335" t="s">
        <v>1365</v>
      </c>
      <c r="M1761" s="335"/>
      <c r="N1761" s="340"/>
      <c r="O1761" s="11"/>
      <c r="P1761" s="11"/>
      <c r="Q1761" s="11"/>
      <c r="R1761" s="11"/>
      <c r="S1761" s="11" t="s">
        <v>1181</v>
      </c>
      <c r="T1761" s="338"/>
    </row>
    <row r="1762" spans="1:20" x14ac:dyDescent="0.2">
      <c r="A1762" s="33"/>
      <c r="B1762" s="348"/>
      <c r="C1762" s="330"/>
      <c r="D1762" s="333"/>
      <c r="E1762" s="339" t="s">
        <v>1560</v>
      </c>
      <c r="F1762" s="333">
        <v>1</v>
      </c>
      <c r="G1762" s="333">
        <v>12</v>
      </c>
      <c r="H1762" s="333"/>
      <c r="I1762" s="333">
        <f t="shared" si="241"/>
        <v>24</v>
      </c>
      <c r="J1762" s="333"/>
      <c r="K1762" s="347"/>
      <c r="L1762" s="335" t="s">
        <v>1365</v>
      </c>
      <c r="M1762" s="335"/>
      <c r="N1762" s="340"/>
      <c r="O1762" s="11"/>
      <c r="P1762" s="11"/>
      <c r="Q1762" s="11"/>
      <c r="R1762" s="11"/>
      <c r="S1762" s="11" t="s">
        <v>1181</v>
      </c>
      <c r="T1762" s="338"/>
    </row>
    <row r="1763" spans="1:20" x14ac:dyDescent="0.2">
      <c r="A1763" s="33"/>
      <c r="B1763" s="348"/>
      <c r="C1763" s="330"/>
      <c r="D1763" s="333"/>
      <c r="E1763" s="339" t="s">
        <v>1561</v>
      </c>
      <c r="F1763" s="333"/>
      <c r="G1763" s="333"/>
      <c r="H1763" s="333"/>
      <c r="I1763" s="333"/>
      <c r="J1763" s="333"/>
      <c r="K1763" s="347"/>
      <c r="L1763" s="335"/>
      <c r="M1763" s="335"/>
      <c r="N1763" s="340"/>
      <c r="O1763" s="11"/>
      <c r="P1763" s="11"/>
      <c r="Q1763" s="11"/>
      <c r="R1763" s="11"/>
      <c r="S1763" s="11" t="s">
        <v>1181</v>
      </c>
      <c r="T1763" s="338"/>
    </row>
    <row r="1764" spans="1:20" x14ac:dyDescent="0.2">
      <c r="A1764" s="33"/>
      <c r="B1764" s="348"/>
      <c r="C1764" s="330"/>
      <c r="D1764" s="333"/>
      <c r="E1764" s="339" t="s">
        <v>1561</v>
      </c>
      <c r="F1764" s="333"/>
      <c r="G1764" s="333"/>
      <c r="H1764" s="333"/>
      <c r="I1764" s="333"/>
      <c r="J1764" s="333"/>
      <c r="K1764" s="347"/>
      <c r="L1764" s="335"/>
      <c r="M1764" s="335"/>
      <c r="N1764" s="340"/>
      <c r="O1764" s="11"/>
      <c r="P1764" s="11"/>
      <c r="Q1764" s="11"/>
      <c r="R1764" s="11"/>
      <c r="S1764" s="11" t="s">
        <v>1181</v>
      </c>
      <c r="T1764" s="338"/>
    </row>
    <row r="1765" spans="1:20" x14ac:dyDescent="0.2">
      <c r="A1765" s="33"/>
      <c r="B1765" s="348"/>
      <c r="C1765" s="330"/>
      <c r="D1765" s="333"/>
      <c r="E1765" s="339" t="s">
        <v>1562</v>
      </c>
      <c r="F1765" s="333">
        <v>1</v>
      </c>
      <c r="G1765" s="333">
        <v>12</v>
      </c>
      <c r="H1765" s="333"/>
      <c r="I1765" s="333">
        <f>F1765*G1765*2</f>
        <v>24</v>
      </c>
      <c r="J1765" s="333"/>
      <c r="K1765" s="347"/>
      <c r="L1765" s="335" t="s">
        <v>1365</v>
      </c>
      <c r="M1765" s="335"/>
      <c r="N1765" s="340"/>
      <c r="O1765" s="11"/>
      <c r="P1765" s="11"/>
      <c r="Q1765" s="11"/>
      <c r="R1765" s="11"/>
      <c r="S1765" s="11" t="s">
        <v>1181</v>
      </c>
      <c r="T1765" s="338"/>
    </row>
    <row r="1766" spans="1:20" x14ac:dyDescent="0.2">
      <c r="A1766" s="33"/>
      <c r="B1766" s="348"/>
      <c r="C1766" s="330"/>
      <c r="D1766" s="333"/>
      <c r="E1766" s="339" t="s">
        <v>1564</v>
      </c>
      <c r="F1766" s="333">
        <v>1</v>
      </c>
      <c r="G1766" s="333">
        <v>12</v>
      </c>
      <c r="H1766" s="333"/>
      <c r="I1766" s="333">
        <f>F1766*G1766*2</f>
        <v>24</v>
      </c>
      <c r="J1766" s="333"/>
      <c r="K1766" s="349" t="s">
        <v>1565</v>
      </c>
      <c r="L1766" s="335" t="s">
        <v>1365</v>
      </c>
      <c r="M1766" s="335"/>
      <c r="N1766" s="340"/>
      <c r="O1766" s="11"/>
      <c r="P1766" s="11"/>
      <c r="Q1766" s="11"/>
      <c r="R1766" s="11"/>
      <c r="S1766" s="11" t="s">
        <v>1181</v>
      </c>
      <c r="T1766" s="338"/>
    </row>
    <row r="1767" spans="1:20" x14ac:dyDescent="0.2">
      <c r="A1767" s="33"/>
      <c r="B1767" s="348"/>
      <c r="C1767" s="330"/>
      <c r="D1767" s="333"/>
      <c r="E1767" s="348"/>
      <c r="F1767" s="333"/>
      <c r="G1767" s="333"/>
      <c r="H1767" s="333"/>
      <c r="I1767" s="333"/>
      <c r="J1767" s="333"/>
      <c r="K1767" s="340"/>
      <c r="L1767" s="340"/>
      <c r="M1767" s="340"/>
      <c r="N1767" s="340"/>
      <c r="O1767" s="335"/>
      <c r="P1767" s="336"/>
      <c r="Q1767" s="336"/>
      <c r="R1767" s="343"/>
      <c r="S1767" s="343"/>
      <c r="T1767" s="338"/>
    </row>
    <row r="1768" spans="1:20" x14ac:dyDescent="0.2">
      <c r="A1768" s="33"/>
      <c r="B1768" s="350" t="s">
        <v>802</v>
      </c>
      <c r="C1768" s="330"/>
      <c r="D1768" s="333"/>
      <c r="E1768" s="338"/>
      <c r="F1768" s="333"/>
      <c r="G1768" s="333">
        <f>(G1757*256)</f>
        <v>3072</v>
      </c>
      <c r="H1768" s="333"/>
      <c r="I1768" s="333">
        <f>(I1758*256)</f>
        <v>6144</v>
      </c>
      <c r="J1768" s="333"/>
      <c r="K1768" s="340"/>
      <c r="L1768" s="340"/>
      <c r="M1768" s="340"/>
      <c r="N1768" s="340"/>
      <c r="O1768" s="335"/>
      <c r="P1768" s="336"/>
      <c r="Q1768" s="336"/>
      <c r="R1768" s="343"/>
      <c r="S1768" s="343"/>
      <c r="T1768" s="338"/>
    </row>
    <row r="1769" spans="1:20" x14ac:dyDescent="0.2">
      <c r="A1769" s="33"/>
      <c r="B1769" s="52"/>
      <c r="C1769" s="30"/>
      <c r="D1769" s="31"/>
      <c r="E1769" s="53"/>
      <c r="F1769" s="31"/>
      <c r="G1769" s="31"/>
      <c r="H1769" s="31"/>
      <c r="I1769" s="31"/>
      <c r="J1769" s="31"/>
      <c r="K1769" s="29"/>
      <c r="L1769" s="29"/>
      <c r="M1769" s="29"/>
      <c r="N1769" s="29"/>
      <c r="O1769" s="109"/>
      <c r="P1769" s="34"/>
      <c r="Q1769" s="34"/>
      <c r="R1769" s="149"/>
      <c r="S1769" s="149"/>
      <c r="T1769" s="160"/>
    </row>
    <row r="1770" spans="1:20" x14ac:dyDescent="0.2">
      <c r="A1770" s="33"/>
      <c r="B1770" s="20" t="s">
        <v>801</v>
      </c>
      <c r="E1770" s="21"/>
      <c r="F1770" s="9"/>
      <c r="G1770" s="9"/>
      <c r="H1770" s="9"/>
      <c r="I1770" s="9"/>
      <c r="J1770" s="9"/>
      <c r="K1770" s="10"/>
      <c r="L1770" s="10"/>
      <c r="M1770" s="10"/>
      <c r="N1770" s="10"/>
      <c r="O1770" s="11"/>
      <c r="P1770" s="34"/>
      <c r="Q1770" s="34"/>
      <c r="R1770" s="145"/>
      <c r="S1770" s="145"/>
      <c r="T1770" s="117"/>
    </row>
    <row r="1771" spans="1:20" x14ac:dyDescent="0.2">
      <c r="A1771" s="33"/>
      <c r="B1771" s="8" t="s">
        <v>118</v>
      </c>
      <c r="E1771" s="20" t="s">
        <v>1615</v>
      </c>
      <c r="F1771" s="9">
        <v>1</v>
      </c>
      <c r="G1771" s="9">
        <f>G1768 * F1771</f>
        <v>3072</v>
      </c>
      <c r="H1771" s="9"/>
      <c r="I1771" s="9">
        <f>F1771*I1768</f>
        <v>6144</v>
      </c>
      <c r="J1771" s="9"/>
      <c r="K1771" s="10"/>
      <c r="L1771" s="11" t="s">
        <v>1365</v>
      </c>
      <c r="M1771" s="11"/>
      <c r="N1771" s="10"/>
      <c r="O1771" s="11"/>
      <c r="P1771" s="34"/>
      <c r="Q1771" s="34"/>
      <c r="R1771" s="145"/>
      <c r="S1771" s="145"/>
      <c r="T1771" s="117"/>
    </row>
    <row r="1772" spans="1:20" x14ac:dyDescent="0.2">
      <c r="A1772" s="33"/>
      <c r="B1772" s="20" t="s">
        <v>803</v>
      </c>
      <c r="E1772" s="7"/>
      <c r="F1772" s="9"/>
      <c r="G1772" s="9"/>
      <c r="H1772" s="9"/>
      <c r="I1772" s="9"/>
      <c r="J1772" s="9"/>
      <c r="K1772" s="10"/>
      <c r="L1772" s="10"/>
      <c r="M1772" s="10"/>
      <c r="N1772" s="10"/>
      <c r="O1772" s="11"/>
      <c r="P1772" s="34"/>
      <c r="Q1772" s="34"/>
      <c r="R1772" s="145"/>
      <c r="S1772" s="145"/>
      <c r="T1772" s="117"/>
    </row>
    <row r="1773" spans="1:20" x14ac:dyDescent="0.2">
      <c r="A1773" s="22"/>
      <c r="B1773" s="22"/>
      <c r="C1773" s="22"/>
      <c r="D1773" s="24"/>
      <c r="E1773" s="23"/>
      <c r="F1773" s="22"/>
      <c r="G1773" s="22"/>
      <c r="H1773" s="22"/>
      <c r="I1773" s="24"/>
      <c r="J1773" s="24"/>
      <c r="K1773" s="25"/>
      <c r="L1773" s="25"/>
      <c r="M1773" s="25"/>
      <c r="N1773" s="25"/>
      <c r="O1773" s="110"/>
      <c r="R1773" s="151"/>
      <c r="S1773" s="151"/>
      <c r="T1773" s="162"/>
    </row>
    <row r="1774" spans="1:20" x14ac:dyDescent="0.2">
      <c r="A1774" s="137"/>
      <c r="B1774" s="137"/>
      <c r="C1774" s="137"/>
      <c r="D1774" s="138"/>
      <c r="E1774" s="141"/>
      <c r="F1774" s="137"/>
      <c r="G1774" s="137"/>
      <c r="H1774" s="137"/>
      <c r="I1774" s="138"/>
      <c r="J1774" s="138"/>
      <c r="K1774" s="139"/>
      <c r="L1774" s="139"/>
      <c r="M1774" s="139"/>
      <c r="N1774" s="139"/>
      <c r="O1774" s="140"/>
      <c r="P1774" s="139"/>
      <c r="Q1774" s="139"/>
      <c r="R1774" s="152"/>
      <c r="S1774" s="152"/>
      <c r="T1774" s="163"/>
    </row>
    <row r="1775" spans="1:20" x14ac:dyDescent="0.2">
      <c r="A1775" s="42"/>
      <c r="B1775" s="42"/>
      <c r="C1775" s="42"/>
      <c r="D1775" s="131"/>
      <c r="E1775" s="43"/>
      <c r="F1775" s="42"/>
      <c r="G1775" s="42"/>
      <c r="H1775" s="42"/>
      <c r="I1775" s="44"/>
      <c r="J1775" s="44"/>
      <c r="K1775" s="45"/>
      <c r="L1775" s="45"/>
      <c r="M1775" s="45"/>
      <c r="N1775" s="45"/>
      <c r="O1775" s="111"/>
      <c r="P1775" s="129"/>
      <c r="Q1775" s="129"/>
      <c r="R1775" s="153"/>
      <c r="S1775" s="153"/>
      <c r="T1775" s="164"/>
    </row>
  </sheetData>
  <customSheetViews>
    <customSheetView guid="{88E4F3D0-3DE8-11D4-B8C2-005004993F5D}" fitToPage="1" hiddenRows="1" hiddenColumns="1" showRuler="0" topLeftCell="B2">
      <pane ySplit="2" topLeftCell="A3" activePane="bottomLeft"/>
      <selection pane="bottomLeft" activeCell="Q6" sqref="Q6"/>
      <rowBreaks count="23" manualBreakCount="23">
        <brk id="59" max="16383" man="1"/>
        <brk id="85" max="16383" man="1"/>
        <brk id="103" max="16383" man="1"/>
        <brk id="170" max="16383" man="1"/>
        <brk id="187" max="16383" man="1"/>
        <brk id="253" max="16383" man="1"/>
        <brk id="270" max="16383" man="1"/>
        <brk id="284" max="16383" man="1"/>
        <brk id="348" max="16383" man="1"/>
        <brk id="365" max="16383" man="1"/>
        <brk id="433" max="16383" man="1"/>
        <brk id="450" max="16383" man="1"/>
        <brk id="516" max="16383" man="1"/>
        <brk id="581" max="16383" man="1"/>
        <brk id="644" max="16383" man="1"/>
        <brk id="655" max="16383" man="1"/>
        <brk id="672" max="16383" man="1"/>
        <brk id="954" max="16383" man="1"/>
        <brk id="971" max="16383" man="1"/>
        <brk id="990" max="16383" man="1"/>
        <brk id="1034" max="16383" man="1"/>
        <brk id="1051" max="16383" man="1"/>
        <brk id="1187" max="16383" man="1"/>
      </rowBreaks>
      <pageMargins left="0.75" right="0.75" top="1" bottom="1" header="0.5" footer="0.5"/>
      <pageSetup scale="46" fitToHeight="100" orientation="landscape" r:id="rId1"/>
      <headerFooter alignWithMargins="0">
        <oddFooter>&amp;L&amp;F&amp;C&amp;D&amp;RPage &amp;P</oddFooter>
      </headerFooter>
    </customSheetView>
  </customSheetViews>
  <mergeCells count="18">
    <mergeCell ref="C1506:D1506"/>
    <mergeCell ref="B1308:N1308"/>
    <mergeCell ref="E141:E142"/>
    <mergeCell ref="E6:E7"/>
    <mergeCell ref="A998:T999"/>
    <mergeCell ref="K1194:K1195"/>
    <mergeCell ref="A325:T325"/>
    <mergeCell ref="A326:T327"/>
    <mergeCell ref="K1196:K1197"/>
    <mergeCell ref="BB880:BD880"/>
    <mergeCell ref="BB882:BD882"/>
    <mergeCell ref="BB879:BD879"/>
    <mergeCell ref="K1198:K1199"/>
    <mergeCell ref="BB875:BD875"/>
    <mergeCell ref="BB878:BD878"/>
    <mergeCell ref="BB881:BD881"/>
    <mergeCell ref="BB876:BD876"/>
    <mergeCell ref="BB877:BD877"/>
  </mergeCells>
  <phoneticPr fontId="0" type="noConversion"/>
  <hyperlinks>
    <hyperlink ref="K330" location="Bus_Model_Number" display="Bus Model Number" xr:uid="{00000000-0004-0000-0000-000000000000}"/>
    <hyperlink ref="K334" location="Breaker_Blink_Timer_Value_val" display="time, s, remaining" xr:uid="{00000000-0004-0000-0000-000001000000}"/>
    <hyperlink ref="K335:K349" location="Breaker_Blink_Timer_Value_val" display="time, s, remaining" xr:uid="{00000000-0004-0000-0000-000002000000}"/>
    <hyperlink ref="K369" location="Calculated_Day_of_Week_val" display="day of week" xr:uid="{00000000-0004-0000-0000-000003000000}"/>
    <hyperlink ref="K370:K377" location="Calculated_Day_of_Week_val" display="day of week" xr:uid="{00000000-0004-0000-0000-000004000000}"/>
    <hyperlink ref="K1047" location="Blink_Type_val" display="blink types" xr:uid="{00000000-0004-0000-0000-000005000000}"/>
    <hyperlink ref="K1048:K1062" location="Blink_Type_val" display="blink types" xr:uid="{00000000-0004-0000-0000-000006000000}"/>
    <hyperlink ref="K1157" location="Port_2_Baud_Rate_val" display="baud rates" xr:uid="{00000000-0004-0000-0000-000007000000}"/>
    <hyperlink ref="K1141" location="Compressed_Local_Date_Time_val" display="format" xr:uid="{00000000-0004-0000-0000-000008000000}"/>
    <hyperlink ref="K1139" location="Expanded_Local_Date_Time_val" display="format" xr:uid="{00000000-0004-0000-0000-000009000000}"/>
    <hyperlink ref="K1143" location="Display_Time_12_24_Format_val" display="value" xr:uid="{00000000-0004-0000-0000-00000A000000}"/>
    <hyperlink ref="K1145" location="Latitude_val" display="range" xr:uid="{00000000-0004-0000-0000-00000B000000}"/>
    <hyperlink ref="K1146" location="Longitude_val" display="range" xr:uid="{00000000-0004-0000-0000-00000C000000}"/>
    <hyperlink ref="K1144" location="Time_Zone_Reference_val" display="value" xr:uid="{00000000-0004-0000-0000-00000D000000}"/>
    <hyperlink ref="K1137" location="Manufacturing_Information_val" display="Manufacturing_Information_val" xr:uid="{00000000-0004-0000-0000-00000E000000}"/>
    <hyperlink ref="K370" location="Calculated_Week_of_Month_val" display="day of week" xr:uid="{00000000-0004-0000-0000-00000F000000}"/>
    <hyperlink ref="K371" location="Calculated_Week_of_Month_val" display="month" xr:uid="{00000000-0004-0000-0000-000010000000}"/>
    <hyperlink ref="K373" location="Calculated_DST_Month_val" display="month" xr:uid="{00000000-0004-0000-0000-000011000000}"/>
    <hyperlink ref="K375" location="Calculated_Sunrise_Time_Hour_Today_val" display="sunrise time" xr:uid="{00000000-0004-0000-0000-000012000000}"/>
    <hyperlink ref="K377" location="Calculated_Sunrise_Time_Hour_Today_val" display="sunset time" xr:uid="{00000000-0004-0000-0000-000013000000}"/>
    <hyperlink ref="K1162" location="Modbus_Slave_Port_Communications_Mode_val" display="RS485 modes" xr:uid="{00000000-0004-0000-0000-000014000000}"/>
    <hyperlink ref="K1142" location="Compressed_Local_Date_Time_val" display="format" xr:uid="{00000000-0004-0000-0000-000015000000}"/>
    <hyperlink ref="K1140" location="Expanded_Local_Date_Time_val" display="format" xr:uid="{00000000-0004-0000-0000-000016000000}"/>
    <hyperlink ref="K1132" location="Compressed_Local_Date_Time_val" display="format" xr:uid="{00000000-0004-0000-0000-000017000000}"/>
    <hyperlink ref="K621" location="Self_Test_Bitmap_val" display="bit-map" xr:uid="{00000000-0004-0000-0000-000018000000}"/>
    <hyperlink ref="K374" location="Calculated_DST_Day_val" display="day" xr:uid="{00000000-0004-0000-0000-000019000000}"/>
    <hyperlink ref="K372" location="Calculated_DST_Day_val" display="day" xr:uid="{00000000-0004-0000-0000-00001A000000}"/>
    <hyperlink ref="K376" location="Calculated_Sunrise_Time_Minutes_Today_val" display="sunrise time" xr:uid="{00000000-0004-0000-0000-00001B000000}"/>
    <hyperlink ref="K378" location="Calculated_Sunrise_Time_Minutes_Today_val" display="sunset time" xr:uid="{00000000-0004-0000-0000-00001C000000}"/>
    <hyperlink ref="K336" location="Breaker_Blink_Timer_Value_val" display="time, s, remaining" xr:uid="{00000000-0004-0000-0000-00001D000000}"/>
    <hyperlink ref="K354:K366" location="Breaker_Type_val" display="value" xr:uid="{00000000-0004-0000-0000-00001E000000}"/>
    <hyperlink ref="K333" location="Bus_Firmware_Version_val" display="Firmware Version" xr:uid="{00000000-0004-0000-0000-00001F000000}"/>
    <hyperlink ref="K322" location="Group_Non_Responding_val" display="0 = responding, 1 = not responding" xr:uid="{00000000-0004-0000-0000-000020000000}"/>
    <hyperlink ref="K183" location="Group_Override_Type_val" display="0 = OFF, 1 = ON*" xr:uid="{00000000-0004-0000-0000-000021000000}"/>
    <hyperlink ref="K91" location="Halt_Mode_Enable_val" display="0 = normal*, 1 = halt" xr:uid="{00000000-0004-0000-0000-000022000000}"/>
    <hyperlink ref="K616" location="Compressed_Local_Date_Time_val" display="format" xr:uid="{00000000-0004-0000-0000-000023000000}"/>
    <hyperlink ref="K36" location="Group_Override_Type_val" display="0 = OFF, 1 = ON*" xr:uid="{00000000-0004-0000-0000-000024000000}"/>
    <hyperlink ref="K486" location="External_Source_Default_Time_Out_Value_val" display="0 - 1800, units  = seconds" xr:uid="{00000000-0004-0000-0000-000025000000}"/>
    <hyperlink ref="K491" location="External_Source_Default_Time_Out_Value_val" display="0 - 1800, units  = seconds" xr:uid="{00000000-0004-0000-0000-000026000000}"/>
    <hyperlink ref="K496" location="External_Source_Default_Time_Out_Value_val" display="0 - 1800, units  = seconds" xr:uid="{00000000-0004-0000-0000-000027000000}"/>
    <hyperlink ref="K501" location="External_Source_Default_Time_Out_Value_val" display="0 - 1800, units  = seconds" xr:uid="{00000000-0004-0000-0000-000028000000}"/>
    <hyperlink ref="K506" location="External_Source_Default_Time_Out_Value_val" display="0 - 1800, units  = seconds" xr:uid="{00000000-0004-0000-0000-000029000000}"/>
    <hyperlink ref="K511" location="External_Source_Default_Time_Out_Value_val" display="0 - 1800, units  = seconds" xr:uid="{00000000-0004-0000-0000-00002A000000}"/>
    <hyperlink ref="K516" location="External_Source_Default_Time_Out_Value_val" display="0 - 1800, units  = seconds" xr:uid="{00000000-0004-0000-0000-00002B000000}"/>
    <hyperlink ref="K521" location="External_Source_Default_Time_Out_Value_val" display="0 - 1800, units  = seconds" xr:uid="{00000000-0004-0000-0000-00002C000000}"/>
    <hyperlink ref="K526" location="External_Source_Default_Time_Out_Value_val" display="0 - 1800, units  = seconds" xr:uid="{00000000-0004-0000-0000-00002D000000}"/>
    <hyperlink ref="K531" location="External_Source_Default_Time_Out_Value_val" display="0 - 1800, units  = seconds" xr:uid="{00000000-0004-0000-0000-00002E000000}"/>
    <hyperlink ref="K536" location="External_Source_Default_Time_Out_Value_val" display="0 - 1800, units  = seconds" xr:uid="{00000000-0004-0000-0000-00002F000000}"/>
    <hyperlink ref="K541" location="External_Source_Default_Time_Out_Value_val" display="0 - 1800, units  = seconds" xr:uid="{00000000-0004-0000-0000-000030000000}"/>
    <hyperlink ref="K546" location="External_Source_Default_Time_Out_Value_val" display="0 - 1800, units  = seconds" xr:uid="{00000000-0004-0000-0000-000031000000}"/>
    <hyperlink ref="K551" location="External_Source_Default_Time_Out_Value_val" display="0 - 1800, units  = seconds" xr:uid="{00000000-0004-0000-0000-000032000000}"/>
    <hyperlink ref="K34" location="Input_Timer_Inhibit_values" display="0 = OFF, 1 = ON" xr:uid="{00000000-0004-0000-0000-000033000000}"/>
    <hyperlink ref="K57" location="Group_Override_Type_val" display="0 = OFF, 1 = ON*" xr:uid="{00000000-0004-0000-0000-000034000000}"/>
    <hyperlink ref="K32" location="External_Source_Value_val" display="value" xr:uid="{00000000-0004-0000-0000-000035000000}"/>
    <hyperlink ref="K28" location="External_Source_Value_val" display="value" xr:uid="{00000000-0004-0000-0000-000036000000}"/>
    <hyperlink ref="K30" location="External_Source_Value_val" display="value" xr:uid="{00000000-0004-0000-0000-000037000000}"/>
    <hyperlink ref="K171" location="Time_Period_Status_val" display="0 = OFF, 1 = ON" xr:uid="{00000000-0004-0000-0000-000038000000}"/>
    <hyperlink ref="K165" location="Time_Period_Status_val" display="0 = OFF, 1 = ON" xr:uid="{00000000-0004-0000-0000-000039000000}"/>
    <hyperlink ref="K1160" location="Port_2_Baud_Rate_val" display="baud rates" xr:uid="{00000000-0004-0000-0000-00003A000000}"/>
    <hyperlink ref="K1159" location="Modbus_Slave_Port_Communications_Mode_val" display="RS232 modes" xr:uid="{00000000-0004-0000-0000-00003B000000}"/>
    <hyperlink ref="K350" location="Bus_Firmware_Version_val" display="Firmware Version" xr:uid="{00000000-0004-0000-0000-00003C000000}"/>
    <hyperlink ref="K108" location="Halt_Mode_Enable_val" display="0 = normal*, 1 = halt" xr:uid="{00000000-0004-0000-0000-00003D000000}"/>
    <hyperlink ref="K1278" location="Input_Timer_Type_val" display="timer types" xr:uid="{00000000-0004-0000-0000-00003E000000}"/>
    <hyperlink ref="K636" location="Hardware_Peripheral_Status_val" display="hardware peripheral status" xr:uid="{00000000-0004-0000-0000-00003F000000}"/>
    <hyperlink ref="K481" location="External_Source_Default_Time_Out_Value_val" display="0 - 1800, units  = seconds" xr:uid="{00000000-0004-0000-0000-000040000000}"/>
    <hyperlink ref="K477" location="External_Source_Default_Time_Out_Value_val" display="0 - 1800, units  = seconds" xr:uid="{00000000-0004-0000-0000-000041000000}"/>
    <hyperlink ref="K476" location="External_Source_Default_Time_Out_Value_val" display="0 - 1800, units  = seconds" xr:uid="{00000000-0004-0000-0000-000042000000}"/>
    <hyperlink ref="K641" location="Compressed_Local_Date_Time_val" display="format" xr:uid="{00000000-0004-0000-0000-000043000000}"/>
    <hyperlink ref="K642" location="Compressed_Local_Date_Time_val" display="format" xr:uid="{00000000-0004-0000-0000-000044000000}"/>
    <hyperlink ref="K643" location="Compressed_Local_Date_Time_val" display="format" xr:uid="{00000000-0004-0000-0000-000045000000}"/>
    <hyperlink ref="K637" location="Hardware_Peripheral_Status_val" display="hardware peripheral status" xr:uid="{00000000-0004-0000-0000-000046000000}"/>
    <hyperlink ref="K632" location="Key_Press_Status_val" display="key press status" xr:uid="{00000000-0004-0000-0000-000047000000}"/>
    <hyperlink ref="K1631" location="Display_Time_12_24_Format_val" display="value" xr:uid="{00000000-0004-0000-0000-000048000000}"/>
    <hyperlink ref="K1633" location="Latitude_val" display="range" xr:uid="{00000000-0004-0000-0000-000049000000}"/>
    <hyperlink ref="K1634" location="Longitude_val" display="range" xr:uid="{00000000-0004-0000-0000-00004A000000}"/>
    <hyperlink ref="K1632" location="Time_Zone_Reference_val" display="value" xr:uid="{00000000-0004-0000-0000-00004B000000}"/>
    <hyperlink ref="K1117" location="Breaker_Verification_Delay_val" display="Breaker Verification" xr:uid="{00000000-0004-0000-0000-00004C000000}"/>
    <hyperlink ref="K1120:K1121" location="Front_Panel_Password_val" display="password" xr:uid="{00000000-0004-0000-0000-00004D000000}"/>
    <hyperlink ref="K1119" location="Front_Panel_Password_val" display="password" xr:uid="{00000000-0004-0000-0000-00004E000000}"/>
    <hyperlink ref="K1115" location="Blink_to_Off_Delay_val" display="Blink to Off" xr:uid="{00000000-0004-0000-0000-00004F000000}"/>
    <hyperlink ref="K1562" location="Breaker_Verification_Delay_val" display="1- 8, units = s" xr:uid="{00000000-0004-0000-0000-000050000000}"/>
    <hyperlink ref="K1561" location="Stagger_Delay_val" display="1 - 100, units = 0.1s" xr:uid="{00000000-0004-0000-0000-000051000000}"/>
    <hyperlink ref="K1565:K1566" location="Front_Panel_Password_val" display="password" xr:uid="{00000000-0004-0000-0000-000052000000}"/>
    <hyperlink ref="K1564" location="Front_Panel_Password_val" display="password" xr:uid="{00000000-0004-0000-0000-000053000000}"/>
    <hyperlink ref="K1560" location="Blink_to_Off_Delay_val" display="120 - 1800, units = s, default = 5" xr:uid="{00000000-0004-0000-0000-000054000000}"/>
    <hyperlink ref="K332" location="Bus_Firmware_Version_val" display="Firmware Version" xr:uid="{00000000-0004-0000-0000-000055000000}"/>
    <hyperlink ref="K354" location="Breaker_Type_val" display="breaker types" xr:uid="{00000000-0004-0000-0000-000056000000}"/>
    <hyperlink ref="K351" location="Breaker_Type_val" display="breaker types" xr:uid="{00000000-0004-0000-0000-000057000000}"/>
    <hyperlink ref="K352" location="Breaker_Type_val" display="breaker types" xr:uid="{00000000-0004-0000-0000-000058000000}"/>
    <hyperlink ref="K353" location="Breaker_Type_val" display="breaker types" xr:uid="{00000000-0004-0000-0000-000059000000}"/>
    <hyperlink ref="K1255" location="Terminal_Type_Value" display="terminal type" xr:uid="{00000000-0004-0000-0000-00005A000000}"/>
    <hyperlink ref="K1256" location="Terminal_Switch_Type_Value" display="terminal switch type" xr:uid="{00000000-0004-0000-0000-00005B000000}"/>
    <hyperlink ref="K1257" location="Terminal_Sensor_Type_Value" display="terminal sensor type" xr:uid="{00000000-0004-0000-0000-00005C000000}"/>
    <hyperlink ref="K1260" location="Status_Output_Source_Value" display="status output source type" xr:uid="{00000000-0004-0000-0000-00005D000000}"/>
    <hyperlink ref="K1261" location="status_output_source_number_val" display="status output source number" xr:uid="{00000000-0004-0000-0000-00005E000000}"/>
    <hyperlink ref="K1163" location="IP_Address_Defaults___TR_013_val" display="default = Transparent Ready TR_013" xr:uid="{00000000-0004-0000-0000-00005F000000}"/>
    <hyperlink ref="K1164" location="IP_Address_Defaults___TR_013_val" display="default = Transparent Ready TR_013" xr:uid="{00000000-0004-0000-0000-000060000000}"/>
    <hyperlink ref="K1165" location="IP_Address_Defaults___TR_013_val" display="default = Transparent Ready TR_013" xr:uid="{00000000-0004-0000-0000-000061000000}"/>
    <hyperlink ref="K1205" location="Result_Code_Description_val" display="Result Codes" xr:uid="{00000000-0004-0000-0000-000062000000}"/>
    <hyperlink ref="K1262" location="Status_Output_Source_Bus_val" display="status ouput source bus" xr:uid="{00000000-0004-0000-0000-000063000000}"/>
    <hyperlink ref="K1258" location="terminal_sensor_offset_val" display="terminal sensor offset" xr:uid="{00000000-0004-0000-0000-000064000000}"/>
    <hyperlink ref="K1259" location="Terminal_Sensor_Scalar_val" display="terminal sensor scalar" xr:uid="{00000000-0004-0000-0000-000065000000}"/>
    <hyperlink ref="K1285" location="Sync_Source_Type_val" display="Sync Source Type" xr:uid="{00000000-0004-0000-0000-000066000000}"/>
    <hyperlink ref="K1286" location="Sync_Source_Number_val" display="Sync Source Number" xr:uid="{00000000-0004-0000-0000-000067000000}"/>
    <hyperlink ref="K1287" location="Sync_Source_Bus_val" display="Sync Source Bus" xr:uid="{00000000-0004-0000-0000-000068000000}"/>
    <hyperlink ref="K1288" location="Sync_Filter_val" display="Sync Filter" xr:uid="{00000000-0004-0000-0000-000069000000}"/>
    <hyperlink ref="K1289" location="Sync_Invert_val" display="Sync Invert" xr:uid="{00000000-0004-0000-0000-00006A000000}"/>
    <hyperlink ref="K1290" location="Inhibit_Sync_Source_Type_val" display="Inhibit Sync Source Type" xr:uid="{00000000-0004-0000-0000-00006B000000}"/>
    <hyperlink ref="K1291" location="Inhibit_Sync_Source_Number_val" display="Inhibit Sync Source Number" xr:uid="{00000000-0004-0000-0000-00006C000000}"/>
    <hyperlink ref="K1292" location="Inhibit_Sync_Source_Bus_val" display="Inhibit Sync Source Bus" xr:uid="{00000000-0004-0000-0000-00006D000000}"/>
    <hyperlink ref="K1293" location="Inhibit_Sync_Filter_val" display="Inhibit Sync Filter" xr:uid="{00000000-0004-0000-0000-00006E000000}"/>
    <hyperlink ref="K1294" location="Inhibit_Sync_Invert_val" display="Inhibit Sync Invert" xr:uid="{00000000-0004-0000-0000-00006F000000}"/>
    <hyperlink ref="K1295" location="Timer_Sync_Source_Type_val" display="Timer Sync Source Type" xr:uid="{00000000-0004-0000-0000-000070000000}"/>
    <hyperlink ref="K1296" location="Timer_Sync_Source_Number_val" display="Timer Sync Source Number" xr:uid="{00000000-0004-0000-0000-000071000000}"/>
    <hyperlink ref="K1297" location="Timer_Sync_Source_Bus_val" display="Timer Sync Source Bus" xr:uid="{00000000-0004-0000-0000-000072000000}"/>
    <hyperlink ref="K1298" location="Timer__Sync_Filter_val" display="Timer  Sync Filter" xr:uid="{00000000-0004-0000-0000-000073000000}"/>
    <hyperlink ref="K1299" location="Timer__Sync_Invert_val" display="Timer  Sync Invert" xr:uid="{00000000-0004-0000-0000-000074000000}"/>
    <hyperlink ref="K1347" location="Zone_Logic_Type_val" display="Logic Type" xr:uid="{00000000-0004-0000-0000-000075000000}"/>
    <hyperlink ref="K1348" location="Zone_Custom_Logic_Truth_Table_val" display="Truth Table" xr:uid="{00000000-0004-0000-0000-000076000000}"/>
    <hyperlink ref="K1350" location="Zone_Last_Event" display="Last Event" xr:uid="{00000000-0004-0000-0000-000077000000}"/>
    <hyperlink ref="K1351" location="Zone_Comms_Loss_Action_val" display="Comms Loss Action" xr:uid="{00000000-0004-0000-0000-000078000000}"/>
    <hyperlink ref="K1352" location="Zone_Comms_Restore_Action_val" display="Comms Restore Action" xr:uid="{00000000-0004-0000-0000-000079000000}"/>
    <hyperlink ref="K1354" location="Zone_Action_Priority_val" display="Active Priority" xr:uid="{00000000-0004-0000-0000-00007A000000}"/>
    <hyperlink ref="K1355" location="Zone_Source_Pointer_val" display="Source Pointer Set" xr:uid="{00000000-0004-0000-0000-00007B000000}"/>
    <hyperlink ref="K1356" location="Zone_Member_List_Bus_val" display="Member List Bus" xr:uid="{00000000-0004-0000-0000-00007C000000}"/>
    <hyperlink ref="K1020" location="Sync_Source_Type_val" display="Sync Source Type" xr:uid="{00000000-0004-0000-0000-00007D000000}"/>
    <hyperlink ref="K1021" location="Sync_Source_Number_val" display="Sync Source Number" xr:uid="{00000000-0004-0000-0000-00007E000000}"/>
    <hyperlink ref="K1022" location="Sync_Source_Bus_val" display="Sync Source Bus" xr:uid="{00000000-0004-0000-0000-00007F000000}"/>
    <hyperlink ref="K1023" location="Sync_Filter_val" display="Sync Filter" xr:uid="{00000000-0004-0000-0000-000080000000}"/>
    <hyperlink ref="K1024" location="Sync_Invert_val" display="Sync Invert" xr:uid="{00000000-0004-0000-0000-000081000000}"/>
    <hyperlink ref="K1025" location="Inhibit_Sync_Source_Type_val" display="Inhibit Sync Source Type" xr:uid="{00000000-0004-0000-0000-000082000000}"/>
    <hyperlink ref="K1026" location="Inhibit_Sync_Source_Number_val" display="Inhibit Sync Source Number" xr:uid="{00000000-0004-0000-0000-000083000000}"/>
    <hyperlink ref="K1027" location="Inhibit_Sync_Source_Bus_val" display="Inhibit Sync Source Bus" xr:uid="{00000000-0004-0000-0000-000084000000}"/>
    <hyperlink ref="K1028" location="Inhibit_Sync_Filter_val" display="Inhibit Sync Filter" xr:uid="{00000000-0004-0000-0000-000085000000}"/>
    <hyperlink ref="K1029" location="Inhibit_Sync_Invert_val" display="Inhibit Sync Invert" xr:uid="{00000000-0004-0000-0000-000086000000}"/>
    <hyperlink ref="K1030" location="Timer_Sync_Source_Type_val" display="Timer Sync Source Type" xr:uid="{00000000-0004-0000-0000-000087000000}"/>
    <hyperlink ref="K1031" location="Timer_Sync_Source_Number_val" display="Timer Sync Source Number" xr:uid="{00000000-0004-0000-0000-000088000000}"/>
    <hyperlink ref="K1032" location="Timer_Sync_Source_Bus_val" display="Timer Sync Source Bus" xr:uid="{00000000-0004-0000-0000-000089000000}"/>
    <hyperlink ref="K1033" location="Timer__Sync_Filter_val" display="Timer  Sync Filter" xr:uid="{00000000-0004-0000-0000-00008A000000}"/>
    <hyperlink ref="K1034" location="Timer__Sync_Invert_val" display="Timer  Sync Invert" xr:uid="{00000000-0004-0000-0000-00008B000000}"/>
    <hyperlink ref="K1038" location="Zone_Logic_Type_val" display="Logic Type" xr:uid="{00000000-0004-0000-0000-00008C000000}"/>
    <hyperlink ref="K1039" location="Zone_Custom_Logic_Truth_Table_val" display="Truth Table" xr:uid="{00000000-0004-0000-0000-00008D000000}"/>
    <hyperlink ref="K1040" location="Zone_Last_Event" display="Last Event" xr:uid="{00000000-0004-0000-0000-00008E000000}"/>
    <hyperlink ref="K1041" location="Zone_Comms_Loss_Action_val" display="Comms Loss Action" xr:uid="{00000000-0004-0000-0000-00008F000000}"/>
    <hyperlink ref="K1042" location="Zone_Comms_Restore_Action_val" display="Comms Restore Action" xr:uid="{00000000-0004-0000-0000-000090000000}"/>
    <hyperlink ref="K1044" location="Zone_Action_Priority_val" display="Action Priority" xr:uid="{00000000-0004-0000-0000-000091000000}"/>
    <hyperlink ref="K1116" location="Stagger_Delay_val" display="Stagger Delay" xr:uid="{00000000-0004-0000-0000-000092000000}"/>
    <hyperlink ref="K1120" location="Front_Panel_Password_val" display="password" xr:uid="{00000000-0004-0000-0000-000093000000}"/>
    <hyperlink ref="K1121" location="Front_Panel_Password_val" display="password" xr:uid="{00000000-0004-0000-0000-000094000000}"/>
    <hyperlink ref="K1405" location="Special_Day_x__Start_Day_val" display="start day" xr:uid="{00000000-0004-0000-0000-000095000000}"/>
    <hyperlink ref="K1406" location="Special_Day_x__Start_Month_val" display="start month" xr:uid="{00000000-0004-0000-0000-000096000000}"/>
    <hyperlink ref="K1407" location="Special_Day_x__Start_Year_val" display="start year" xr:uid="{00000000-0004-0000-0000-000097000000}"/>
    <hyperlink ref="K1408" location="Special_Day_x__End_Day_val" display="end day" xr:uid="{00000000-0004-0000-0000-000098000000}"/>
    <hyperlink ref="K1409" location="Special_Day_x__End_Month_val" display="end month" xr:uid="{00000000-0004-0000-0000-000099000000}"/>
    <hyperlink ref="K1410" location="Special_Day_x__End_Year_val" display="end year" xr:uid="{00000000-0004-0000-0000-00009A000000}"/>
    <hyperlink ref="K1411" location="Special_Day_x__Day_of_Week_val" display="day of week" xr:uid="{00000000-0004-0000-0000-00009B000000}"/>
    <hyperlink ref="K1412" location="Special_Day_x__Week_of_Month_val" display="week of month" xr:uid="{00000000-0004-0000-0000-00009C000000}"/>
    <hyperlink ref="K1413" location="Special_Day_x__Month_of_Year_val" display="month of year" xr:uid="{00000000-0004-0000-0000-00009D000000}"/>
    <hyperlink ref="K1414" location="Special_Day_x__Day_of_Month_val" display="day of month" xr:uid="{00000000-0004-0000-0000-00009E000000}"/>
    <hyperlink ref="K1415" location="Special_Day_x__Thru_Month_val" display="through month" xr:uid="{00000000-0004-0000-0000-00009F000000}"/>
    <hyperlink ref="K1416" location="Special_Day_x__Thru_Day_val" display="through day" xr:uid="{00000000-0004-0000-0000-0000A0000000}"/>
    <hyperlink ref="K1419" location="Special_Day_x__Repeat_Interval_val" display="repeat interval" xr:uid="{00000000-0004-0000-0000-0000A1000000}"/>
    <hyperlink ref="K1420" location="Special_Day_Holiday_val" display="holiday" xr:uid="{00000000-0004-0000-0000-0000A2000000}"/>
    <hyperlink ref="K1417" location="Special_Day_x__Priority_val" display="priority" xr:uid="{00000000-0004-0000-0000-0000A3000000}"/>
    <hyperlink ref="K1418" location="Special_Day_x__Duration_val" display="duration" xr:uid="{00000000-0004-0000-0000-0000A4000000}"/>
    <hyperlink ref="K1006" location="Terminal_Sensor_Scalar_val" display="terminal sensor scalar" xr:uid="{00000000-0004-0000-0000-0000A5000000}"/>
    <hyperlink ref="K1005" location="terminal_sensor_offset_val" display="terminal sensor offset" xr:uid="{00000000-0004-0000-0000-0000A6000000}"/>
    <hyperlink ref="K1009" location="Status_Output_Source_Value" display="status output source number" xr:uid="{00000000-0004-0000-0000-0000A7000000}"/>
    <hyperlink ref="K1014" location="Input_Timer_Type_val" display="timer types" xr:uid="{00000000-0004-0000-0000-0000A8000000}"/>
    <hyperlink ref="K1008" location="Status_Output_Source_Value" display="status output source number" xr:uid="{00000000-0004-0000-0000-0000A9000000}"/>
    <hyperlink ref="K1007" location="Status_Output_Source_Value" display="status output source type" xr:uid="{00000000-0004-0000-0000-0000AA000000}"/>
    <hyperlink ref="K1004" location="Terminal_Sensor_Type_Value" display="terminal sensor type" xr:uid="{00000000-0004-0000-0000-0000AB000000}"/>
    <hyperlink ref="K1003" location="Terminal_Switch_Type_Value" display="terminal switch type" xr:uid="{00000000-0004-0000-0000-0000AC000000}"/>
    <hyperlink ref="K1002" location="Terminal_Type_Value" display="terminal type" xr:uid="{00000000-0004-0000-0000-0000AD000000}"/>
    <hyperlink ref="K649:K650" location="Time_Period_Status_val" display="0 = OFF, 1 = ON" xr:uid="{00000000-0004-0000-0000-0000AE000000}"/>
    <hyperlink ref="K1430" location="bus_panel_val" display="panel" xr:uid="{00000000-0004-0000-0000-0000AF000000}"/>
    <hyperlink ref="K1047:K1062" location="brkr_blink_type_val" display="blink types" xr:uid="{00000000-0004-0000-0000-0000B0000000}"/>
    <hyperlink ref="K351:K366" location="brkr_type_val" display="breaker types" xr:uid="{00000000-0004-0000-0000-0000B1000000}"/>
    <hyperlink ref="K1381" location="Start_Time_Hours_val" display="start hour" xr:uid="{00000000-0004-0000-0000-0000B2000000}"/>
    <hyperlink ref="K1382" location="Start_Time_Hours_val" display="start minutes" xr:uid="{00000000-0004-0000-0000-0000B3000000}"/>
    <hyperlink ref="K1383" location="start_offset" display="start offset" xr:uid="{00000000-0004-0000-0000-0000B4000000}"/>
    <hyperlink ref="K1385" location="End_Time_Hours_val" display="end hour" xr:uid="{00000000-0004-0000-0000-0000B5000000}"/>
    <hyperlink ref="K1386" location="End_Time_Minutes_val" display="end minutes" xr:uid="{00000000-0004-0000-0000-0000B6000000}"/>
    <hyperlink ref="K1387" location="End_Offset__Minutesr_val" display="end offset" xr:uid="{00000000-0004-0000-0000-0000B7000000}"/>
    <hyperlink ref="K1389" location="Day_of_Week_val" display="day of week" xr:uid="{00000000-0004-0000-0000-0000B8000000}"/>
    <hyperlink ref="K1390" location="Special_day_val" display="special days" xr:uid="{00000000-0004-0000-0000-0000B9000000}"/>
    <hyperlink ref="K1369" location="Sched_Periods_val" display="Periods" xr:uid="{00000000-0004-0000-0000-0000BA000000}"/>
    <hyperlink ref="K1751" location="Period_Status_per_Schedule_val" display="period status per schedule" xr:uid="{00000000-0004-0000-0000-0000BB000000}"/>
    <hyperlink ref="K1581" location="Port_2_Baud_Rate_val" display="baud rates" xr:uid="{00000000-0004-0000-0000-0000BC000000}"/>
    <hyperlink ref="K1586" location="Modbus_Slave_Port_Communications_Mode_val" display="RS485 modes" xr:uid="{00000000-0004-0000-0000-0000BD000000}"/>
    <hyperlink ref="K1584" location="Port_2_Baud_Rate_val" display="baud rates" xr:uid="{00000000-0004-0000-0000-0000BE000000}"/>
    <hyperlink ref="K1583" location="Modbus_Slave_Port_Communications_Mode_val" display="RS232 modes" xr:uid="{00000000-0004-0000-0000-0000BF000000}"/>
    <hyperlink ref="K1587" location="IP_Address_Defaults___TR_013_val" display="default = Transparent Ready TR_013" xr:uid="{00000000-0004-0000-0000-0000C0000000}"/>
    <hyperlink ref="K1588" location="IP_Address_Defaults___TR_013_val" display="default = Transparent Ready TR_013" xr:uid="{00000000-0004-0000-0000-0000C1000000}"/>
    <hyperlink ref="K1589" location="IP_Address_Defaults___TR_013_val" display="default = Transparent Ready TR_013" xr:uid="{00000000-0004-0000-0000-0000C2000000}"/>
    <hyperlink ref="K379" location="Compressed_Local_Date_Time_val" display="format" xr:uid="{00000000-0004-0000-0000-0000C3000000}"/>
    <hyperlink ref="K623" location="Hardware_Peripheral_Status_val" display="hardware peripheral status" xr:uid="{00000000-0004-0000-0000-0000C4000000}"/>
    <hyperlink ref="K1177" location="Modbus_Slave_Port_Communications_Mode_val" display="RS485 modes" xr:uid="{00000000-0004-0000-0000-0000C5000000}"/>
    <hyperlink ref="K645" location="DLF_Version_format_val" display="DLF App Version" xr:uid="{00000000-0004-0000-0000-0000C6000000}"/>
    <hyperlink ref="K648" location="DLF_Revision_format_val" display="DLF Download Revision" xr:uid="{00000000-0004-0000-0000-0000C7000000}"/>
    <hyperlink ref="K646" location="DLF_App_Revision" display="DLF App Revision" xr:uid="{00000000-0004-0000-0000-0000C8000000}"/>
    <hyperlink ref="K647" location="DLF_Version_format_val" display="DLF Download Version" xr:uid="{00000000-0004-0000-0000-0000C9000000}"/>
    <hyperlink ref="K1541" location="CBus_Period_val" display="Period" xr:uid="{00000000-0004-0000-0000-0000CA000000}"/>
    <hyperlink ref="K1540" location="Off_Ramp_Rate_val" display="Off Ramp Rate" xr:uid="{00000000-0004-0000-0000-0000CB000000}"/>
    <hyperlink ref="K1537" location="Off_Level_Source_Number_val" display="Off Level Source Number" xr:uid="{00000000-0004-0000-0000-0000CC000000}"/>
    <hyperlink ref="K1536" location="Off_Level_Source_Type_val" display="Off Level Source Type" xr:uid="{00000000-0004-0000-0000-0000CD000000}"/>
    <hyperlink ref="K1535" location="On_Ramp_Rate_val" display="On Ramp Rate" xr:uid="{00000000-0004-0000-0000-0000CE000000}"/>
    <hyperlink ref="K1532" location="On_Level_Source_Number_val" display="On Level Source Number" xr:uid="{00000000-0004-0000-0000-0000CF000000}"/>
    <hyperlink ref="K1531" location="On_Level_Source" display="On Level Source" xr:uid="{00000000-0004-0000-0000-0000D0000000}"/>
    <hyperlink ref="K1527" location="Source_Number_val" display="Source Number" xr:uid="{00000000-0004-0000-0000-0000D1000000}"/>
    <hyperlink ref="K1526" location="Source_Type_val" display="Source Type" xr:uid="{00000000-0004-0000-0000-0000D2000000}"/>
    <hyperlink ref="K1529" location="Group_Number_val" display="Group Address" xr:uid="{00000000-0004-0000-0000-0000D3000000}"/>
    <hyperlink ref="K44" location="Group_Override_Type_val" display="0 = OFF, 1 = ON*" xr:uid="{00000000-0004-0000-0000-0000D4000000}"/>
    <hyperlink ref="K606" location="Expanded_Local_Date_Time_val" display="format" xr:uid="{00000000-0004-0000-0000-0000D5000000}"/>
    <hyperlink ref="K38" location="Group_Override_Type_val" display="0 = OFF, 1 = ON*" xr:uid="{00000000-0004-0000-0000-0000D6000000}"/>
    <hyperlink ref="K74" location="Group_Override_Type_val" display="0 = OFF, 1 = ON*" xr:uid="{00000000-0004-0000-0000-0000D7000000}"/>
    <hyperlink ref="K1404" location="Special_Day_x__Repeat_Type_val" display="repeat type" xr:uid="{00000000-0004-0000-0000-0000D8000000}"/>
    <hyperlink ref="K609" location="email_error_data" display="email errors" xr:uid="{00000000-0004-0000-0000-0000D9000000}"/>
    <hyperlink ref="K51" location="Group_Override_Type_val" display="0 = OFF, 1 = ON*" xr:uid="{00000000-0004-0000-0000-0000DA000000}"/>
    <hyperlink ref="K1135" location="Compressed_Local_Date_Time_val" display="format" xr:uid="{00000000-0004-0000-0000-0000DB000000}"/>
    <hyperlink ref="K40" location="Group_Override_Type_val" display="0 = OFF, 1 = ON*" xr:uid="{00000000-0004-0000-0000-0000DC000000}"/>
    <hyperlink ref="K42" location="Group_Override_Type_val" display="0 = OFF, 1 = ON*" xr:uid="{00000000-0004-0000-0000-0000DD000000}"/>
  </hyperlinks>
  <printOptions horizontalCentered="1" verticalCentered="1" gridLines="1"/>
  <pageMargins left="0.2" right="0.21" top="0" bottom="0" header="0" footer="0"/>
  <pageSetup paperSize="17" scale="95" orientation="landscape" r:id="rId2"/>
  <headerFooter alignWithMargins="0">
    <oddFooter>&amp;L&amp;F&amp;RPage &amp;P&amp;C&amp;"Calibri"&amp;11&amp;K000000&amp;D_x000D_&amp;1#&amp;"Arial"&amp;6&amp;K626469Internal</oddFooter>
  </headerFooter>
  <rowBreaks count="3" manualBreakCount="3">
    <brk id="48" max="16383" man="1"/>
    <brk id="161" max="16383" man="1"/>
    <brk id="199" max="16383" man="1"/>
  </rowBreaks>
  <ignoredErrors>
    <ignoredError sqref="B332 I1318" formula="1"/>
    <ignoredError sqref="D126 D128 D130 D132 D134 D136" numberStoredAsText="1"/>
    <ignoredError sqref="F1452"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N895"/>
  <sheetViews>
    <sheetView topLeftCell="A26" zoomScale="110" zoomScaleNormal="110" workbookViewId="0">
      <selection activeCell="A151" sqref="A151"/>
    </sheetView>
  </sheetViews>
  <sheetFormatPr defaultRowHeight="11.25" x14ac:dyDescent="0.2"/>
  <cols>
    <col min="1" max="1" width="43.7109375" style="66" customWidth="1"/>
    <col min="2" max="2" width="10.7109375" style="67" customWidth="1"/>
    <col min="3" max="3" width="10.7109375" style="66" customWidth="1"/>
    <col min="4" max="4" width="26.42578125" style="66" customWidth="1"/>
    <col min="5" max="5" width="71.85546875" style="68" bestFit="1" customWidth="1"/>
    <col min="6" max="8" width="12.7109375" style="67" customWidth="1"/>
    <col min="9" max="11" width="10.7109375" style="66" customWidth="1"/>
    <col min="12" max="12" width="40" style="66" customWidth="1"/>
    <col min="13" max="13" width="9.140625" style="66"/>
    <col min="14" max="14" width="15.7109375" style="66" customWidth="1"/>
    <col min="15" max="16384" width="9.140625" style="66"/>
  </cols>
  <sheetData>
    <row r="1" spans="1:11" x14ac:dyDescent="0.2">
      <c r="A1" s="64" t="s">
        <v>667</v>
      </c>
      <c r="B1" s="64" t="s">
        <v>670</v>
      </c>
      <c r="C1" s="64" t="s">
        <v>668</v>
      </c>
      <c r="D1" s="64" t="s">
        <v>753</v>
      </c>
      <c r="E1" s="65" t="s">
        <v>881</v>
      </c>
      <c r="F1" s="64" t="s">
        <v>50</v>
      </c>
      <c r="G1" s="64" t="s">
        <v>51</v>
      </c>
      <c r="H1" s="64" t="s">
        <v>52</v>
      </c>
      <c r="I1" s="64" t="s">
        <v>53</v>
      </c>
      <c r="J1" s="64" t="s">
        <v>54</v>
      </c>
      <c r="K1" s="64" t="s">
        <v>55</v>
      </c>
    </row>
    <row r="2" spans="1:11" x14ac:dyDescent="0.2">
      <c r="A2" s="69" t="s">
        <v>989</v>
      </c>
      <c r="B2" s="70"/>
      <c r="C2" s="71"/>
      <c r="D2" s="71"/>
      <c r="E2" s="72"/>
      <c r="F2" s="70"/>
      <c r="G2" s="70"/>
      <c r="H2" s="70"/>
      <c r="I2" s="70"/>
      <c r="J2" s="70"/>
      <c r="K2" s="70"/>
    </row>
    <row r="3" spans="1:11" x14ac:dyDescent="0.2">
      <c r="A3" s="55" t="s">
        <v>990</v>
      </c>
      <c r="B3" s="206" t="s">
        <v>671</v>
      </c>
      <c r="C3" s="1"/>
      <c r="D3" s="1" t="s">
        <v>328</v>
      </c>
      <c r="E3" s="235" t="s">
        <v>992</v>
      </c>
      <c r="F3" s="67">
        <v>0</v>
      </c>
      <c r="G3" s="67">
        <v>0</v>
      </c>
      <c r="H3" s="67">
        <v>2</v>
      </c>
      <c r="I3" s="208" t="s">
        <v>387</v>
      </c>
      <c r="J3" s="209"/>
      <c r="K3" s="208" t="s">
        <v>387</v>
      </c>
    </row>
    <row r="4" spans="1:11" x14ac:dyDescent="0.2">
      <c r="A4" s="73"/>
      <c r="E4" s="235" t="s">
        <v>1438</v>
      </c>
      <c r="I4" s="208" t="s">
        <v>387</v>
      </c>
      <c r="J4" s="209"/>
      <c r="K4" s="208" t="s">
        <v>387</v>
      </c>
    </row>
    <row r="5" spans="1:11" x14ac:dyDescent="0.2">
      <c r="A5" s="73"/>
      <c r="E5" s="235" t="s">
        <v>1439</v>
      </c>
      <c r="I5" s="208" t="s">
        <v>387</v>
      </c>
      <c r="J5" s="209"/>
      <c r="K5" s="208" t="s">
        <v>387</v>
      </c>
    </row>
    <row r="6" spans="1:11" x14ac:dyDescent="0.2">
      <c r="A6" s="73"/>
      <c r="E6" s="235"/>
      <c r="I6" s="208"/>
      <c r="J6" s="209"/>
      <c r="K6" s="208"/>
    </row>
    <row r="7" spans="1:11" x14ac:dyDescent="0.2">
      <c r="A7" s="55" t="s">
        <v>991</v>
      </c>
      <c r="B7" s="206" t="s">
        <v>671</v>
      </c>
      <c r="C7" s="1"/>
      <c r="D7" s="1" t="s">
        <v>328</v>
      </c>
      <c r="E7" s="235" t="s">
        <v>993</v>
      </c>
      <c r="F7" s="67">
        <v>3</v>
      </c>
      <c r="G7" s="67">
        <v>0</v>
      </c>
      <c r="H7" s="67">
        <v>6</v>
      </c>
      <c r="I7" s="208" t="s">
        <v>387</v>
      </c>
      <c r="J7" s="209"/>
      <c r="K7" s="208" t="s">
        <v>387</v>
      </c>
    </row>
    <row r="8" spans="1:11" x14ac:dyDescent="0.2">
      <c r="A8" s="73"/>
      <c r="E8" s="235" t="s">
        <v>994</v>
      </c>
      <c r="I8" s="208" t="s">
        <v>387</v>
      </c>
      <c r="J8" s="209"/>
      <c r="K8" s="208" t="s">
        <v>387</v>
      </c>
    </row>
    <row r="9" spans="1:11" x14ac:dyDescent="0.2">
      <c r="A9" s="73"/>
      <c r="E9" s="235" t="s">
        <v>995</v>
      </c>
      <c r="I9" s="208" t="s">
        <v>387</v>
      </c>
      <c r="J9" s="209"/>
      <c r="K9" s="208" t="s">
        <v>387</v>
      </c>
    </row>
    <row r="10" spans="1:11" x14ac:dyDescent="0.2">
      <c r="A10" s="74"/>
      <c r="E10" s="235" t="s">
        <v>996</v>
      </c>
      <c r="I10" s="208" t="s">
        <v>387</v>
      </c>
      <c r="J10" s="209"/>
      <c r="K10" s="208" t="s">
        <v>387</v>
      </c>
    </row>
    <row r="11" spans="1:11" x14ac:dyDescent="0.2">
      <c r="A11" s="73"/>
      <c r="E11" s="235" t="s">
        <v>997</v>
      </c>
      <c r="I11" s="208" t="s">
        <v>387</v>
      </c>
      <c r="J11" s="209"/>
      <c r="K11" s="208" t="s">
        <v>387</v>
      </c>
    </row>
    <row r="12" spans="1:11" x14ac:dyDescent="0.2">
      <c r="A12" s="73"/>
      <c r="E12" s="235" t="s">
        <v>998</v>
      </c>
      <c r="I12" s="208" t="s">
        <v>387</v>
      </c>
      <c r="J12" s="209"/>
      <c r="K12" s="208" t="s">
        <v>387</v>
      </c>
    </row>
    <row r="13" spans="1:11" x14ac:dyDescent="0.2">
      <c r="A13" s="74"/>
      <c r="E13" s="235" t="s">
        <v>999</v>
      </c>
      <c r="I13" s="208" t="s">
        <v>387</v>
      </c>
      <c r="J13" s="209"/>
      <c r="K13" s="208" t="s">
        <v>387</v>
      </c>
    </row>
    <row r="14" spans="1:11" x14ac:dyDescent="0.2">
      <c r="A14" s="73"/>
      <c r="E14" s="236"/>
      <c r="I14" s="208" t="s">
        <v>387</v>
      </c>
      <c r="J14" s="209"/>
      <c r="K14" s="208" t="s">
        <v>387</v>
      </c>
    </row>
    <row r="15" spans="1:11" x14ac:dyDescent="0.2">
      <c r="A15" s="55" t="s">
        <v>1000</v>
      </c>
      <c r="B15" s="206" t="s">
        <v>671</v>
      </c>
      <c r="C15" s="1"/>
      <c r="D15" s="1" t="s">
        <v>1440</v>
      </c>
      <c r="E15" s="235" t="s">
        <v>1111</v>
      </c>
      <c r="F15" s="67">
        <v>0</v>
      </c>
      <c r="G15" s="67">
        <v>0</v>
      </c>
      <c r="H15" s="67">
        <v>2</v>
      </c>
      <c r="I15" s="208" t="s">
        <v>387</v>
      </c>
      <c r="J15" s="209"/>
      <c r="K15" s="208" t="s">
        <v>387</v>
      </c>
    </row>
    <row r="16" spans="1:11" x14ac:dyDescent="0.2">
      <c r="A16" s="74"/>
      <c r="E16" s="235" t="s">
        <v>1112</v>
      </c>
      <c r="I16" s="208" t="s">
        <v>387</v>
      </c>
      <c r="J16" s="209"/>
      <c r="K16" s="208" t="s">
        <v>387</v>
      </c>
    </row>
    <row r="17" spans="1:11" x14ac:dyDescent="0.2">
      <c r="A17" s="73"/>
      <c r="E17" s="235" t="s">
        <v>1113</v>
      </c>
      <c r="I17" s="208" t="s">
        <v>387</v>
      </c>
      <c r="J17" s="209"/>
      <c r="K17" s="208" t="s">
        <v>387</v>
      </c>
    </row>
    <row r="18" spans="1:11" x14ac:dyDescent="0.2">
      <c r="A18" s="73"/>
      <c r="E18" s="412" t="s">
        <v>1954</v>
      </c>
      <c r="I18" s="208"/>
      <c r="J18" s="209"/>
      <c r="K18" s="208"/>
    </row>
    <row r="19" spans="1:11" x14ac:dyDescent="0.2">
      <c r="A19" s="73"/>
      <c r="E19" s="235"/>
      <c r="I19" s="208"/>
      <c r="J19" s="209"/>
      <c r="K19" s="208"/>
    </row>
    <row r="20" spans="1:11" x14ac:dyDescent="0.2">
      <c r="A20" s="55" t="s">
        <v>1152</v>
      </c>
      <c r="B20" s="206" t="s">
        <v>671</v>
      </c>
      <c r="C20" s="1"/>
      <c r="D20" s="1" t="s">
        <v>1441</v>
      </c>
      <c r="E20" s="235" t="s">
        <v>1249</v>
      </c>
      <c r="F20" s="275" t="s">
        <v>1253</v>
      </c>
      <c r="G20" s="275" t="s">
        <v>1250</v>
      </c>
      <c r="H20" s="275" t="s">
        <v>1251</v>
      </c>
      <c r="I20" s="208"/>
      <c r="J20" s="209"/>
      <c r="K20" s="208"/>
    </row>
    <row r="21" spans="1:11" x14ac:dyDescent="0.2">
      <c r="A21" s="73"/>
      <c r="E21" s="235" t="s">
        <v>1254</v>
      </c>
      <c r="F21" s="275" t="s">
        <v>1253</v>
      </c>
      <c r="G21" s="275" t="s">
        <v>1252</v>
      </c>
      <c r="H21" s="276">
        <v>3.4019999999999998E+38</v>
      </c>
      <c r="I21" s="208"/>
      <c r="J21" s="209"/>
      <c r="K21" s="208"/>
    </row>
    <row r="22" spans="1:11" x14ac:dyDescent="0.2">
      <c r="A22" s="55" t="s">
        <v>1153</v>
      </c>
      <c r="B22" s="206" t="s">
        <v>671</v>
      </c>
      <c r="C22" s="1"/>
      <c r="D22" s="1" t="s">
        <v>1441</v>
      </c>
      <c r="E22" s="235" t="s">
        <v>1434</v>
      </c>
      <c r="F22" s="275" t="s">
        <v>1253</v>
      </c>
      <c r="G22" s="275" t="s">
        <v>1250</v>
      </c>
      <c r="H22" s="275" t="s">
        <v>1251</v>
      </c>
      <c r="I22" s="208"/>
      <c r="J22" s="209"/>
      <c r="K22" s="208"/>
    </row>
    <row r="23" spans="1:11" x14ac:dyDescent="0.2">
      <c r="A23" s="73"/>
      <c r="E23" s="235" t="s">
        <v>1254</v>
      </c>
      <c r="F23" s="275" t="s">
        <v>1253</v>
      </c>
      <c r="G23" s="275" t="s">
        <v>1252</v>
      </c>
      <c r="H23" s="276">
        <v>3.4019999999999998E+38</v>
      </c>
      <c r="I23" s="208"/>
      <c r="J23" s="209"/>
      <c r="K23" s="208"/>
    </row>
    <row r="24" spans="1:11" x14ac:dyDescent="0.2">
      <c r="A24" s="73"/>
      <c r="E24" s="236"/>
      <c r="I24" s="208" t="s">
        <v>387</v>
      </c>
      <c r="J24" s="209"/>
      <c r="K24" s="208" t="s">
        <v>387</v>
      </c>
    </row>
    <row r="25" spans="1:11" x14ac:dyDescent="0.2">
      <c r="A25" s="55" t="s">
        <v>1007</v>
      </c>
      <c r="B25" s="206" t="s">
        <v>671</v>
      </c>
      <c r="C25" s="1"/>
      <c r="D25" s="1" t="s">
        <v>328</v>
      </c>
      <c r="E25" s="235" t="s">
        <v>1001</v>
      </c>
      <c r="F25" s="67">
        <v>3</v>
      </c>
      <c r="G25" s="67">
        <v>0</v>
      </c>
      <c r="H25" s="67">
        <v>5</v>
      </c>
      <c r="I25" s="208" t="s">
        <v>387</v>
      </c>
      <c r="J25" s="209"/>
      <c r="K25" s="208" t="s">
        <v>387</v>
      </c>
    </row>
    <row r="26" spans="1:11" x14ac:dyDescent="0.2">
      <c r="A26" s="73"/>
      <c r="E26" s="235" t="s">
        <v>1002</v>
      </c>
      <c r="I26" s="208" t="s">
        <v>387</v>
      </c>
      <c r="J26" s="209"/>
      <c r="K26" s="208" t="s">
        <v>387</v>
      </c>
    </row>
    <row r="27" spans="1:11" x14ac:dyDescent="0.2">
      <c r="A27" s="73"/>
      <c r="E27" s="235" t="s">
        <v>1003</v>
      </c>
      <c r="I27" s="208" t="s">
        <v>387</v>
      </c>
      <c r="J27" s="209"/>
      <c r="K27" s="208" t="s">
        <v>387</v>
      </c>
    </row>
    <row r="28" spans="1:11" x14ac:dyDescent="0.2">
      <c r="A28" s="91"/>
      <c r="B28" s="59"/>
      <c r="C28" s="58"/>
      <c r="D28" s="58"/>
      <c r="E28" s="237" t="s">
        <v>1004</v>
      </c>
      <c r="I28" s="208" t="s">
        <v>387</v>
      </c>
      <c r="J28" s="209"/>
      <c r="K28" s="208" t="s">
        <v>387</v>
      </c>
    </row>
    <row r="29" spans="1:11" x14ac:dyDescent="0.2">
      <c r="A29" s="91"/>
      <c r="B29" s="59"/>
      <c r="C29" s="58"/>
      <c r="D29" s="58"/>
      <c r="E29" s="237" t="s">
        <v>1005</v>
      </c>
      <c r="I29" s="208"/>
      <c r="J29" s="209"/>
      <c r="K29" s="208"/>
    </row>
    <row r="30" spans="1:11" x14ac:dyDescent="0.2">
      <c r="A30" s="91"/>
      <c r="B30" s="59"/>
      <c r="C30" s="58"/>
      <c r="D30" s="58"/>
      <c r="E30" s="237" t="s">
        <v>1006</v>
      </c>
      <c r="I30" s="208"/>
      <c r="J30" s="209"/>
      <c r="K30" s="208"/>
    </row>
    <row r="31" spans="1:11" x14ac:dyDescent="0.2">
      <c r="A31" s="91"/>
      <c r="B31" s="59"/>
      <c r="C31" s="58"/>
      <c r="D31" s="58"/>
      <c r="E31" s="237"/>
      <c r="I31" s="208"/>
      <c r="J31" s="209"/>
      <c r="K31" s="208"/>
    </row>
    <row r="32" spans="1:11" x14ac:dyDescent="0.2">
      <c r="A32" s="113" t="s">
        <v>1336</v>
      </c>
      <c r="B32" s="206" t="s">
        <v>671</v>
      </c>
      <c r="C32" s="1"/>
      <c r="D32" s="1" t="s">
        <v>328</v>
      </c>
      <c r="E32" s="237" t="s">
        <v>1109</v>
      </c>
      <c r="F32" s="206" t="s">
        <v>1107</v>
      </c>
      <c r="G32" s="67">
        <v>0</v>
      </c>
      <c r="H32" s="67">
        <v>255</v>
      </c>
      <c r="I32" s="208"/>
      <c r="J32" s="209"/>
      <c r="K32" s="208"/>
    </row>
    <row r="33" spans="1:11" x14ac:dyDescent="0.2">
      <c r="A33" s="91"/>
      <c r="B33" s="59"/>
      <c r="C33" s="58"/>
      <c r="D33" s="58"/>
      <c r="E33" s="237" t="s">
        <v>1110</v>
      </c>
      <c r="F33" s="206" t="s">
        <v>1108</v>
      </c>
      <c r="G33" s="67">
        <v>0</v>
      </c>
      <c r="H33" s="67">
        <v>255</v>
      </c>
      <c r="I33" s="208"/>
      <c r="J33" s="209"/>
      <c r="K33" s="208"/>
    </row>
    <row r="34" spans="1:11" x14ac:dyDescent="0.2">
      <c r="A34" s="91"/>
      <c r="B34" s="59"/>
      <c r="C34" s="58"/>
      <c r="D34" s="58"/>
      <c r="E34" s="237"/>
      <c r="I34" s="208"/>
      <c r="J34" s="209"/>
      <c r="K34" s="208"/>
    </row>
    <row r="35" spans="1:11" x14ac:dyDescent="0.2">
      <c r="A35" s="88" t="s">
        <v>1157</v>
      </c>
      <c r="B35" s="206" t="s">
        <v>671</v>
      </c>
      <c r="C35" s="1"/>
      <c r="D35" s="1" t="s">
        <v>328</v>
      </c>
      <c r="E35" s="237" t="s">
        <v>610</v>
      </c>
      <c r="F35" s="67">
        <v>0</v>
      </c>
      <c r="G35" s="67">
        <v>0</v>
      </c>
      <c r="H35" s="67">
        <v>15</v>
      </c>
      <c r="I35" s="208"/>
      <c r="J35" s="209"/>
      <c r="K35" s="208"/>
    </row>
    <row r="36" spans="1:11" x14ac:dyDescent="0.2">
      <c r="A36" s="91"/>
      <c r="B36" s="206"/>
      <c r="C36" s="1"/>
      <c r="D36" s="1"/>
      <c r="E36" s="237"/>
      <c r="I36" s="208"/>
      <c r="J36" s="209"/>
      <c r="K36" s="208"/>
    </row>
    <row r="37" spans="1:11" x14ac:dyDescent="0.2">
      <c r="A37" s="91"/>
      <c r="B37" s="59"/>
      <c r="C37" s="58"/>
      <c r="D37" s="58"/>
      <c r="E37" s="237"/>
      <c r="I37" s="208"/>
      <c r="J37" s="209"/>
      <c r="K37" s="208"/>
    </row>
    <row r="38" spans="1:11" x14ac:dyDescent="0.2">
      <c r="A38" s="69" t="s">
        <v>693</v>
      </c>
      <c r="B38" s="70"/>
      <c r="C38" s="71"/>
      <c r="D38" s="71"/>
      <c r="E38" s="72"/>
      <c r="F38" s="70"/>
      <c r="G38" s="70"/>
      <c r="H38" s="70"/>
      <c r="I38" s="70"/>
      <c r="J38" s="70"/>
      <c r="K38" s="70"/>
    </row>
    <row r="39" spans="1:11" x14ac:dyDescent="0.2">
      <c r="A39" s="55" t="s">
        <v>322</v>
      </c>
      <c r="B39" s="67" t="s">
        <v>671</v>
      </c>
      <c r="D39" s="1" t="s">
        <v>328</v>
      </c>
      <c r="E39" s="68" t="s">
        <v>323</v>
      </c>
      <c r="F39" s="67">
        <v>0</v>
      </c>
      <c r="G39" s="67">
        <v>0</v>
      </c>
      <c r="H39" s="67">
        <v>3</v>
      </c>
      <c r="I39" s="208" t="s">
        <v>387</v>
      </c>
      <c r="J39" s="209"/>
      <c r="K39" s="208" t="s">
        <v>387</v>
      </c>
    </row>
    <row r="40" spans="1:11" x14ac:dyDescent="0.2">
      <c r="A40" s="73"/>
      <c r="E40" s="68" t="s">
        <v>324</v>
      </c>
      <c r="I40" s="208" t="s">
        <v>387</v>
      </c>
      <c r="J40" s="209"/>
      <c r="K40" s="208" t="s">
        <v>387</v>
      </c>
    </row>
    <row r="41" spans="1:11" x14ac:dyDescent="0.2">
      <c r="A41" s="73"/>
      <c r="E41" s="68" t="s">
        <v>669</v>
      </c>
      <c r="I41" s="208" t="s">
        <v>387</v>
      </c>
      <c r="J41" s="209"/>
      <c r="K41" s="208" t="s">
        <v>387</v>
      </c>
    </row>
    <row r="42" spans="1:11" x14ac:dyDescent="0.2">
      <c r="A42" s="73"/>
      <c r="E42" s="68" t="s">
        <v>261</v>
      </c>
      <c r="I42" s="208" t="s">
        <v>387</v>
      </c>
      <c r="J42" s="209"/>
      <c r="K42" s="208" t="s">
        <v>387</v>
      </c>
    </row>
    <row r="43" spans="1:11" x14ac:dyDescent="0.2">
      <c r="A43" s="73"/>
      <c r="I43" s="208" t="s">
        <v>387</v>
      </c>
      <c r="J43" s="209"/>
      <c r="K43" s="208" t="s">
        <v>387</v>
      </c>
    </row>
    <row r="44" spans="1:11" x14ac:dyDescent="0.2">
      <c r="A44" s="113" t="s">
        <v>1162</v>
      </c>
      <c r="B44" s="59" t="s">
        <v>671</v>
      </c>
      <c r="D44" s="58" t="s">
        <v>328</v>
      </c>
      <c r="E44" s="58" t="s">
        <v>1001</v>
      </c>
      <c r="F44" s="67">
        <v>3</v>
      </c>
      <c r="G44" s="67">
        <v>2</v>
      </c>
      <c r="H44" s="67">
        <v>4</v>
      </c>
      <c r="I44" s="208" t="s">
        <v>387</v>
      </c>
      <c r="J44" s="209"/>
      <c r="K44" s="208" t="s">
        <v>387</v>
      </c>
    </row>
    <row r="45" spans="1:11" x14ac:dyDescent="0.2">
      <c r="A45" s="113"/>
      <c r="B45" s="59"/>
      <c r="D45" s="58"/>
      <c r="E45" s="58" t="s">
        <v>1177</v>
      </c>
      <c r="I45" s="208"/>
      <c r="J45" s="209"/>
      <c r="K45" s="208"/>
    </row>
    <row r="46" spans="1:11" x14ac:dyDescent="0.2">
      <c r="A46" s="113"/>
      <c r="B46" s="59"/>
      <c r="D46" s="58"/>
      <c r="E46" s="58" t="s">
        <v>1003</v>
      </c>
      <c r="I46" s="208"/>
      <c r="J46" s="209"/>
      <c r="K46" s="208"/>
    </row>
    <row r="47" spans="1:11" x14ac:dyDescent="0.2">
      <c r="A47" s="113"/>
      <c r="B47" s="59"/>
      <c r="D47" s="58"/>
      <c r="E47" s="58" t="s">
        <v>1004</v>
      </c>
      <c r="I47" s="208"/>
      <c r="J47" s="209"/>
      <c r="K47" s="208"/>
    </row>
    <row r="48" spans="1:11" x14ac:dyDescent="0.2">
      <c r="A48" s="113"/>
      <c r="B48" s="59"/>
      <c r="D48" s="58"/>
      <c r="E48" s="58" t="s">
        <v>1178</v>
      </c>
      <c r="I48" s="208"/>
      <c r="J48" s="209"/>
      <c r="K48" s="208"/>
    </row>
    <row r="49" spans="1:11" x14ac:dyDescent="0.2">
      <c r="A49" s="113"/>
      <c r="B49" s="59"/>
      <c r="D49" s="58"/>
      <c r="E49" s="58" t="s">
        <v>1006</v>
      </c>
      <c r="I49" s="208"/>
      <c r="J49" s="209"/>
      <c r="K49" s="208"/>
    </row>
    <row r="50" spans="1:11" x14ac:dyDescent="0.2">
      <c r="A50" s="8"/>
      <c r="B50" s="59"/>
      <c r="D50" s="58"/>
      <c r="E50" s="58"/>
      <c r="I50" s="208"/>
      <c r="J50" s="209"/>
      <c r="K50" s="208"/>
    </row>
    <row r="51" spans="1:11" x14ac:dyDescent="0.2">
      <c r="A51" s="113" t="s">
        <v>1163</v>
      </c>
      <c r="B51" s="59" t="s">
        <v>671</v>
      </c>
      <c r="D51" s="58" t="s">
        <v>328</v>
      </c>
      <c r="E51" s="326" t="s">
        <v>1668</v>
      </c>
      <c r="F51" s="67">
        <v>0</v>
      </c>
      <c r="G51" s="67">
        <v>0</v>
      </c>
      <c r="H51" s="67">
        <v>15</v>
      </c>
      <c r="I51" s="208" t="s">
        <v>387</v>
      </c>
      <c r="J51" s="209"/>
      <c r="K51" s="208" t="s">
        <v>387</v>
      </c>
    </row>
    <row r="52" spans="1:11" x14ac:dyDescent="0.2">
      <c r="A52" s="73"/>
      <c r="E52" s="326" t="s">
        <v>1669</v>
      </c>
      <c r="F52" s="67">
        <v>0</v>
      </c>
      <c r="G52" s="67">
        <v>0</v>
      </c>
      <c r="H52" s="67">
        <v>255</v>
      </c>
      <c r="I52" s="208" t="s">
        <v>387</v>
      </c>
      <c r="J52" s="209"/>
      <c r="K52" s="208" t="s">
        <v>387</v>
      </c>
    </row>
    <row r="53" spans="1:11" x14ac:dyDescent="0.2">
      <c r="A53" s="73"/>
      <c r="E53" s="326" t="s">
        <v>1670</v>
      </c>
      <c r="F53" s="67">
        <v>0</v>
      </c>
      <c r="G53" s="67">
        <v>0</v>
      </c>
      <c r="H53" s="67">
        <v>64</v>
      </c>
      <c r="I53" s="208" t="s">
        <v>387</v>
      </c>
      <c r="J53" s="209"/>
      <c r="K53" s="208" t="s">
        <v>387</v>
      </c>
    </row>
    <row r="54" spans="1:11" x14ac:dyDescent="0.2">
      <c r="A54" s="73"/>
      <c r="E54" s="326" t="s">
        <v>1671</v>
      </c>
      <c r="F54" s="67">
        <v>0</v>
      </c>
      <c r="G54" s="67">
        <v>0</v>
      </c>
      <c r="H54" s="67">
        <v>255</v>
      </c>
      <c r="I54" s="208" t="s">
        <v>387</v>
      </c>
      <c r="J54" s="209"/>
      <c r="K54" s="208" t="s">
        <v>387</v>
      </c>
    </row>
    <row r="55" spans="1:11" x14ac:dyDescent="0.2">
      <c r="A55" s="73"/>
      <c r="E55" s="326" t="s">
        <v>1672</v>
      </c>
      <c r="F55" s="67">
        <v>0</v>
      </c>
      <c r="G55" s="67">
        <v>0</v>
      </c>
      <c r="H55" s="67">
        <v>20</v>
      </c>
      <c r="I55" s="208" t="s">
        <v>387</v>
      </c>
      <c r="J55" s="209"/>
      <c r="K55" s="208" t="s">
        <v>387</v>
      </c>
    </row>
    <row r="56" spans="1:11" x14ac:dyDescent="0.2">
      <c r="A56" s="73"/>
      <c r="E56" s="1" t="s">
        <v>1916</v>
      </c>
      <c r="F56" s="206">
        <v>0</v>
      </c>
      <c r="G56" s="206">
        <v>0</v>
      </c>
      <c r="H56" s="206">
        <v>64</v>
      </c>
      <c r="I56" s="208" t="s">
        <v>387</v>
      </c>
      <c r="J56" s="209"/>
      <c r="K56" s="208" t="s">
        <v>387</v>
      </c>
    </row>
    <row r="57" spans="1:11" x14ac:dyDescent="0.2">
      <c r="A57" s="73"/>
      <c r="E57" s="326" t="s">
        <v>1179</v>
      </c>
      <c r="F57" s="206">
        <v>255</v>
      </c>
      <c r="G57" s="206">
        <v>255</v>
      </c>
      <c r="H57" s="206">
        <v>255</v>
      </c>
      <c r="I57" s="208"/>
      <c r="J57" s="209"/>
      <c r="K57" s="208"/>
    </row>
    <row r="58" spans="1:11" ht="12.75" x14ac:dyDescent="0.2">
      <c r="A58" s="8"/>
      <c r="B58" s="59"/>
      <c r="D58" s="58"/>
      <c r="E58" s="61"/>
      <c r="I58" s="208"/>
      <c r="J58" s="209"/>
      <c r="K58" s="208"/>
    </row>
    <row r="59" spans="1:11" x14ac:dyDescent="0.2">
      <c r="A59" s="113" t="s">
        <v>1164</v>
      </c>
      <c r="B59" s="59" t="s">
        <v>671</v>
      </c>
      <c r="D59" s="58" t="s">
        <v>328</v>
      </c>
      <c r="E59" s="58" t="s">
        <v>1182</v>
      </c>
      <c r="F59" s="67">
        <v>0</v>
      </c>
      <c r="G59" s="67">
        <v>0</v>
      </c>
      <c r="H59" s="67">
        <v>15</v>
      </c>
      <c r="I59" s="208" t="s">
        <v>387</v>
      </c>
      <c r="J59" s="209"/>
      <c r="K59" s="208" t="s">
        <v>387</v>
      </c>
    </row>
    <row r="60" spans="1:11" x14ac:dyDescent="0.2">
      <c r="A60" s="73"/>
      <c r="I60" s="208" t="s">
        <v>387</v>
      </c>
      <c r="J60" s="209"/>
      <c r="K60" s="208" t="s">
        <v>387</v>
      </c>
    </row>
    <row r="61" spans="1:11" x14ac:dyDescent="0.2">
      <c r="A61" s="113" t="s">
        <v>1165</v>
      </c>
      <c r="B61" s="59" t="s">
        <v>671</v>
      </c>
      <c r="C61" s="1"/>
      <c r="D61" s="58" t="s">
        <v>328</v>
      </c>
      <c r="E61" s="58" t="s">
        <v>1183</v>
      </c>
      <c r="F61" s="67">
        <v>0</v>
      </c>
      <c r="G61" s="67">
        <v>0</v>
      </c>
      <c r="H61" s="67">
        <v>3</v>
      </c>
      <c r="I61" s="208" t="s">
        <v>387</v>
      </c>
      <c r="J61" s="209"/>
      <c r="K61" s="208" t="s">
        <v>387</v>
      </c>
    </row>
    <row r="62" spans="1:11" x14ac:dyDescent="0.2">
      <c r="A62" s="73"/>
      <c r="E62" s="207" t="s">
        <v>1184</v>
      </c>
      <c r="I62" s="208" t="s">
        <v>387</v>
      </c>
      <c r="J62" s="209"/>
      <c r="K62" s="208" t="s">
        <v>387</v>
      </c>
    </row>
    <row r="63" spans="1:11" x14ac:dyDescent="0.2">
      <c r="A63" s="73"/>
      <c r="E63" s="207" t="s">
        <v>1185</v>
      </c>
      <c r="I63" s="208" t="s">
        <v>387</v>
      </c>
      <c r="J63" s="209"/>
      <c r="K63" s="208" t="s">
        <v>387</v>
      </c>
    </row>
    <row r="64" spans="1:11" x14ac:dyDescent="0.2">
      <c r="A64" s="73"/>
      <c r="E64" s="207" t="s">
        <v>1186</v>
      </c>
      <c r="I64" s="208" t="s">
        <v>387</v>
      </c>
      <c r="J64" s="209"/>
      <c r="K64" s="208" t="s">
        <v>387</v>
      </c>
    </row>
    <row r="65" spans="1:11" x14ac:dyDescent="0.2">
      <c r="A65" s="73"/>
      <c r="I65" s="208" t="s">
        <v>387</v>
      </c>
      <c r="J65" s="209"/>
      <c r="K65" s="208" t="s">
        <v>387</v>
      </c>
    </row>
    <row r="66" spans="1:11" x14ac:dyDescent="0.2">
      <c r="A66" s="113" t="s">
        <v>1169</v>
      </c>
      <c r="B66" s="59" t="s">
        <v>671</v>
      </c>
      <c r="C66" s="1"/>
      <c r="D66" s="58" t="s">
        <v>328</v>
      </c>
      <c r="E66" s="58" t="s">
        <v>1753</v>
      </c>
      <c r="F66" s="67">
        <v>0</v>
      </c>
      <c r="G66" s="67">
        <v>0</v>
      </c>
      <c r="H66" s="67">
        <v>1</v>
      </c>
      <c r="I66" s="208" t="s">
        <v>387</v>
      </c>
      <c r="J66" s="209"/>
      <c r="K66" s="208" t="s">
        <v>387</v>
      </c>
    </row>
    <row r="67" spans="1:11" x14ac:dyDescent="0.2">
      <c r="A67" s="73"/>
      <c r="E67" s="207" t="s">
        <v>1754</v>
      </c>
      <c r="I67" s="208" t="s">
        <v>387</v>
      </c>
      <c r="J67" s="209"/>
      <c r="K67" s="208" t="s">
        <v>387</v>
      </c>
    </row>
    <row r="68" spans="1:11" x14ac:dyDescent="0.2">
      <c r="A68" s="73"/>
      <c r="E68" s="207"/>
      <c r="I68" s="208"/>
      <c r="J68" s="209"/>
      <c r="K68" s="208"/>
    </row>
    <row r="69" spans="1:11" x14ac:dyDescent="0.2">
      <c r="A69" s="113" t="s">
        <v>1166</v>
      </c>
      <c r="B69" s="59" t="s">
        <v>671</v>
      </c>
      <c r="D69" s="58" t="s">
        <v>328</v>
      </c>
      <c r="E69" s="58" t="s">
        <v>1001</v>
      </c>
      <c r="F69" s="67">
        <v>3</v>
      </c>
      <c r="G69" s="67">
        <v>2</v>
      </c>
      <c r="H69" s="67">
        <v>4</v>
      </c>
      <c r="I69" s="208" t="s">
        <v>387</v>
      </c>
      <c r="J69" s="209"/>
      <c r="K69" s="208" t="s">
        <v>387</v>
      </c>
    </row>
    <row r="70" spans="1:11" x14ac:dyDescent="0.2">
      <c r="A70" s="73"/>
      <c r="E70" s="58" t="s">
        <v>1177</v>
      </c>
      <c r="I70" s="208" t="s">
        <v>387</v>
      </c>
      <c r="J70" s="209"/>
      <c r="K70" s="208" t="s">
        <v>387</v>
      </c>
    </row>
    <row r="71" spans="1:11" x14ac:dyDescent="0.2">
      <c r="A71" s="73"/>
      <c r="E71" s="58" t="s">
        <v>1003</v>
      </c>
      <c r="I71" s="208" t="s">
        <v>387</v>
      </c>
      <c r="J71" s="209"/>
      <c r="K71" s="208" t="s">
        <v>387</v>
      </c>
    </row>
    <row r="72" spans="1:11" x14ac:dyDescent="0.2">
      <c r="A72" s="73"/>
      <c r="E72" s="58" t="s">
        <v>1004</v>
      </c>
      <c r="I72" s="208" t="s">
        <v>387</v>
      </c>
      <c r="J72" s="209"/>
      <c r="K72" s="208" t="s">
        <v>387</v>
      </c>
    </row>
    <row r="73" spans="1:11" x14ac:dyDescent="0.2">
      <c r="A73" s="8"/>
      <c r="B73" s="59"/>
      <c r="D73" s="58"/>
      <c r="E73" s="58" t="s">
        <v>1178</v>
      </c>
      <c r="I73" s="208"/>
      <c r="J73" s="209"/>
      <c r="K73" s="208"/>
    </row>
    <row r="74" spans="1:11" x14ac:dyDescent="0.2">
      <c r="A74" s="8"/>
      <c r="B74" s="59"/>
      <c r="D74" s="58"/>
      <c r="E74" s="58" t="s">
        <v>1006</v>
      </c>
      <c r="I74" s="208"/>
      <c r="J74" s="209"/>
      <c r="K74" s="208"/>
    </row>
    <row r="75" spans="1:11" x14ac:dyDescent="0.2">
      <c r="A75" s="8"/>
      <c r="B75" s="59"/>
      <c r="D75" s="58"/>
      <c r="E75" s="58"/>
      <c r="I75" s="208"/>
      <c r="J75" s="209"/>
      <c r="K75" s="208"/>
    </row>
    <row r="76" spans="1:11" x14ac:dyDescent="0.2">
      <c r="A76" s="113" t="s">
        <v>1167</v>
      </c>
      <c r="B76" s="59" t="s">
        <v>671</v>
      </c>
      <c r="D76" s="58" t="s">
        <v>328</v>
      </c>
      <c r="E76" s="326" t="s">
        <v>1668</v>
      </c>
      <c r="F76" s="67">
        <v>0</v>
      </c>
      <c r="G76" s="67">
        <v>0</v>
      </c>
      <c r="H76" s="67">
        <v>255</v>
      </c>
      <c r="I76" s="208" t="s">
        <v>387</v>
      </c>
      <c r="J76" s="209"/>
      <c r="K76" s="208" t="s">
        <v>387</v>
      </c>
    </row>
    <row r="77" spans="1:11" x14ac:dyDescent="0.2">
      <c r="A77" s="73"/>
      <c r="E77" s="326" t="s">
        <v>1669</v>
      </c>
      <c r="I77" s="208" t="s">
        <v>387</v>
      </c>
      <c r="J77" s="209"/>
      <c r="K77" s="208" t="s">
        <v>387</v>
      </c>
    </row>
    <row r="78" spans="1:11" x14ac:dyDescent="0.2">
      <c r="A78" s="73"/>
      <c r="E78" s="326" t="s">
        <v>1670</v>
      </c>
      <c r="I78" s="208" t="s">
        <v>387</v>
      </c>
      <c r="J78" s="209"/>
      <c r="K78" s="208" t="s">
        <v>387</v>
      </c>
    </row>
    <row r="79" spans="1:11" x14ac:dyDescent="0.2">
      <c r="A79" s="73"/>
      <c r="E79" s="326" t="s">
        <v>1671</v>
      </c>
      <c r="I79" s="208" t="s">
        <v>387</v>
      </c>
      <c r="J79" s="209"/>
      <c r="K79" s="208" t="s">
        <v>387</v>
      </c>
    </row>
    <row r="80" spans="1:11" x14ac:dyDescent="0.2">
      <c r="A80" s="73"/>
      <c r="E80" s="326" t="s">
        <v>1672</v>
      </c>
      <c r="I80" s="208"/>
      <c r="J80" s="209"/>
      <c r="K80" s="208"/>
    </row>
    <row r="81" spans="1:11" x14ac:dyDescent="0.2">
      <c r="A81" s="73"/>
      <c r="E81" s="1" t="s">
        <v>1916</v>
      </c>
      <c r="F81" s="206"/>
      <c r="G81" s="206"/>
      <c r="H81" s="206"/>
      <c r="I81" s="208"/>
      <c r="J81" s="209"/>
      <c r="K81" s="208"/>
    </row>
    <row r="82" spans="1:11" x14ac:dyDescent="0.2">
      <c r="A82" s="73"/>
      <c r="E82" s="326" t="s">
        <v>1179</v>
      </c>
      <c r="F82" s="206"/>
      <c r="G82" s="206"/>
      <c r="H82" s="206"/>
      <c r="I82" s="208"/>
      <c r="J82" s="209"/>
      <c r="K82" s="208"/>
    </row>
    <row r="83" spans="1:11" x14ac:dyDescent="0.2">
      <c r="A83" s="73"/>
      <c r="E83" s="207"/>
      <c r="I83" s="208"/>
      <c r="J83" s="209"/>
      <c r="K83" s="208"/>
    </row>
    <row r="84" spans="1:11" x14ac:dyDescent="0.2">
      <c r="A84" s="113" t="s">
        <v>1168</v>
      </c>
      <c r="B84" s="59" t="s">
        <v>671</v>
      </c>
      <c r="D84" s="58" t="s">
        <v>328</v>
      </c>
      <c r="E84" s="58" t="s">
        <v>1182</v>
      </c>
      <c r="F84" s="67">
        <v>0</v>
      </c>
      <c r="G84" s="67">
        <v>0</v>
      </c>
      <c r="H84" s="67">
        <v>15</v>
      </c>
      <c r="I84" s="208" t="s">
        <v>387</v>
      </c>
      <c r="J84" s="209"/>
      <c r="K84" s="208" t="s">
        <v>387</v>
      </c>
    </row>
    <row r="85" spans="1:11" x14ac:dyDescent="0.2">
      <c r="A85" s="73"/>
      <c r="I85" s="208" t="s">
        <v>387</v>
      </c>
      <c r="J85" s="209"/>
      <c r="K85" s="208" t="s">
        <v>387</v>
      </c>
    </row>
    <row r="86" spans="1:11" x14ac:dyDescent="0.2">
      <c r="A86" s="113" t="s">
        <v>1170</v>
      </c>
      <c r="B86" s="59" t="s">
        <v>671</v>
      </c>
      <c r="C86" s="1"/>
      <c r="D86" s="58" t="s">
        <v>328</v>
      </c>
      <c r="E86" s="58" t="s">
        <v>1183</v>
      </c>
      <c r="F86" s="67">
        <v>0</v>
      </c>
      <c r="G86" s="67">
        <v>0</v>
      </c>
      <c r="H86" s="67">
        <v>3</v>
      </c>
      <c r="I86" s="208" t="s">
        <v>387</v>
      </c>
      <c r="J86" s="209"/>
      <c r="K86" s="208" t="s">
        <v>387</v>
      </c>
    </row>
    <row r="87" spans="1:11" x14ac:dyDescent="0.2">
      <c r="A87" s="73"/>
      <c r="E87" s="207" t="s">
        <v>1184</v>
      </c>
      <c r="I87" s="208" t="s">
        <v>387</v>
      </c>
      <c r="J87" s="209"/>
      <c r="K87" s="208" t="s">
        <v>387</v>
      </c>
    </row>
    <row r="88" spans="1:11" x14ac:dyDescent="0.2">
      <c r="A88" s="73"/>
      <c r="E88" s="207" t="s">
        <v>1185</v>
      </c>
      <c r="I88" s="208" t="s">
        <v>387</v>
      </c>
      <c r="J88" s="209"/>
      <c r="K88" s="208" t="s">
        <v>387</v>
      </c>
    </row>
    <row r="89" spans="1:11" x14ac:dyDescent="0.2">
      <c r="A89" s="73"/>
      <c r="E89" s="207" t="s">
        <v>1186</v>
      </c>
      <c r="I89" s="208" t="s">
        <v>387</v>
      </c>
      <c r="J89" s="209"/>
      <c r="K89" s="208" t="s">
        <v>387</v>
      </c>
    </row>
    <row r="90" spans="1:11" x14ac:dyDescent="0.2">
      <c r="A90" s="8"/>
      <c r="B90" s="59"/>
      <c r="D90" s="58"/>
      <c r="E90" s="58"/>
      <c r="I90" s="208"/>
      <c r="J90" s="209"/>
      <c r="K90" s="208"/>
    </row>
    <row r="91" spans="1:11" x14ac:dyDescent="0.2">
      <c r="A91" s="113" t="s">
        <v>1171</v>
      </c>
      <c r="B91" s="59" t="s">
        <v>671</v>
      </c>
      <c r="C91" s="1"/>
      <c r="D91" s="58" t="s">
        <v>1752</v>
      </c>
      <c r="E91" s="58" t="s">
        <v>1753</v>
      </c>
      <c r="F91" s="67">
        <v>0</v>
      </c>
      <c r="G91" s="67">
        <v>0</v>
      </c>
      <c r="H91" s="67">
        <v>1</v>
      </c>
      <c r="I91" s="208" t="s">
        <v>387</v>
      </c>
      <c r="J91" s="209"/>
      <c r="K91" s="208" t="s">
        <v>387</v>
      </c>
    </row>
    <row r="92" spans="1:11" x14ac:dyDescent="0.2">
      <c r="A92" s="73"/>
      <c r="E92" s="207" t="s">
        <v>1754</v>
      </c>
      <c r="I92" s="208" t="s">
        <v>387</v>
      </c>
      <c r="J92" s="209"/>
      <c r="K92" s="208" t="s">
        <v>387</v>
      </c>
    </row>
    <row r="93" spans="1:11" x14ac:dyDescent="0.2">
      <c r="A93" s="8"/>
      <c r="B93" s="59"/>
      <c r="D93" s="58"/>
      <c r="E93" s="58"/>
      <c r="I93" s="208"/>
      <c r="J93" s="209"/>
      <c r="K93" s="208"/>
    </row>
    <row r="94" spans="1:11" x14ac:dyDescent="0.2">
      <c r="A94" s="113" t="s">
        <v>1172</v>
      </c>
      <c r="B94" s="59" t="s">
        <v>671</v>
      </c>
      <c r="D94" s="58" t="s">
        <v>328</v>
      </c>
      <c r="E94" s="58" t="s">
        <v>1001</v>
      </c>
      <c r="F94" s="67">
        <v>3</v>
      </c>
      <c r="G94" s="67">
        <v>2</v>
      </c>
      <c r="H94" s="67">
        <v>4</v>
      </c>
      <c r="I94" s="208" t="s">
        <v>387</v>
      </c>
      <c r="J94" s="209"/>
      <c r="K94" s="208" t="s">
        <v>387</v>
      </c>
    </row>
    <row r="95" spans="1:11" x14ac:dyDescent="0.2">
      <c r="A95" s="73"/>
      <c r="E95" s="58" t="s">
        <v>1177</v>
      </c>
      <c r="I95" s="208" t="s">
        <v>387</v>
      </c>
      <c r="J95" s="209"/>
      <c r="K95" s="208" t="s">
        <v>387</v>
      </c>
    </row>
    <row r="96" spans="1:11" x14ac:dyDescent="0.2">
      <c r="A96" s="73"/>
      <c r="E96" s="58" t="s">
        <v>1003</v>
      </c>
      <c r="I96" s="208" t="s">
        <v>387</v>
      </c>
      <c r="J96" s="209"/>
      <c r="K96" s="208" t="s">
        <v>387</v>
      </c>
    </row>
    <row r="97" spans="1:11" x14ac:dyDescent="0.2">
      <c r="A97" s="73"/>
      <c r="E97" s="58" t="s">
        <v>1004</v>
      </c>
      <c r="I97" s="208" t="s">
        <v>387</v>
      </c>
      <c r="J97" s="209"/>
      <c r="K97" s="208" t="s">
        <v>387</v>
      </c>
    </row>
    <row r="98" spans="1:11" x14ac:dyDescent="0.2">
      <c r="A98" s="73"/>
      <c r="E98" s="58" t="s">
        <v>1178</v>
      </c>
      <c r="I98" s="208"/>
      <c r="J98" s="209"/>
      <c r="K98" s="208"/>
    </row>
    <row r="99" spans="1:11" x14ac:dyDescent="0.2">
      <c r="A99" s="73"/>
      <c r="E99" s="58" t="s">
        <v>1006</v>
      </c>
      <c r="I99" s="208"/>
      <c r="J99" s="209"/>
      <c r="K99" s="208"/>
    </row>
    <row r="100" spans="1:11" x14ac:dyDescent="0.2">
      <c r="A100" s="8"/>
      <c r="B100" s="59"/>
      <c r="D100" s="58"/>
      <c r="E100" s="58"/>
      <c r="I100" s="208"/>
      <c r="J100" s="209"/>
      <c r="K100" s="208"/>
    </row>
    <row r="101" spans="1:11" x14ac:dyDescent="0.2">
      <c r="A101" s="113" t="s">
        <v>1174</v>
      </c>
      <c r="B101" s="59" t="s">
        <v>671</v>
      </c>
      <c r="D101" s="58" t="s">
        <v>328</v>
      </c>
      <c r="E101" s="326" t="s">
        <v>1668</v>
      </c>
      <c r="F101" s="67">
        <v>0</v>
      </c>
      <c r="G101" s="67">
        <v>0</v>
      </c>
      <c r="H101" s="67">
        <v>255</v>
      </c>
      <c r="I101" s="208" t="s">
        <v>387</v>
      </c>
      <c r="J101" s="209"/>
      <c r="K101" s="208" t="s">
        <v>387</v>
      </c>
    </row>
    <row r="102" spans="1:11" x14ac:dyDescent="0.2">
      <c r="A102" s="73"/>
      <c r="E102" s="326" t="s">
        <v>1669</v>
      </c>
      <c r="I102" s="208" t="s">
        <v>387</v>
      </c>
      <c r="J102" s="209"/>
      <c r="K102" s="208" t="s">
        <v>387</v>
      </c>
    </row>
    <row r="103" spans="1:11" x14ac:dyDescent="0.2">
      <c r="A103" s="73"/>
      <c r="E103" s="326" t="s">
        <v>1670</v>
      </c>
      <c r="I103" s="208" t="s">
        <v>387</v>
      </c>
      <c r="J103" s="209"/>
      <c r="K103" s="208" t="s">
        <v>387</v>
      </c>
    </row>
    <row r="104" spans="1:11" x14ac:dyDescent="0.2">
      <c r="A104" s="73"/>
      <c r="E104" s="326" t="s">
        <v>1671</v>
      </c>
      <c r="I104" s="208" t="s">
        <v>387</v>
      </c>
      <c r="J104" s="209"/>
      <c r="K104" s="208" t="s">
        <v>387</v>
      </c>
    </row>
    <row r="105" spans="1:11" x14ac:dyDescent="0.2">
      <c r="A105" s="73"/>
      <c r="E105" s="326" t="s">
        <v>1672</v>
      </c>
      <c r="I105" s="208"/>
      <c r="J105" s="209"/>
      <c r="K105" s="208"/>
    </row>
    <row r="106" spans="1:11" x14ac:dyDescent="0.2">
      <c r="A106" s="73"/>
      <c r="E106" s="1" t="s">
        <v>1916</v>
      </c>
      <c r="F106" s="206"/>
      <c r="G106" s="206"/>
      <c r="H106" s="206"/>
      <c r="I106" s="208"/>
      <c r="J106" s="209"/>
      <c r="K106" s="208"/>
    </row>
    <row r="107" spans="1:11" x14ac:dyDescent="0.2">
      <c r="A107" s="73"/>
      <c r="E107" s="326" t="s">
        <v>1179</v>
      </c>
      <c r="F107" s="206"/>
      <c r="G107" s="206"/>
      <c r="H107" s="206"/>
      <c r="I107" s="208"/>
      <c r="J107" s="209"/>
      <c r="K107" s="208"/>
    </row>
    <row r="108" spans="1:11" x14ac:dyDescent="0.2">
      <c r="A108" s="8"/>
      <c r="B108" s="59"/>
      <c r="D108" s="58"/>
      <c r="E108" s="58"/>
      <c r="I108" s="208"/>
      <c r="J108" s="209"/>
      <c r="K108" s="208"/>
    </row>
    <row r="109" spans="1:11" x14ac:dyDescent="0.2">
      <c r="A109" s="113" t="s">
        <v>1173</v>
      </c>
      <c r="B109" s="59" t="s">
        <v>671</v>
      </c>
      <c r="D109" s="58" t="s">
        <v>328</v>
      </c>
      <c r="E109" s="58" t="s">
        <v>1182</v>
      </c>
      <c r="F109" s="67">
        <v>0</v>
      </c>
      <c r="G109" s="67">
        <v>0</v>
      </c>
      <c r="H109" s="67">
        <v>15</v>
      </c>
      <c r="I109" s="208" t="s">
        <v>387</v>
      </c>
      <c r="J109" s="209"/>
      <c r="K109" s="208" t="s">
        <v>387</v>
      </c>
    </row>
    <row r="110" spans="1:11" x14ac:dyDescent="0.2">
      <c r="A110" s="8"/>
      <c r="B110" s="59"/>
      <c r="D110" s="58"/>
      <c r="E110" s="58"/>
      <c r="I110" s="208"/>
      <c r="J110" s="209"/>
      <c r="K110" s="208"/>
    </row>
    <row r="111" spans="1:11" x14ac:dyDescent="0.2">
      <c r="A111" s="113" t="s">
        <v>1175</v>
      </c>
      <c r="B111" s="59" t="s">
        <v>671</v>
      </c>
      <c r="C111" s="1"/>
      <c r="D111" s="58" t="s">
        <v>328</v>
      </c>
      <c r="E111" s="58" t="s">
        <v>1183</v>
      </c>
      <c r="F111" s="67">
        <v>0</v>
      </c>
      <c r="G111" s="67">
        <v>0</v>
      </c>
      <c r="H111" s="67">
        <v>3</v>
      </c>
      <c r="I111" s="208" t="s">
        <v>387</v>
      </c>
      <c r="J111" s="209"/>
      <c r="K111" s="208" t="s">
        <v>387</v>
      </c>
    </row>
    <row r="112" spans="1:11" x14ac:dyDescent="0.2">
      <c r="A112" s="73"/>
      <c r="E112" s="207" t="s">
        <v>1184</v>
      </c>
      <c r="I112" s="208" t="s">
        <v>387</v>
      </c>
      <c r="J112" s="209"/>
      <c r="K112" s="208" t="s">
        <v>387</v>
      </c>
    </row>
    <row r="113" spans="1:11" x14ac:dyDescent="0.2">
      <c r="A113" s="73"/>
      <c r="E113" s="207" t="s">
        <v>1185</v>
      </c>
      <c r="I113" s="208" t="s">
        <v>387</v>
      </c>
      <c r="J113" s="209"/>
      <c r="K113" s="208" t="s">
        <v>387</v>
      </c>
    </row>
    <row r="114" spans="1:11" x14ac:dyDescent="0.2">
      <c r="A114" s="73"/>
      <c r="E114" s="207" t="s">
        <v>1186</v>
      </c>
      <c r="I114" s="208" t="s">
        <v>387</v>
      </c>
      <c r="J114" s="209"/>
      <c r="K114" s="208" t="s">
        <v>387</v>
      </c>
    </row>
    <row r="115" spans="1:11" x14ac:dyDescent="0.2">
      <c r="A115" s="8"/>
      <c r="B115" s="59"/>
      <c r="D115" s="58"/>
      <c r="E115" s="58"/>
      <c r="I115" s="208"/>
      <c r="J115" s="209"/>
      <c r="K115" s="208"/>
    </row>
    <row r="116" spans="1:11" x14ac:dyDescent="0.2">
      <c r="A116" s="113" t="s">
        <v>1176</v>
      </c>
      <c r="B116" s="59" t="s">
        <v>671</v>
      </c>
      <c r="C116" s="1"/>
      <c r="D116" s="58" t="s">
        <v>328</v>
      </c>
      <c r="E116" s="58" t="s">
        <v>1753</v>
      </c>
      <c r="F116" s="67">
        <v>0</v>
      </c>
      <c r="G116" s="67">
        <v>0</v>
      </c>
      <c r="H116" s="67">
        <v>1</v>
      </c>
      <c r="I116" s="208" t="s">
        <v>387</v>
      </c>
      <c r="J116" s="209"/>
      <c r="K116" s="208" t="s">
        <v>387</v>
      </c>
    </row>
    <row r="117" spans="1:11" x14ac:dyDescent="0.2">
      <c r="A117" s="102"/>
      <c r="B117" s="59"/>
      <c r="C117" s="58"/>
      <c r="D117" s="58"/>
      <c r="E117" s="207" t="s">
        <v>1754</v>
      </c>
      <c r="I117" s="208" t="s">
        <v>387</v>
      </c>
      <c r="J117" s="209"/>
      <c r="K117" s="208" t="s">
        <v>387</v>
      </c>
    </row>
    <row r="118" spans="1:11" x14ac:dyDescent="0.2">
      <c r="A118" s="287"/>
      <c r="B118" s="59"/>
      <c r="D118" s="58"/>
      <c r="E118" s="58"/>
      <c r="I118" s="208"/>
      <c r="J118" s="209"/>
      <c r="K118" s="208"/>
    </row>
    <row r="119" spans="1:11" x14ac:dyDescent="0.2">
      <c r="A119" s="69" t="s">
        <v>503</v>
      </c>
      <c r="B119" s="70"/>
      <c r="C119" s="71"/>
      <c r="D119" s="71"/>
      <c r="E119" s="72"/>
      <c r="F119" s="70"/>
      <c r="G119" s="70"/>
      <c r="H119" s="70"/>
      <c r="I119" s="208" t="s">
        <v>387</v>
      </c>
      <c r="J119" s="209"/>
      <c r="K119" s="208" t="s">
        <v>387</v>
      </c>
    </row>
    <row r="120" spans="1:11" x14ac:dyDescent="0.2">
      <c r="A120" s="88" t="s">
        <v>361</v>
      </c>
      <c r="B120" s="59" t="s">
        <v>672</v>
      </c>
      <c r="C120" s="58"/>
      <c r="D120" s="58" t="s">
        <v>325</v>
      </c>
      <c r="E120" s="58" t="s">
        <v>701</v>
      </c>
      <c r="F120" s="67">
        <v>0</v>
      </c>
      <c r="G120" s="67">
        <v>0</v>
      </c>
      <c r="H120" s="67">
        <v>1</v>
      </c>
      <c r="I120" s="208" t="s">
        <v>387</v>
      </c>
      <c r="J120" s="209"/>
      <c r="K120" s="208" t="s">
        <v>387</v>
      </c>
    </row>
    <row r="121" spans="1:11" x14ac:dyDescent="0.2">
      <c r="A121" s="93"/>
      <c r="B121" s="75"/>
      <c r="C121" s="76"/>
      <c r="D121" s="76"/>
      <c r="E121" s="58" t="s">
        <v>702</v>
      </c>
      <c r="I121" s="208" t="s">
        <v>387</v>
      </c>
      <c r="J121" s="209"/>
      <c r="K121" s="208" t="s">
        <v>387</v>
      </c>
    </row>
    <row r="122" spans="1:11" x14ac:dyDescent="0.2">
      <c r="A122" s="3"/>
      <c r="I122" s="208" t="s">
        <v>387</v>
      </c>
      <c r="J122" s="209"/>
      <c r="K122" s="208" t="s">
        <v>387</v>
      </c>
    </row>
    <row r="123" spans="1:11" x14ac:dyDescent="0.2">
      <c r="A123" s="88" t="s">
        <v>691</v>
      </c>
      <c r="B123" s="59" t="s">
        <v>672</v>
      </c>
      <c r="C123" s="83"/>
      <c r="D123" s="58" t="s">
        <v>325</v>
      </c>
      <c r="E123" s="58" t="s">
        <v>692</v>
      </c>
      <c r="F123" s="67">
        <v>0</v>
      </c>
      <c r="G123" s="67">
        <v>0</v>
      </c>
      <c r="H123" s="67">
        <v>0</v>
      </c>
      <c r="I123" s="208" t="s">
        <v>387</v>
      </c>
      <c r="J123" s="209"/>
      <c r="K123" s="208" t="s">
        <v>387</v>
      </c>
    </row>
    <row r="124" spans="1:11" ht="12.75" x14ac:dyDescent="0.2">
      <c r="A124" s="62"/>
      <c r="B124" s="60"/>
      <c r="C124" s="61"/>
      <c r="D124" s="61"/>
      <c r="E124" s="61"/>
      <c r="I124" s="208" t="s">
        <v>387</v>
      </c>
      <c r="J124" s="209"/>
      <c r="K124" s="208" t="s">
        <v>387</v>
      </c>
    </row>
    <row r="125" spans="1:11" x14ac:dyDescent="0.2">
      <c r="A125" s="3"/>
      <c r="I125" s="208" t="s">
        <v>387</v>
      </c>
      <c r="J125" s="209"/>
      <c r="K125" s="208" t="s">
        <v>387</v>
      </c>
    </row>
    <row r="126" spans="1:11" ht="12.75" customHeight="1" x14ac:dyDescent="0.2">
      <c r="A126" s="3"/>
      <c r="I126" s="208" t="s">
        <v>387</v>
      </c>
      <c r="J126" s="209"/>
      <c r="K126" s="208" t="s">
        <v>387</v>
      </c>
    </row>
    <row r="127" spans="1:11" x14ac:dyDescent="0.2">
      <c r="A127" s="91" t="s">
        <v>703</v>
      </c>
      <c r="B127" s="59" t="s">
        <v>672</v>
      </c>
      <c r="C127" s="58"/>
      <c r="D127" s="58" t="s">
        <v>704</v>
      </c>
      <c r="E127" s="58" t="s">
        <v>790</v>
      </c>
      <c r="F127" s="67">
        <v>0</v>
      </c>
      <c r="G127" s="67">
        <v>0</v>
      </c>
      <c r="H127" s="67">
        <v>1</v>
      </c>
      <c r="I127" s="208" t="s">
        <v>387</v>
      </c>
      <c r="J127" s="209"/>
      <c r="K127" s="208" t="s">
        <v>387</v>
      </c>
    </row>
    <row r="128" spans="1:11" x14ac:dyDescent="0.2">
      <c r="A128" s="90" t="s">
        <v>791</v>
      </c>
      <c r="B128" s="75"/>
      <c r="C128" s="76"/>
      <c r="D128" s="76"/>
      <c r="E128" s="58" t="s">
        <v>792</v>
      </c>
      <c r="I128" s="208" t="s">
        <v>387</v>
      </c>
      <c r="J128" s="209"/>
      <c r="K128" s="208" t="s">
        <v>387</v>
      </c>
    </row>
    <row r="129" spans="1:11" ht="33.75" x14ac:dyDescent="0.2">
      <c r="A129" s="90" t="s">
        <v>227</v>
      </c>
      <c r="B129" s="75"/>
      <c r="C129" s="76"/>
      <c r="D129" s="76"/>
      <c r="E129" s="58"/>
      <c r="I129" s="208" t="s">
        <v>387</v>
      </c>
      <c r="J129" s="209"/>
      <c r="K129" s="208" t="s">
        <v>387</v>
      </c>
    </row>
    <row r="130" spans="1:11" x14ac:dyDescent="0.2">
      <c r="A130" s="76"/>
      <c r="B130" s="75"/>
      <c r="C130" s="76"/>
      <c r="D130" s="76"/>
      <c r="E130" s="76"/>
      <c r="I130" s="208" t="s">
        <v>387</v>
      </c>
      <c r="J130" s="209"/>
      <c r="K130" s="208" t="s">
        <v>387</v>
      </c>
    </row>
    <row r="131" spans="1:11" x14ac:dyDescent="0.2">
      <c r="A131" s="69" t="s">
        <v>694</v>
      </c>
      <c r="B131" s="70"/>
      <c r="C131" s="71"/>
      <c r="D131" s="71"/>
      <c r="E131" s="72"/>
      <c r="F131" s="70"/>
      <c r="G131" s="70"/>
      <c r="H131" s="70"/>
      <c r="I131" s="208" t="s">
        <v>387</v>
      </c>
      <c r="J131" s="209"/>
      <c r="K131" s="208" t="s">
        <v>387</v>
      </c>
    </row>
    <row r="132" spans="1:11" x14ac:dyDescent="0.2">
      <c r="A132" s="74" t="s">
        <v>343</v>
      </c>
      <c r="B132" s="67" t="s">
        <v>672</v>
      </c>
      <c r="D132" s="66" t="s">
        <v>328</v>
      </c>
      <c r="E132" s="68" t="s">
        <v>212</v>
      </c>
      <c r="F132" s="67">
        <v>0</v>
      </c>
      <c r="G132" s="67">
        <v>0</v>
      </c>
      <c r="H132" s="67">
        <v>14</v>
      </c>
      <c r="I132" s="208" t="s">
        <v>387</v>
      </c>
      <c r="J132" s="209"/>
      <c r="K132" s="208" t="s">
        <v>387</v>
      </c>
    </row>
    <row r="133" spans="1:11" x14ac:dyDescent="0.2">
      <c r="A133" s="74"/>
      <c r="E133" s="68" t="s">
        <v>273</v>
      </c>
      <c r="I133" s="208" t="s">
        <v>387</v>
      </c>
      <c r="J133" s="209"/>
      <c r="K133" s="208" t="s">
        <v>387</v>
      </c>
    </row>
    <row r="134" spans="1:11" x14ac:dyDescent="0.2">
      <c r="A134" s="74"/>
      <c r="E134" s="68" t="s">
        <v>274</v>
      </c>
      <c r="I134" s="208" t="s">
        <v>387</v>
      </c>
      <c r="J134" s="209"/>
      <c r="K134" s="208" t="s">
        <v>387</v>
      </c>
    </row>
    <row r="135" spans="1:11" x14ac:dyDescent="0.2">
      <c r="A135" s="74"/>
      <c r="E135" s="68" t="s">
        <v>275</v>
      </c>
      <c r="I135" s="208" t="s">
        <v>387</v>
      </c>
      <c r="J135" s="209"/>
      <c r="K135" s="208" t="s">
        <v>387</v>
      </c>
    </row>
    <row r="136" spans="1:11" x14ac:dyDescent="0.2">
      <c r="A136" s="74"/>
      <c r="E136" s="68" t="s">
        <v>276</v>
      </c>
      <c r="I136" s="208" t="s">
        <v>387</v>
      </c>
      <c r="J136" s="209"/>
      <c r="K136" s="208" t="s">
        <v>387</v>
      </c>
    </row>
    <row r="137" spans="1:11" x14ac:dyDescent="0.2">
      <c r="A137" s="73"/>
      <c r="E137" s="68" t="s">
        <v>371</v>
      </c>
      <c r="I137" s="208" t="s">
        <v>387</v>
      </c>
      <c r="J137" s="209"/>
      <c r="K137" s="208" t="s">
        <v>387</v>
      </c>
    </row>
    <row r="138" spans="1:11" x14ac:dyDescent="0.2">
      <c r="A138" s="73"/>
      <c r="E138" s="68" t="s">
        <v>372</v>
      </c>
      <c r="I138" s="208" t="s">
        <v>387</v>
      </c>
      <c r="J138" s="209"/>
      <c r="K138" s="208" t="s">
        <v>387</v>
      </c>
    </row>
    <row r="139" spans="1:11" x14ac:dyDescent="0.2">
      <c r="A139" s="73"/>
      <c r="E139" s="68" t="s">
        <v>373</v>
      </c>
      <c r="I139" s="208" t="s">
        <v>387</v>
      </c>
      <c r="J139" s="209"/>
      <c r="K139" s="208" t="s">
        <v>387</v>
      </c>
    </row>
    <row r="140" spans="1:11" x14ac:dyDescent="0.2">
      <c r="A140" s="73"/>
      <c r="E140" s="68" t="s">
        <v>758</v>
      </c>
      <c r="I140" s="208" t="s">
        <v>387</v>
      </c>
      <c r="J140" s="209"/>
      <c r="K140" s="208" t="s">
        <v>387</v>
      </c>
    </row>
    <row r="141" spans="1:11" x14ac:dyDescent="0.2">
      <c r="A141" s="73"/>
      <c r="E141" s="68" t="s">
        <v>374</v>
      </c>
      <c r="I141" s="208" t="s">
        <v>387</v>
      </c>
      <c r="J141" s="209"/>
      <c r="K141" s="208" t="s">
        <v>387</v>
      </c>
    </row>
    <row r="142" spans="1:11" x14ac:dyDescent="0.2">
      <c r="A142" s="73"/>
      <c r="E142" s="68" t="s">
        <v>375</v>
      </c>
      <c r="I142" s="208" t="s">
        <v>387</v>
      </c>
      <c r="J142" s="209"/>
      <c r="K142" s="208" t="s">
        <v>387</v>
      </c>
    </row>
    <row r="143" spans="1:11" x14ac:dyDescent="0.2">
      <c r="A143" s="73"/>
      <c r="E143" s="68" t="s">
        <v>376</v>
      </c>
      <c r="I143" s="208" t="s">
        <v>387</v>
      </c>
      <c r="J143" s="209"/>
      <c r="K143" s="208" t="s">
        <v>387</v>
      </c>
    </row>
    <row r="144" spans="1:11" x14ac:dyDescent="0.2">
      <c r="A144" s="73"/>
      <c r="E144" s="68" t="s">
        <v>377</v>
      </c>
      <c r="I144" s="208" t="s">
        <v>387</v>
      </c>
      <c r="J144" s="209"/>
      <c r="K144" s="208" t="s">
        <v>387</v>
      </c>
    </row>
    <row r="145" spans="1:13" x14ac:dyDescent="0.2">
      <c r="A145" s="73"/>
      <c r="E145" s="68" t="s">
        <v>378</v>
      </c>
      <c r="I145" s="208" t="s">
        <v>387</v>
      </c>
      <c r="J145" s="209"/>
      <c r="K145" s="208" t="s">
        <v>387</v>
      </c>
    </row>
    <row r="146" spans="1:13" x14ac:dyDescent="0.2">
      <c r="A146" s="73"/>
      <c r="E146" s="68" t="s">
        <v>379</v>
      </c>
      <c r="I146" s="208" t="s">
        <v>387</v>
      </c>
      <c r="J146" s="209"/>
      <c r="K146" s="208" t="s">
        <v>387</v>
      </c>
    </row>
    <row r="147" spans="1:13" x14ac:dyDescent="0.2">
      <c r="A147" s="73"/>
      <c r="I147" s="208" t="s">
        <v>387</v>
      </c>
      <c r="J147" s="209"/>
      <c r="K147" s="208" t="s">
        <v>387</v>
      </c>
    </row>
    <row r="148" spans="1:13" x14ac:dyDescent="0.2">
      <c r="A148" s="55" t="s">
        <v>213</v>
      </c>
      <c r="B148" s="67" t="s">
        <v>672</v>
      </c>
      <c r="D148" s="66" t="s">
        <v>328</v>
      </c>
      <c r="E148" s="68" t="s">
        <v>242</v>
      </c>
      <c r="F148" s="67">
        <v>1</v>
      </c>
      <c r="G148" s="67">
        <v>1</v>
      </c>
      <c r="H148" s="67">
        <v>1</v>
      </c>
      <c r="I148" s="208" t="s">
        <v>387</v>
      </c>
      <c r="J148" s="209"/>
      <c r="K148" s="208" t="s">
        <v>387</v>
      </c>
    </row>
    <row r="149" spans="1:13" x14ac:dyDescent="0.2">
      <c r="A149" s="73"/>
      <c r="E149" s="68" t="s">
        <v>243</v>
      </c>
      <c r="F149" s="67">
        <v>0</v>
      </c>
      <c r="G149" s="67">
        <v>0</v>
      </c>
      <c r="H149" s="67">
        <v>0</v>
      </c>
      <c r="I149" s="208" t="s">
        <v>387</v>
      </c>
      <c r="J149" s="209"/>
      <c r="K149" s="208" t="s">
        <v>387</v>
      </c>
      <c r="L149" s="118"/>
      <c r="M149" s="118"/>
    </row>
    <row r="150" spans="1:13" ht="11.25" customHeight="1" x14ac:dyDescent="0.2">
      <c r="A150" s="73"/>
      <c r="I150" s="208" t="s">
        <v>387</v>
      </c>
      <c r="J150" s="209"/>
      <c r="K150" s="208" t="s">
        <v>387</v>
      </c>
      <c r="L150" s="118"/>
      <c r="M150" s="118"/>
    </row>
    <row r="151" spans="1:13" ht="11.25" customHeight="1" x14ac:dyDescent="0.2">
      <c r="A151" s="55" t="s">
        <v>1317</v>
      </c>
      <c r="B151" s="67" t="s">
        <v>671</v>
      </c>
      <c r="D151" s="66" t="s">
        <v>328</v>
      </c>
      <c r="E151" s="58" t="s">
        <v>1324</v>
      </c>
      <c r="F151" s="271" t="s">
        <v>1492</v>
      </c>
      <c r="G151" s="247">
        <v>0</v>
      </c>
      <c r="H151" s="247">
        <v>15</v>
      </c>
      <c r="I151" s="208" t="s">
        <v>387</v>
      </c>
      <c r="J151" s="209"/>
      <c r="K151" s="208" t="s">
        <v>387</v>
      </c>
      <c r="L151" s="118"/>
      <c r="M151" s="118"/>
    </row>
    <row r="152" spans="1:13" ht="11.25" customHeight="1" x14ac:dyDescent="0.2">
      <c r="A152" s="55"/>
      <c r="E152" s="66"/>
      <c r="F152" s="241" t="s">
        <v>1484</v>
      </c>
      <c r="G152" s="247"/>
      <c r="H152" s="247"/>
      <c r="I152" s="208"/>
      <c r="J152" s="209"/>
      <c r="K152" s="208"/>
      <c r="L152" s="118"/>
      <c r="M152" s="118"/>
    </row>
    <row r="153" spans="1:13" ht="11.25" customHeight="1" x14ac:dyDescent="0.2">
      <c r="A153" s="3"/>
      <c r="E153" s="66"/>
      <c r="F153" s="241" t="s">
        <v>1485</v>
      </c>
      <c r="I153" s="208" t="s">
        <v>387</v>
      </c>
      <c r="J153" s="209"/>
      <c r="K153" s="208" t="s">
        <v>387</v>
      </c>
      <c r="L153" s="118"/>
      <c r="M153" s="118"/>
    </row>
    <row r="154" spans="1:13" ht="11.25" customHeight="1" x14ac:dyDescent="0.2">
      <c r="A154" s="3"/>
      <c r="E154" s="66"/>
      <c r="F154" s="241" t="s">
        <v>1486</v>
      </c>
      <c r="I154" s="208" t="s">
        <v>387</v>
      </c>
      <c r="J154" s="209"/>
      <c r="K154" s="208" t="s">
        <v>387</v>
      </c>
      <c r="L154" s="118"/>
      <c r="M154" s="118"/>
    </row>
    <row r="155" spans="1:13" ht="11.25" customHeight="1" x14ac:dyDescent="0.2">
      <c r="A155" s="3"/>
      <c r="E155" s="66"/>
      <c r="F155" s="241" t="s">
        <v>1487</v>
      </c>
      <c r="I155" s="208" t="s">
        <v>387</v>
      </c>
      <c r="J155" s="209"/>
      <c r="K155" s="208" t="s">
        <v>387</v>
      </c>
      <c r="L155" s="118"/>
      <c r="M155" s="118"/>
    </row>
    <row r="156" spans="1:13" ht="11.25" customHeight="1" x14ac:dyDescent="0.2">
      <c r="A156" s="3"/>
      <c r="E156" s="66"/>
      <c r="F156" s="241" t="s">
        <v>1488</v>
      </c>
      <c r="I156" s="208" t="s">
        <v>387</v>
      </c>
      <c r="J156" s="209"/>
      <c r="K156" s="208" t="s">
        <v>387</v>
      </c>
      <c r="L156" s="118"/>
      <c r="M156" s="118"/>
    </row>
    <row r="157" spans="1:13" ht="11.25" customHeight="1" x14ac:dyDescent="0.2">
      <c r="A157" s="3"/>
      <c r="E157" s="66"/>
      <c r="F157" s="241" t="s">
        <v>1489</v>
      </c>
      <c r="I157" s="208" t="s">
        <v>387</v>
      </c>
      <c r="J157" s="209"/>
      <c r="K157" s="208" t="s">
        <v>387</v>
      </c>
      <c r="L157" s="118"/>
      <c r="M157" s="118"/>
    </row>
    <row r="158" spans="1:13" ht="11.25" customHeight="1" x14ac:dyDescent="0.2">
      <c r="A158" s="3"/>
      <c r="E158" s="66"/>
      <c r="F158" s="241" t="s">
        <v>1490</v>
      </c>
      <c r="I158" s="208"/>
      <c r="J158" s="209"/>
      <c r="K158" s="208"/>
      <c r="L158" s="118"/>
      <c r="M158" s="118"/>
    </row>
    <row r="159" spans="1:13" ht="11.25" customHeight="1" x14ac:dyDescent="0.2">
      <c r="A159" s="3"/>
      <c r="E159" s="66"/>
      <c r="F159" s="241" t="s">
        <v>1491</v>
      </c>
      <c r="I159" s="208"/>
      <c r="J159" s="209"/>
      <c r="K159" s="208"/>
      <c r="L159" s="118"/>
      <c r="M159" s="118"/>
    </row>
    <row r="160" spans="1:13" ht="11.25" customHeight="1" x14ac:dyDescent="0.2">
      <c r="A160" s="3"/>
      <c r="E160" s="179"/>
      <c r="F160" s="66"/>
      <c r="I160" s="208"/>
      <c r="J160" s="209"/>
      <c r="K160" s="208"/>
      <c r="L160" s="118"/>
      <c r="M160" s="118"/>
    </row>
    <row r="161" spans="1:13" ht="11.25" customHeight="1" x14ac:dyDescent="0.2">
      <c r="A161" s="55" t="s">
        <v>1325</v>
      </c>
      <c r="E161" s="58" t="s">
        <v>1206</v>
      </c>
      <c r="F161" s="67">
        <v>0</v>
      </c>
      <c r="G161" s="67">
        <v>0</v>
      </c>
      <c r="H161" s="67">
        <v>6</v>
      </c>
      <c r="I161" s="208" t="s">
        <v>387</v>
      </c>
      <c r="J161" s="209"/>
      <c r="K161" s="208" t="s">
        <v>387</v>
      </c>
      <c r="L161" s="118"/>
      <c r="M161" s="118"/>
    </row>
    <row r="162" spans="1:13" ht="11.25" customHeight="1" x14ac:dyDescent="0.2">
      <c r="A162" s="3"/>
      <c r="E162" s="58" t="s">
        <v>1326</v>
      </c>
      <c r="I162" s="208" t="s">
        <v>387</v>
      </c>
      <c r="J162" s="209"/>
      <c r="K162" s="208" t="s">
        <v>387</v>
      </c>
      <c r="L162" s="118"/>
      <c r="M162" s="118"/>
    </row>
    <row r="163" spans="1:13" ht="11.25" customHeight="1" x14ac:dyDescent="0.2">
      <c r="A163" s="3"/>
      <c r="D163" s="58"/>
      <c r="E163" s="58" t="s">
        <v>1327</v>
      </c>
      <c r="I163" s="208" t="s">
        <v>387</v>
      </c>
      <c r="J163" s="209"/>
      <c r="K163" s="208" t="s">
        <v>387</v>
      </c>
      <c r="L163" s="118"/>
      <c r="M163" s="118"/>
    </row>
    <row r="164" spans="1:13" ht="11.25" customHeight="1" x14ac:dyDescent="0.2">
      <c r="A164" s="3"/>
      <c r="E164" s="58" t="s">
        <v>1328</v>
      </c>
      <c r="I164" s="208" t="s">
        <v>387</v>
      </c>
      <c r="J164" s="209"/>
      <c r="K164" s="208" t="s">
        <v>387</v>
      </c>
      <c r="L164" s="118"/>
      <c r="M164" s="118"/>
    </row>
    <row r="165" spans="1:13" ht="11.25" customHeight="1" x14ac:dyDescent="0.2">
      <c r="A165" s="3"/>
      <c r="E165" s="58" t="s">
        <v>1329</v>
      </c>
      <c r="I165" s="208" t="s">
        <v>387</v>
      </c>
      <c r="J165" s="209"/>
      <c r="K165" s="208" t="s">
        <v>387</v>
      </c>
      <c r="L165" s="118"/>
      <c r="M165" s="118"/>
    </row>
    <row r="166" spans="1:13" ht="11.25" customHeight="1" x14ac:dyDescent="0.2">
      <c r="A166" s="3"/>
      <c r="E166" s="207" t="s">
        <v>1330</v>
      </c>
      <c r="I166" s="208" t="s">
        <v>387</v>
      </c>
      <c r="J166" s="209"/>
      <c r="K166" s="208" t="s">
        <v>387</v>
      </c>
      <c r="L166" s="118"/>
      <c r="M166" s="118"/>
    </row>
    <row r="167" spans="1:13" ht="11.25" customHeight="1" x14ac:dyDescent="0.2">
      <c r="A167" s="55"/>
      <c r="E167" s="207" t="s">
        <v>1331</v>
      </c>
      <c r="F167" s="289"/>
      <c r="G167" s="289"/>
      <c r="H167" s="289"/>
      <c r="I167" s="288" t="s">
        <v>387</v>
      </c>
      <c r="J167" s="209"/>
      <c r="K167" s="208" t="s">
        <v>387</v>
      </c>
      <c r="L167" s="118"/>
      <c r="M167" s="118"/>
    </row>
    <row r="168" spans="1:13" ht="11.25" customHeight="1" x14ac:dyDescent="0.2">
      <c r="A168" s="55" t="s">
        <v>498</v>
      </c>
      <c r="E168" s="207"/>
      <c r="F168" s="206"/>
      <c r="I168" s="208"/>
      <c r="J168" s="209"/>
      <c r="K168" s="208"/>
      <c r="L168" s="118"/>
      <c r="M168" s="118"/>
    </row>
    <row r="169" spans="1:13" ht="11.25" customHeight="1" x14ac:dyDescent="0.2">
      <c r="A169" s="55"/>
      <c r="E169" s="207" t="s">
        <v>1332</v>
      </c>
      <c r="F169" s="206">
        <v>0</v>
      </c>
      <c r="G169" s="67">
        <v>0</v>
      </c>
      <c r="H169" s="67">
        <v>3</v>
      </c>
      <c r="I169" s="208"/>
      <c r="J169" s="209"/>
      <c r="K169" s="208"/>
      <c r="L169" s="118"/>
      <c r="M169" s="118"/>
    </row>
    <row r="170" spans="1:13" ht="11.25" customHeight="1" x14ac:dyDescent="0.2">
      <c r="A170" s="55"/>
      <c r="E170" s="207" t="s">
        <v>1333</v>
      </c>
      <c r="F170" s="206"/>
      <c r="I170" s="208"/>
      <c r="J170" s="209"/>
      <c r="K170" s="208"/>
      <c r="L170" s="118"/>
      <c r="M170" s="118"/>
    </row>
    <row r="171" spans="1:13" ht="11.25" customHeight="1" x14ac:dyDescent="0.2">
      <c r="A171" s="55"/>
      <c r="E171" s="207" t="s">
        <v>1334</v>
      </c>
      <c r="F171" s="206"/>
      <c r="I171" s="208"/>
      <c r="J171" s="209"/>
      <c r="K171" s="208"/>
      <c r="L171" s="118"/>
      <c r="M171" s="118"/>
    </row>
    <row r="172" spans="1:13" ht="11.25" customHeight="1" x14ac:dyDescent="0.2">
      <c r="A172" s="55"/>
      <c r="E172" s="68" t="s">
        <v>1335</v>
      </c>
      <c r="F172" s="206"/>
      <c r="I172" s="208"/>
      <c r="J172" s="209"/>
      <c r="K172" s="208"/>
      <c r="L172" s="118"/>
      <c r="M172" s="118"/>
    </row>
    <row r="173" spans="1:13" ht="11.25" customHeight="1" x14ac:dyDescent="0.2">
      <c r="A173" s="73"/>
      <c r="I173" s="208" t="s">
        <v>387</v>
      </c>
      <c r="J173" s="209"/>
      <c r="K173" s="208" t="s">
        <v>387</v>
      </c>
      <c r="L173" s="118"/>
      <c r="M173" s="118"/>
    </row>
    <row r="174" spans="1:13" x14ac:dyDescent="0.2">
      <c r="A174" s="69"/>
      <c r="B174" s="70"/>
      <c r="C174" s="71"/>
      <c r="D174" s="71"/>
      <c r="E174" s="72"/>
      <c r="F174" s="70"/>
      <c r="G174" s="70"/>
      <c r="H174" s="70"/>
      <c r="I174" s="208"/>
      <c r="J174" s="209"/>
      <c r="K174" s="208"/>
    </row>
    <row r="175" spans="1:13" x14ac:dyDescent="0.2">
      <c r="A175" s="55"/>
      <c r="E175" s="207"/>
      <c r="I175" s="208" t="s">
        <v>387</v>
      </c>
      <c r="J175" s="209"/>
      <c r="K175" s="208" t="s">
        <v>387</v>
      </c>
    </row>
    <row r="176" spans="1:13" x14ac:dyDescent="0.2">
      <c r="A176" s="73"/>
      <c r="I176" s="208" t="s">
        <v>387</v>
      </c>
      <c r="J176" s="209"/>
      <c r="K176" s="208" t="s">
        <v>387</v>
      </c>
    </row>
    <row r="177" spans="1:11" x14ac:dyDescent="0.2">
      <c r="A177" s="55"/>
      <c r="E177" s="207"/>
      <c r="I177" s="208" t="s">
        <v>387</v>
      </c>
      <c r="J177" s="209"/>
      <c r="K177" s="208" t="s">
        <v>387</v>
      </c>
    </row>
    <row r="178" spans="1:11" x14ac:dyDescent="0.2">
      <c r="A178" s="73"/>
      <c r="E178" s="207"/>
      <c r="I178" s="208" t="s">
        <v>387</v>
      </c>
      <c r="J178" s="209"/>
      <c r="K178" s="208" t="s">
        <v>387</v>
      </c>
    </row>
    <row r="179" spans="1:11" x14ac:dyDescent="0.2">
      <c r="A179" s="73"/>
      <c r="E179" s="207"/>
      <c r="I179" s="208" t="s">
        <v>387</v>
      </c>
      <c r="J179" s="209"/>
      <c r="K179" s="208" t="s">
        <v>387</v>
      </c>
    </row>
    <row r="180" spans="1:11" x14ac:dyDescent="0.2">
      <c r="A180" s="73"/>
      <c r="I180" s="208" t="s">
        <v>387</v>
      </c>
      <c r="J180" s="209"/>
      <c r="K180" s="208" t="s">
        <v>387</v>
      </c>
    </row>
    <row r="181" spans="1:11" x14ac:dyDescent="0.2">
      <c r="A181" s="102"/>
      <c r="E181" s="58"/>
      <c r="H181" s="206"/>
      <c r="I181" s="208" t="s">
        <v>387</v>
      </c>
      <c r="J181" s="209"/>
      <c r="K181" s="208" t="s">
        <v>387</v>
      </c>
    </row>
    <row r="182" spans="1:11" x14ac:dyDescent="0.2">
      <c r="A182" s="55"/>
      <c r="B182" s="84"/>
      <c r="C182" s="83"/>
      <c r="D182" s="58"/>
      <c r="E182" s="207"/>
      <c r="I182" s="208" t="s">
        <v>387</v>
      </c>
      <c r="J182" s="209"/>
      <c r="K182" s="208" t="s">
        <v>387</v>
      </c>
    </row>
    <row r="183" spans="1:11" x14ac:dyDescent="0.2">
      <c r="A183" s="102"/>
      <c r="E183" s="58"/>
      <c r="I183" s="208" t="s">
        <v>387</v>
      </c>
      <c r="J183" s="209"/>
      <c r="K183" s="208" t="s">
        <v>387</v>
      </c>
    </row>
    <row r="184" spans="1:11" ht="12.75" x14ac:dyDescent="0.2">
      <c r="A184" s="283"/>
      <c r="B184" s="60"/>
      <c r="C184" s="61"/>
      <c r="D184" s="61"/>
      <c r="E184" s="189"/>
      <c r="I184" s="208" t="s">
        <v>387</v>
      </c>
      <c r="J184" s="209"/>
      <c r="K184" s="208" t="s">
        <v>387</v>
      </c>
    </row>
    <row r="185" spans="1:11" x14ac:dyDescent="0.2">
      <c r="A185" s="102"/>
      <c r="B185" s="206"/>
      <c r="C185" s="1"/>
      <c r="D185" s="1"/>
      <c r="E185" s="58"/>
      <c r="I185" s="208" t="s">
        <v>387</v>
      </c>
      <c r="J185" s="209"/>
      <c r="K185" s="208" t="s">
        <v>387</v>
      </c>
    </row>
    <row r="186" spans="1:11" ht="12.75" x14ac:dyDescent="0.2">
      <c r="A186" s="283"/>
      <c r="B186" s="60"/>
      <c r="C186" s="61"/>
      <c r="D186" s="61"/>
      <c r="E186" s="189"/>
      <c r="I186" s="208" t="s">
        <v>387</v>
      </c>
      <c r="J186" s="209"/>
      <c r="K186" s="208" t="s">
        <v>387</v>
      </c>
    </row>
    <row r="187" spans="1:11" x14ac:dyDescent="0.2">
      <c r="A187" s="102"/>
      <c r="B187" s="206"/>
      <c r="C187" s="1"/>
      <c r="D187" s="1"/>
      <c r="E187" s="207"/>
      <c r="I187" s="208" t="s">
        <v>387</v>
      </c>
      <c r="J187" s="209"/>
      <c r="K187" s="208" t="s">
        <v>387</v>
      </c>
    </row>
    <row r="188" spans="1:11" ht="12.75" x14ac:dyDescent="0.2">
      <c r="A188" s="283"/>
      <c r="B188" s="61"/>
      <c r="C188" s="60"/>
      <c r="D188" s="60"/>
      <c r="E188" s="207"/>
      <c r="I188" s="208" t="s">
        <v>387</v>
      </c>
      <c r="J188" s="209"/>
      <c r="K188" s="208" t="s">
        <v>387</v>
      </c>
    </row>
    <row r="189" spans="1:11" ht="12.75" x14ac:dyDescent="0.2">
      <c r="A189" s="283"/>
      <c r="B189" s="61"/>
      <c r="C189" s="60"/>
      <c r="D189" s="60"/>
      <c r="E189" s="207"/>
      <c r="I189" s="208" t="s">
        <v>387</v>
      </c>
      <c r="J189" s="209"/>
      <c r="K189" s="208" t="s">
        <v>387</v>
      </c>
    </row>
    <row r="190" spans="1:11" ht="12.75" x14ac:dyDescent="0.2">
      <c r="A190" s="283"/>
      <c r="B190" s="61"/>
      <c r="C190" s="60"/>
      <c r="D190" s="60"/>
      <c r="E190" s="207"/>
      <c r="I190" s="208" t="s">
        <v>387</v>
      </c>
      <c r="J190" s="209"/>
      <c r="K190" s="208" t="s">
        <v>387</v>
      </c>
    </row>
    <row r="191" spans="1:11" ht="12.75" x14ac:dyDescent="0.2">
      <c r="A191" s="283"/>
      <c r="B191" s="61"/>
      <c r="C191" s="60"/>
      <c r="D191" s="60"/>
      <c r="E191" s="207"/>
      <c r="I191" s="208" t="s">
        <v>387</v>
      </c>
      <c r="J191" s="209"/>
      <c r="K191" s="208" t="s">
        <v>387</v>
      </c>
    </row>
    <row r="192" spans="1:11" ht="12.75" x14ac:dyDescent="0.2">
      <c r="A192" s="112"/>
      <c r="E192" s="207"/>
      <c r="I192" s="208" t="s">
        <v>387</v>
      </c>
      <c r="J192" s="209"/>
      <c r="K192" s="208" t="s">
        <v>387</v>
      </c>
    </row>
    <row r="193" spans="1:11" x14ac:dyDescent="0.2">
      <c r="A193" s="55"/>
      <c r="D193" s="1"/>
      <c r="E193" s="207"/>
      <c r="F193" s="206"/>
      <c r="H193" s="206"/>
      <c r="I193" s="208" t="s">
        <v>387</v>
      </c>
      <c r="J193" s="209"/>
      <c r="K193" s="208" t="s">
        <v>387</v>
      </c>
    </row>
    <row r="194" spans="1:11" x14ac:dyDescent="0.2">
      <c r="A194" s="73"/>
      <c r="E194" s="207"/>
      <c r="I194" s="208" t="s">
        <v>387</v>
      </c>
      <c r="J194" s="209"/>
      <c r="K194" s="208" t="s">
        <v>387</v>
      </c>
    </row>
    <row r="195" spans="1:11" x14ac:dyDescent="0.2">
      <c r="A195" s="73"/>
      <c r="E195" s="207"/>
      <c r="I195" s="208" t="s">
        <v>387</v>
      </c>
      <c r="J195" s="209"/>
      <c r="K195" s="208" t="s">
        <v>387</v>
      </c>
    </row>
    <row r="196" spans="1:11" x14ac:dyDescent="0.2">
      <c r="A196" s="73"/>
      <c r="E196" s="207"/>
      <c r="I196" s="208" t="s">
        <v>387</v>
      </c>
      <c r="J196" s="209"/>
      <c r="K196" s="208" t="s">
        <v>387</v>
      </c>
    </row>
    <row r="197" spans="1:11" ht="11.25" customHeight="1" x14ac:dyDescent="0.2">
      <c r="A197" s="73"/>
      <c r="E197" s="207"/>
      <c r="I197" s="208" t="s">
        <v>387</v>
      </c>
      <c r="J197" s="209"/>
      <c r="K197" s="208" t="s">
        <v>387</v>
      </c>
    </row>
    <row r="198" spans="1:11" x14ac:dyDescent="0.2">
      <c r="A198" s="55"/>
      <c r="B198" s="206"/>
      <c r="C198" s="1"/>
      <c r="D198" s="1"/>
      <c r="E198" s="207"/>
      <c r="I198" s="208" t="s">
        <v>387</v>
      </c>
      <c r="J198" s="209"/>
      <c r="K198" s="208" t="s">
        <v>387</v>
      </c>
    </row>
    <row r="199" spans="1:11" x14ac:dyDescent="0.2">
      <c r="A199" s="73"/>
      <c r="E199" s="207"/>
      <c r="F199" s="247"/>
      <c r="G199" s="247"/>
      <c r="H199" s="247"/>
      <c r="I199" s="208" t="s">
        <v>387</v>
      </c>
      <c r="J199" s="209"/>
      <c r="K199" s="208" t="s">
        <v>387</v>
      </c>
    </row>
    <row r="200" spans="1:11" ht="12.75" x14ac:dyDescent="0.2">
      <c r="A200" s="283"/>
      <c r="B200" s="60"/>
      <c r="C200" s="61"/>
      <c r="D200" s="61"/>
      <c r="E200" s="58"/>
      <c r="I200" s="208" t="s">
        <v>387</v>
      </c>
      <c r="J200" s="209"/>
      <c r="K200" s="208" t="s">
        <v>387</v>
      </c>
    </row>
    <row r="201" spans="1:11" x14ac:dyDescent="0.2">
      <c r="A201" s="69" t="s">
        <v>1199</v>
      </c>
      <c r="B201" s="70"/>
      <c r="C201" s="71"/>
      <c r="D201" s="71"/>
      <c r="E201" s="72"/>
      <c r="F201" s="70"/>
      <c r="G201" s="70"/>
      <c r="H201" s="70"/>
      <c r="I201" s="208" t="s">
        <v>387</v>
      </c>
      <c r="J201" s="209"/>
      <c r="K201" s="208" t="s">
        <v>387</v>
      </c>
    </row>
    <row r="202" spans="1:11" x14ac:dyDescent="0.2">
      <c r="A202" s="55" t="s">
        <v>13</v>
      </c>
      <c r="B202" s="67" t="s">
        <v>671</v>
      </c>
      <c r="D202" s="1" t="s">
        <v>328</v>
      </c>
      <c r="E202" s="68" t="s">
        <v>209</v>
      </c>
      <c r="F202" s="67">
        <v>0</v>
      </c>
      <c r="G202" s="67">
        <v>0</v>
      </c>
      <c r="H202" s="67">
        <v>5</v>
      </c>
      <c r="I202" s="208" t="s">
        <v>387</v>
      </c>
      <c r="J202" s="209"/>
      <c r="K202" s="208" t="s">
        <v>387</v>
      </c>
    </row>
    <row r="203" spans="1:11" x14ac:dyDescent="0.2">
      <c r="A203" s="73"/>
      <c r="E203" s="68" t="s">
        <v>342</v>
      </c>
      <c r="I203" s="208" t="s">
        <v>387</v>
      </c>
      <c r="J203" s="209"/>
      <c r="K203" s="208" t="s">
        <v>387</v>
      </c>
    </row>
    <row r="204" spans="1:11" x14ac:dyDescent="0.2">
      <c r="A204" s="73"/>
      <c r="E204" s="68" t="s">
        <v>688</v>
      </c>
      <c r="I204" s="208" t="s">
        <v>387</v>
      </c>
      <c r="J204" s="209"/>
      <c r="K204" s="208" t="s">
        <v>387</v>
      </c>
    </row>
    <row r="205" spans="1:11" x14ac:dyDescent="0.2">
      <c r="A205" s="73"/>
      <c r="E205" s="68" t="s">
        <v>689</v>
      </c>
      <c r="I205" s="208" t="s">
        <v>387</v>
      </c>
      <c r="J205" s="209"/>
      <c r="K205" s="208" t="s">
        <v>387</v>
      </c>
    </row>
    <row r="206" spans="1:11" x14ac:dyDescent="0.2">
      <c r="A206" s="73"/>
      <c r="E206" s="68" t="s">
        <v>690</v>
      </c>
      <c r="I206" s="208" t="s">
        <v>387</v>
      </c>
      <c r="J206" s="209"/>
      <c r="K206" s="208" t="s">
        <v>387</v>
      </c>
    </row>
    <row r="207" spans="1:11" x14ac:dyDescent="0.2">
      <c r="A207" s="73"/>
      <c r="E207" s="68" t="s">
        <v>348</v>
      </c>
      <c r="I207" s="208" t="s">
        <v>387</v>
      </c>
      <c r="J207" s="209"/>
      <c r="K207" s="208" t="s">
        <v>387</v>
      </c>
    </row>
    <row r="208" spans="1:11" x14ac:dyDescent="0.2">
      <c r="A208" s="287"/>
      <c r="B208" s="59"/>
      <c r="C208" s="58"/>
      <c r="D208" s="58"/>
      <c r="E208" s="58"/>
      <c r="I208" s="208" t="s">
        <v>387</v>
      </c>
      <c r="J208" s="209"/>
      <c r="K208" s="208" t="s">
        <v>387</v>
      </c>
    </row>
    <row r="209" spans="1:11" x14ac:dyDescent="0.2">
      <c r="A209" s="55" t="s">
        <v>1200</v>
      </c>
      <c r="B209" s="84" t="s">
        <v>671</v>
      </c>
      <c r="C209" s="83"/>
      <c r="D209" s="58" t="s">
        <v>328</v>
      </c>
      <c r="E209" s="68" t="s">
        <v>347</v>
      </c>
      <c r="F209" s="206" t="s">
        <v>1437</v>
      </c>
      <c r="G209" s="206" t="s">
        <v>1437</v>
      </c>
      <c r="H209" s="206" t="s">
        <v>1205</v>
      </c>
      <c r="I209" s="208" t="s">
        <v>387</v>
      </c>
      <c r="J209" s="209"/>
      <c r="K209" s="208" t="s">
        <v>387</v>
      </c>
    </row>
    <row r="210" spans="1:11" ht="12.75" x14ac:dyDescent="0.2">
      <c r="A210" s="283"/>
      <c r="B210" s="60"/>
      <c r="C210" s="61"/>
      <c r="D210" s="61"/>
      <c r="I210" s="208" t="s">
        <v>387</v>
      </c>
      <c r="J210" s="209"/>
      <c r="K210" s="208" t="s">
        <v>387</v>
      </c>
    </row>
    <row r="211" spans="1:11" ht="12.75" x14ac:dyDescent="0.2">
      <c r="A211" s="283"/>
      <c r="B211" s="60"/>
      <c r="C211" s="61"/>
      <c r="D211" s="61"/>
      <c r="E211" s="189" t="s">
        <v>676</v>
      </c>
      <c r="I211" s="208" t="s">
        <v>387</v>
      </c>
      <c r="J211" s="209"/>
      <c r="K211" s="208" t="s">
        <v>387</v>
      </c>
    </row>
    <row r="212" spans="1:11" ht="12.75" x14ac:dyDescent="0.2">
      <c r="A212" s="283"/>
      <c r="B212" s="60"/>
      <c r="C212" s="61"/>
      <c r="D212" s="61"/>
      <c r="E212" s="189" t="s">
        <v>677</v>
      </c>
      <c r="I212" s="208" t="s">
        <v>387</v>
      </c>
      <c r="J212" s="209"/>
      <c r="K212" s="208" t="s">
        <v>387</v>
      </c>
    </row>
    <row r="213" spans="1:11" ht="12.75" x14ac:dyDescent="0.2">
      <c r="A213" s="283"/>
      <c r="B213" s="60"/>
      <c r="C213" s="61"/>
      <c r="D213" s="61"/>
      <c r="E213" s="189" t="s">
        <v>678</v>
      </c>
      <c r="I213" s="208" t="s">
        <v>387</v>
      </c>
      <c r="J213" s="209"/>
      <c r="K213" s="208" t="s">
        <v>387</v>
      </c>
    </row>
    <row r="214" spans="1:11" ht="12.75" x14ac:dyDescent="0.2">
      <c r="A214" s="283"/>
      <c r="B214" s="61"/>
      <c r="C214" s="60"/>
      <c r="D214" s="61"/>
      <c r="E214" s="189" t="s">
        <v>614</v>
      </c>
      <c r="I214" s="208" t="s">
        <v>387</v>
      </c>
      <c r="J214" s="209"/>
      <c r="K214" s="208" t="s">
        <v>387</v>
      </c>
    </row>
    <row r="215" spans="1:11" ht="12.75" x14ac:dyDescent="0.2">
      <c r="A215" s="283"/>
      <c r="B215" s="61"/>
      <c r="C215" s="60"/>
      <c r="D215" s="60"/>
      <c r="E215" s="189" t="s">
        <v>681</v>
      </c>
      <c r="I215" s="208" t="s">
        <v>387</v>
      </c>
      <c r="J215" s="209"/>
      <c r="K215" s="208" t="s">
        <v>387</v>
      </c>
    </row>
    <row r="216" spans="1:11" ht="12.75" x14ac:dyDescent="0.2">
      <c r="A216" s="283"/>
      <c r="B216" s="61"/>
      <c r="C216" s="60"/>
      <c r="D216" s="60"/>
      <c r="E216" s="189"/>
      <c r="I216" s="208" t="s">
        <v>387</v>
      </c>
      <c r="J216" s="209"/>
      <c r="K216" s="208" t="s">
        <v>387</v>
      </c>
    </row>
    <row r="217" spans="1:11" ht="12.75" x14ac:dyDescent="0.2">
      <c r="A217" s="283"/>
      <c r="B217" s="61"/>
      <c r="C217" s="60"/>
      <c r="D217" s="60"/>
      <c r="E217" s="58" t="s">
        <v>679</v>
      </c>
      <c r="I217" s="208" t="s">
        <v>387</v>
      </c>
      <c r="J217" s="209"/>
      <c r="K217" s="208" t="s">
        <v>387</v>
      </c>
    </row>
    <row r="218" spans="1:11" ht="12.75" x14ac:dyDescent="0.2">
      <c r="A218" s="283"/>
      <c r="B218" s="61"/>
      <c r="C218" s="60"/>
      <c r="D218" s="60"/>
      <c r="E218" s="189" t="s">
        <v>680</v>
      </c>
      <c r="I218" s="208" t="s">
        <v>387</v>
      </c>
      <c r="J218" s="209"/>
      <c r="K218" s="208" t="s">
        <v>387</v>
      </c>
    </row>
    <row r="219" spans="1:11" ht="12.75" x14ac:dyDescent="0.2">
      <c r="A219" s="112"/>
      <c r="I219" s="208" t="s">
        <v>387</v>
      </c>
      <c r="J219" s="209"/>
      <c r="K219" s="208" t="s">
        <v>387</v>
      </c>
    </row>
    <row r="220" spans="1:11" x14ac:dyDescent="0.2">
      <c r="A220" s="55" t="s">
        <v>11</v>
      </c>
      <c r="D220" s="1" t="s">
        <v>328</v>
      </c>
      <c r="E220" s="207" t="s">
        <v>1673</v>
      </c>
      <c r="F220" s="206" t="s">
        <v>1204</v>
      </c>
      <c r="G220" s="67">
        <v>0</v>
      </c>
      <c r="H220" s="206" t="s">
        <v>1205</v>
      </c>
      <c r="I220" s="208" t="s">
        <v>387</v>
      </c>
      <c r="J220" s="209"/>
      <c r="K220" s="208" t="s">
        <v>387</v>
      </c>
    </row>
    <row r="221" spans="1:11" x14ac:dyDescent="0.2">
      <c r="A221" s="73"/>
      <c r="E221" s="207" t="s">
        <v>1674</v>
      </c>
      <c r="I221" s="208" t="s">
        <v>387</v>
      </c>
      <c r="J221" s="209"/>
      <c r="K221" s="208" t="s">
        <v>387</v>
      </c>
    </row>
    <row r="222" spans="1:11" x14ac:dyDescent="0.2">
      <c r="A222" s="73"/>
      <c r="E222" s="207" t="s">
        <v>1675</v>
      </c>
      <c r="I222" s="208" t="s">
        <v>387</v>
      </c>
      <c r="J222" s="209"/>
      <c r="K222" s="208" t="s">
        <v>387</v>
      </c>
    </row>
    <row r="223" spans="1:11" x14ac:dyDescent="0.2">
      <c r="A223" s="73"/>
      <c r="E223" s="207" t="s">
        <v>1676</v>
      </c>
      <c r="I223" s="208" t="s">
        <v>387</v>
      </c>
      <c r="J223" s="209"/>
      <c r="K223" s="208" t="s">
        <v>387</v>
      </c>
    </row>
    <row r="224" spans="1:11" x14ac:dyDescent="0.2">
      <c r="A224" s="73"/>
      <c r="E224" s="207" t="s">
        <v>1203</v>
      </c>
      <c r="I224" s="208" t="s">
        <v>387</v>
      </c>
      <c r="J224" s="209"/>
      <c r="K224" s="208" t="s">
        <v>387</v>
      </c>
    </row>
    <row r="225" spans="1:14" x14ac:dyDescent="0.2">
      <c r="A225" s="73"/>
      <c r="E225" s="207" t="s">
        <v>1202</v>
      </c>
      <c r="I225" s="208" t="s">
        <v>387</v>
      </c>
      <c r="J225" s="209"/>
      <c r="K225" s="208" t="s">
        <v>387</v>
      </c>
    </row>
    <row r="226" spans="1:14" x14ac:dyDescent="0.2">
      <c r="A226" s="73"/>
      <c r="E226" s="207" t="s">
        <v>1201</v>
      </c>
      <c r="F226" s="247"/>
      <c r="G226" s="247"/>
      <c r="H226" s="247"/>
      <c r="I226" s="208" t="s">
        <v>387</v>
      </c>
      <c r="J226" s="209"/>
      <c r="K226" s="208" t="s">
        <v>387</v>
      </c>
    </row>
    <row r="227" spans="1:14" ht="12.75" x14ac:dyDescent="0.2">
      <c r="A227" s="283"/>
      <c r="B227" s="60"/>
      <c r="C227" s="61"/>
      <c r="D227" s="61"/>
      <c r="E227" s="58"/>
      <c r="I227" s="208" t="s">
        <v>387</v>
      </c>
      <c r="J227" s="209"/>
      <c r="K227" s="208" t="s">
        <v>387</v>
      </c>
    </row>
    <row r="228" spans="1:14" x14ac:dyDescent="0.2">
      <c r="A228" s="55" t="s">
        <v>1187</v>
      </c>
      <c r="B228" s="59" t="s">
        <v>671</v>
      </c>
      <c r="C228" s="58"/>
      <c r="D228" s="58" t="s">
        <v>328</v>
      </c>
      <c r="E228" s="83" t="s">
        <v>1206</v>
      </c>
      <c r="I228" s="208"/>
      <c r="J228" s="209"/>
      <c r="K228" s="208"/>
    </row>
    <row r="229" spans="1:14" ht="12.75" x14ac:dyDescent="0.2">
      <c r="A229" s="291"/>
      <c r="B229" s="60"/>
      <c r="C229" s="61"/>
      <c r="D229" s="61"/>
      <c r="E229" s="1" t="s">
        <v>1209</v>
      </c>
      <c r="F229" s="67">
        <v>0</v>
      </c>
      <c r="G229" s="67">
        <v>0</v>
      </c>
      <c r="H229" s="67">
        <v>4</v>
      </c>
      <c r="I229" s="208" t="s">
        <v>387</v>
      </c>
      <c r="J229" s="209"/>
      <c r="K229" s="208" t="s">
        <v>387</v>
      </c>
    </row>
    <row r="230" spans="1:14" ht="12.75" x14ac:dyDescent="0.2">
      <c r="A230" s="283"/>
      <c r="B230" s="60"/>
      <c r="C230" s="61"/>
      <c r="D230" s="61"/>
      <c r="E230" s="1" t="s">
        <v>1210</v>
      </c>
      <c r="I230" s="208" t="s">
        <v>387</v>
      </c>
      <c r="J230" s="209"/>
      <c r="K230" s="208" t="s">
        <v>387</v>
      </c>
    </row>
    <row r="231" spans="1:14" ht="12.75" x14ac:dyDescent="0.2">
      <c r="A231" s="283"/>
      <c r="B231" s="60"/>
      <c r="C231" s="61"/>
      <c r="D231" s="61"/>
      <c r="E231" s="1" t="s">
        <v>1207</v>
      </c>
      <c r="I231" s="208" t="s">
        <v>387</v>
      </c>
      <c r="J231" s="209"/>
      <c r="K231" s="208" t="s">
        <v>387</v>
      </c>
    </row>
    <row r="232" spans="1:14" ht="12.75" x14ac:dyDescent="0.2">
      <c r="A232" s="283"/>
      <c r="B232" s="60"/>
      <c r="C232" s="61"/>
      <c r="D232" s="61"/>
      <c r="E232" s="167" t="s">
        <v>1208</v>
      </c>
      <c r="I232" s="208" t="s">
        <v>387</v>
      </c>
      <c r="J232" s="209"/>
      <c r="K232" s="208" t="s">
        <v>387</v>
      </c>
    </row>
    <row r="233" spans="1:14" ht="12.75" x14ac:dyDescent="0.2">
      <c r="A233" s="283"/>
      <c r="B233" s="60"/>
      <c r="C233" s="61"/>
      <c r="D233" s="61"/>
      <c r="E233" s="61"/>
      <c r="I233" s="208" t="s">
        <v>387</v>
      </c>
      <c r="J233" s="209"/>
      <c r="K233" s="208" t="s">
        <v>387</v>
      </c>
    </row>
    <row r="234" spans="1:14" x14ac:dyDescent="0.2">
      <c r="A234" s="102" t="s">
        <v>1198</v>
      </c>
      <c r="B234" s="59" t="s">
        <v>671</v>
      </c>
      <c r="C234" s="58"/>
      <c r="D234" s="58" t="s">
        <v>328</v>
      </c>
      <c r="E234" s="83" t="s">
        <v>1206</v>
      </c>
      <c r="I234" s="208" t="s">
        <v>387</v>
      </c>
      <c r="J234" s="209"/>
      <c r="K234" s="208" t="s">
        <v>387</v>
      </c>
    </row>
    <row r="235" spans="1:14" ht="12.75" x14ac:dyDescent="0.2">
      <c r="A235" s="112"/>
      <c r="B235" s="60"/>
      <c r="C235" s="61"/>
      <c r="D235" s="61"/>
      <c r="E235" s="1" t="s">
        <v>1209</v>
      </c>
      <c r="F235" s="67">
        <v>0</v>
      </c>
      <c r="G235" s="67">
        <v>0</v>
      </c>
      <c r="H235" s="67">
        <v>4</v>
      </c>
      <c r="I235" s="208" t="s">
        <v>387</v>
      </c>
      <c r="J235" s="209"/>
      <c r="K235" s="208" t="s">
        <v>387</v>
      </c>
    </row>
    <row r="236" spans="1:14" ht="12.75" x14ac:dyDescent="0.2">
      <c r="A236" s="291"/>
      <c r="B236" s="60"/>
      <c r="C236" s="61"/>
      <c r="D236" s="61"/>
      <c r="E236" s="1" t="s">
        <v>1210</v>
      </c>
      <c r="I236" s="208" t="s">
        <v>387</v>
      </c>
      <c r="J236" s="209"/>
      <c r="K236" s="208" t="s">
        <v>387</v>
      </c>
    </row>
    <row r="237" spans="1:14" ht="12.75" x14ac:dyDescent="0.2">
      <c r="A237" s="73"/>
      <c r="B237" s="60"/>
      <c r="C237" s="61"/>
      <c r="D237" s="61"/>
      <c r="E237" s="1" t="s">
        <v>1207</v>
      </c>
      <c r="I237" s="208" t="s">
        <v>387</v>
      </c>
      <c r="J237" s="209"/>
      <c r="K237" s="208" t="s">
        <v>387</v>
      </c>
    </row>
    <row r="238" spans="1:14" ht="12.75" x14ac:dyDescent="0.2">
      <c r="A238" s="73"/>
      <c r="B238" s="60"/>
      <c r="C238" s="61"/>
      <c r="D238" s="61"/>
      <c r="E238" s="167" t="s">
        <v>1208</v>
      </c>
      <c r="I238" s="208" t="s">
        <v>387</v>
      </c>
      <c r="J238" s="209"/>
      <c r="K238" s="208" t="s">
        <v>387</v>
      </c>
    </row>
    <row r="239" spans="1:14" x14ac:dyDescent="0.2">
      <c r="A239" s="73"/>
      <c r="I239" s="208" t="s">
        <v>387</v>
      </c>
      <c r="J239" s="209"/>
      <c r="K239" s="208" t="s">
        <v>387</v>
      </c>
      <c r="M239" s="244"/>
      <c r="N239" s="244"/>
    </row>
    <row r="240" spans="1:14" x14ac:dyDescent="0.2">
      <c r="A240" s="55" t="s">
        <v>383</v>
      </c>
      <c r="B240" s="59" t="s">
        <v>671</v>
      </c>
      <c r="C240" s="83"/>
      <c r="D240" s="58" t="s">
        <v>328</v>
      </c>
      <c r="E240" s="58" t="s">
        <v>1212</v>
      </c>
      <c r="F240" s="67">
        <v>0</v>
      </c>
      <c r="G240" s="67">
        <v>0</v>
      </c>
      <c r="H240" s="67">
        <v>1</v>
      </c>
      <c r="I240" s="208" t="s">
        <v>387</v>
      </c>
      <c r="J240" s="209"/>
      <c r="K240" s="208" t="s">
        <v>387</v>
      </c>
      <c r="M240" s="244"/>
      <c r="N240" s="244"/>
    </row>
    <row r="241" spans="1:14" ht="12.75" x14ac:dyDescent="0.2">
      <c r="A241" s="291"/>
      <c r="B241" s="60"/>
      <c r="C241" s="61"/>
      <c r="D241" s="61"/>
      <c r="E241" s="58" t="s">
        <v>217</v>
      </c>
      <c r="I241" s="208" t="s">
        <v>387</v>
      </c>
      <c r="J241" s="209"/>
      <c r="K241" s="208" t="s">
        <v>387</v>
      </c>
      <c r="M241" s="244"/>
      <c r="N241" s="244"/>
    </row>
    <row r="242" spans="1:14" ht="12.75" x14ac:dyDescent="0.2">
      <c r="A242" s="283"/>
      <c r="B242" s="60"/>
      <c r="C242" s="61"/>
      <c r="D242" s="61"/>
      <c r="E242" s="58" t="s">
        <v>218</v>
      </c>
      <c r="I242" s="208" t="s">
        <v>387</v>
      </c>
      <c r="J242" s="209"/>
      <c r="K242" s="208" t="s">
        <v>387</v>
      </c>
      <c r="M242" s="244"/>
      <c r="N242" s="244"/>
    </row>
    <row r="243" spans="1:14" x14ac:dyDescent="0.2">
      <c r="A243" s="73"/>
      <c r="I243" s="208" t="s">
        <v>387</v>
      </c>
      <c r="J243" s="209"/>
      <c r="K243" s="208" t="s">
        <v>387</v>
      </c>
      <c r="M243" s="244"/>
      <c r="N243" s="244"/>
    </row>
    <row r="244" spans="1:14" x14ac:dyDescent="0.2">
      <c r="A244" s="55" t="s">
        <v>1213</v>
      </c>
      <c r="B244" s="59" t="s">
        <v>671</v>
      </c>
      <c r="C244" s="83"/>
      <c r="D244" s="58" t="s">
        <v>328</v>
      </c>
      <c r="E244" s="272" t="s">
        <v>1214</v>
      </c>
      <c r="F244" s="67">
        <v>255</v>
      </c>
      <c r="G244" s="67">
        <v>0</v>
      </c>
      <c r="H244" s="67">
        <v>255</v>
      </c>
      <c r="I244" s="208" t="s">
        <v>387</v>
      </c>
      <c r="J244" s="209"/>
      <c r="K244" s="208" t="s">
        <v>387</v>
      </c>
      <c r="M244" s="244"/>
      <c r="N244" s="244"/>
    </row>
    <row r="245" spans="1:14" x14ac:dyDescent="0.2">
      <c r="A245" s="3" t="s">
        <v>1226</v>
      </c>
      <c r="E245" s="58" t="s">
        <v>1001</v>
      </c>
      <c r="I245" s="208" t="s">
        <v>387</v>
      </c>
      <c r="J245" s="209"/>
      <c r="K245" s="208" t="s">
        <v>387</v>
      </c>
      <c r="M245" s="244"/>
      <c r="N245" s="244"/>
    </row>
    <row r="246" spans="1:14" x14ac:dyDescent="0.2">
      <c r="A246" s="73"/>
      <c r="E246" s="58" t="s">
        <v>1177</v>
      </c>
      <c r="I246" s="208" t="s">
        <v>387</v>
      </c>
      <c r="J246" s="209"/>
      <c r="K246" s="208" t="s">
        <v>387</v>
      </c>
      <c r="M246" s="244"/>
      <c r="N246" s="244"/>
    </row>
    <row r="247" spans="1:14" x14ac:dyDescent="0.2">
      <c r="A247" s="73"/>
      <c r="E247" s="58" t="s">
        <v>1003</v>
      </c>
      <c r="I247" s="208" t="s">
        <v>387</v>
      </c>
      <c r="J247" s="209"/>
      <c r="K247" s="208" t="s">
        <v>387</v>
      </c>
      <c r="M247" s="244"/>
      <c r="N247" s="244"/>
    </row>
    <row r="248" spans="1:14" x14ac:dyDescent="0.2">
      <c r="A248" s="73"/>
      <c r="E248" s="58" t="s">
        <v>1004</v>
      </c>
      <c r="I248" s="208" t="s">
        <v>387</v>
      </c>
      <c r="J248" s="209"/>
      <c r="K248" s="208" t="s">
        <v>387</v>
      </c>
      <c r="M248" s="244"/>
      <c r="N248" s="244"/>
    </row>
    <row r="249" spans="1:14" ht="12.75" x14ac:dyDescent="0.2">
      <c r="A249" s="283"/>
      <c r="B249" s="61"/>
      <c r="C249" s="60"/>
      <c r="D249" s="61"/>
      <c r="E249" s="58" t="s">
        <v>1178</v>
      </c>
      <c r="I249" s="208" t="s">
        <v>387</v>
      </c>
      <c r="J249" s="209"/>
      <c r="K249" s="208" t="s">
        <v>387</v>
      </c>
      <c r="M249" s="244"/>
      <c r="N249" s="244"/>
    </row>
    <row r="250" spans="1:14" ht="12.75" x14ac:dyDescent="0.2">
      <c r="A250" s="292"/>
      <c r="B250" s="61"/>
      <c r="C250" s="60"/>
      <c r="D250" s="61"/>
      <c r="E250" s="58" t="s">
        <v>1006</v>
      </c>
      <c r="I250" s="208" t="s">
        <v>387</v>
      </c>
      <c r="J250" s="209"/>
      <c r="K250" s="208" t="s">
        <v>387</v>
      </c>
      <c r="M250" s="244"/>
      <c r="N250" s="244"/>
    </row>
    <row r="251" spans="1:14" ht="12.75" x14ac:dyDescent="0.2">
      <c r="A251" s="292"/>
      <c r="B251" s="60"/>
      <c r="C251" s="61"/>
      <c r="D251" s="61"/>
      <c r="E251" s="58" t="s">
        <v>1179</v>
      </c>
      <c r="I251" s="208" t="s">
        <v>387</v>
      </c>
      <c r="J251" s="209"/>
      <c r="K251" s="208" t="s">
        <v>387</v>
      </c>
      <c r="M251" s="244"/>
      <c r="N251" s="244"/>
    </row>
    <row r="252" spans="1:14" ht="12.75" x14ac:dyDescent="0.2">
      <c r="A252" s="293"/>
      <c r="B252" s="60"/>
      <c r="C252" s="61"/>
      <c r="D252" s="61"/>
      <c r="E252" s="58"/>
      <c r="I252" s="208" t="s">
        <v>387</v>
      </c>
      <c r="J252" s="209"/>
      <c r="K252" s="208" t="s">
        <v>387</v>
      </c>
      <c r="M252" s="244"/>
      <c r="N252" s="244"/>
    </row>
    <row r="253" spans="1:14" x14ac:dyDescent="0.2">
      <c r="A253" s="293"/>
      <c r="B253" s="59" t="s">
        <v>671</v>
      </c>
      <c r="C253" s="83"/>
      <c r="D253" s="58" t="s">
        <v>328</v>
      </c>
      <c r="E253" s="271" t="s">
        <v>1215</v>
      </c>
      <c r="I253" s="208" t="s">
        <v>387</v>
      </c>
      <c r="J253" s="209"/>
      <c r="K253" s="208" t="s">
        <v>387</v>
      </c>
      <c r="M253" s="244"/>
      <c r="N253" s="244"/>
    </row>
    <row r="254" spans="1:14" ht="12.75" x14ac:dyDescent="0.2">
      <c r="A254" s="292"/>
      <c r="B254" s="60"/>
      <c r="C254" s="61"/>
      <c r="D254" s="61"/>
      <c r="E254" s="326" t="s">
        <v>1668</v>
      </c>
      <c r="F254" s="67">
        <v>0</v>
      </c>
      <c r="G254" s="67">
        <v>0</v>
      </c>
      <c r="H254" s="67">
        <v>255</v>
      </c>
      <c r="I254" s="208" t="s">
        <v>387</v>
      </c>
      <c r="J254" s="209"/>
      <c r="K254" s="208" t="s">
        <v>387</v>
      </c>
      <c r="M254" s="244"/>
      <c r="N254" s="244"/>
    </row>
    <row r="255" spans="1:14" ht="12.75" x14ac:dyDescent="0.2">
      <c r="A255" s="294"/>
      <c r="E255" s="326" t="s">
        <v>1669</v>
      </c>
      <c r="I255" s="208" t="s">
        <v>387</v>
      </c>
      <c r="J255" s="209"/>
      <c r="K255" s="208" t="s">
        <v>387</v>
      </c>
      <c r="M255" s="244"/>
      <c r="N255" s="244"/>
    </row>
    <row r="256" spans="1:14" x14ac:dyDescent="0.2">
      <c r="A256" s="295"/>
      <c r="E256" s="326" t="s">
        <v>1670</v>
      </c>
      <c r="F256" s="247"/>
      <c r="G256" s="247"/>
      <c r="H256" s="247"/>
      <c r="I256" s="208" t="s">
        <v>387</v>
      </c>
      <c r="J256" s="209"/>
      <c r="K256" s="208" t="s">
        <v>387</v>
      </c>
      <c r="M256" s="244"/>
      <c r="N256" s="244"/>
    </row>
    <row r="257" spans="1:14" x14ac:dyDescent="0.2">
      <c r="A257" s="295"/>
      <c r="E257" s="326" t="s">
        <v>1671</v>
      </c>
      <c r="I257" s="208" t="s">
        <v>387</v>
      </c>
      <c r="J257" s="209"/>
      <c r="K257" s="208" t="s">
        <v>387</v>
      </c>
      <c r="M257" s="244"/>
      <c r="N257" s="244"/>
    </row>
    <row r="258" spans="1:14" x14ac:dyDescent="0.2">
      <c r="A258" s="295"/>
      <c r="E258" s="326" t="s">
        <v>1672</v>
      </c>
      <c r="I258" s="208" t="s">
        <v>387</v>
      </c>
      <c r="J258" s="209"/>
      <c r="K258" s="208" t="s">
        <v>387</v>
      </c>
      <c r="M258" s="244"/>
      <c r="N258" s="244"/>
    </row>
    <row r="259" spans="1:14" x14ac:dyDescent="0.2">
      <c r="A259" s="295"/>
      <c r="E259" s="1" t="s">
        <v>1916</v>
      </c>
      <c r="I259" s="208" t="s">
        <v>387</v>
      </c>
      <c r="J259" s="209"/>
      <c r="K259" s="208" t="s">
        <v>387</v>
      </c>
      <c r="M259" s="244"/>
      <c r="N259" s="244"/>
    </row>
    <row r="260" spans="1:14" x14ac:dyDescent="0.2">
      <c r="A260" s="295"/>
      <c r="E260" s="326" t="s">
        <v>1179</v>
      </c>
      <c r="I260" s="208" t="s">
        <v>387</v>
      </c>
      <c r="J260" s="209"/>
      <c r="K260" s="208" t="s">
        <v>387</v>
      </c>
      <c r="M260" s="244"/>
      <c r="N260" s="244"/>
    </row>
    <row r="261" spans="1:14" x14ac:dyDescent="0.2">
      <c r="A261" s="295"/>
      <c r="I261" s="208" t="s">
        <v>387</v>
      </c>
      <c r="J261" s="209"/>
      <c r="K261" s="208" t="s">
        <v>387</v>
      </c>
      <c r="M261" s="244"/>
      <c r="N261" s="244"/>
    </row>
    <row r="262" spans="1:14" x14ac:dyDescent="0.2">
      <c r="A262" s="295"/>
      <c r="B262" s="59" t="s">
        <v>671</v>
      </c>
      <c r="C262" s="83"/>
      <c r="D262" s="58" t="s">
        <v>328</v>
      </c>
      <c r="E262" s="272" t="s">
        <v>1216</v>
      </c>
      <c r="I262" s="208" t="s">
        <v>387</v>
      </c>
      <c r="J262" s="209"/>
      <c r="K262" s="208" t="s">
        <v>387</v>
      </c>
      <c r="M262" s="244"/>
      <c r="N262" s="244"/>
    </row>
    <row r="263" spans="1:14" x14ac:dyDescent="0.2">
      <c r="A263" s="295"/>
      <c r="E263" s="207" t="s">
        <v>1217</v>
      </c>
      <c r="F263" s="67">
        <v>0</v>
      </c>
      <c r="G263" s="67">
        <v>0</v>
      </c>
      <c r="H263" s="67">
        <v>15</v>
      </c>
      <c r="I263" s="208" t="s">
        <v>387</v>
      </c>
      <c r="J263" s="209"/>
      <c r="K263" s="208" t="s">
        <v>387</v>
      </c>
      <c r="M263" s="244"/>
      <c r="N263" s="244"/>
    </row>
    <row r="264" spans="1:14" x14ac:dyDescent="0.2">
      <c r="A264" s="295"/>
      <c r="I264" s="208" t="s">
        <v>387</v>
      </c>
      <c r="J264" s="209"/>
      <c r="K264" s="208" t="s">
        <v>387</v>
      </c>
      <c r="M264" s="244"/>
      <c r="N264" s="244"/>
    </row>
    <row r="265" spans="1:14" x14ac:dyDescent="0.2">
      <c r="A265" s="295"/>
      <c r="B265" s="59" t="s">
        <v>671</v>
      </c>
      <c r="C265" s="83"/>
      <c r="D265" s="58" t="s">
        <v>328</v>
      </c>
      <c r="E265" s="272" t="s">
        <v>1218</v>
      </c>
      <c r="I265" s="208" t="s">
        <v>387</v>
      </c>
      <c r="J265" s="209"/>
      <c r="K265" s="208" t="s">
        <v>387</v>
      </c>
      <c r="M265" s="244"/>
      <c r="N265" s="244"/>
    </row>
    <row r="266" spans="1:14" x14ac:dyDescent="0.2">
      <c r="A266" s="295"/>
      <c r="E266" s="58" t="s">
        <v>1219</v>
      </c>
      <c r="I266" s="208" t="s">
        <v>387</v>
      </c>
      <c r="J266" s="209"/>
      <c r="K266" s="208" t="s">
        <v>387</v>
      </c>
      <c r="M266" s="244"/>
      <c r="N266" s="244"/>
    </row>
    <row r="267" spans="1:14" x14ac:dyDescent="0.2">
      <c r="A267" s="295"/>
      <c r="E267" s="58" t="s">
        <v>1220</v>
      </c>
      <c r="I267" s="208" t="s">
        <v>387</v>
      </c>
      <c r="J267" s="209"/>
      <c r="K267" s="208" t="s">
        <v>387</v>
      </c>
      <c r="M267" s="244"/>
      <c r="N267" s="244"/>
    </row>
    <row r="268" spans="1:14" x14ac:dyDescent="0.2">
      <c r="A268" s="295"/>
      <c r="E268" s="58" t="s">
        <v>1221</v>
      </c>
      <c r="I268" s="208" t="s">
        <v>387</v>
      </c>
      <c r="J268" s="209"/>
      <c r="K268" s="208" t="s">
        <v>387</v>
      </c>
      <c r="M268" s="244"/>
      <c r="N268" s="244"/>
    </row>
    <row r="269" spans="1:14" x14ac:dyDescent="0.2">
      <c r="A269" s="295"/>
      <c r="E269" s="58" t="s">
        <v>1222</v>
      </c>
      <c r="I269" s="208" t="s">
        <v>387</v>
      </c>
      <c r="J269" s="209"/>
      <c r="K269" s="208" t="s">
        <v>387</v>
      </c>
      <c r="M269" s="244"/>
      <c r="N269" s="244"/>
    </row>
    <row r="270" spans="1:14" x14ac:dyDescent="0.2">
      <c r="A270" s="295"/>
      <c r="E270" s="58" t="s">
        <v>1223</v>
      </c>
      <c r="F270" s="247"/>
      <c r="G270" s="247"/>
      <c r="H270" s="247"/>
      <c r="I270" s="208" t="s">
        <v>387</v>
      </c>
      <c r="J270" s="209"/>
      <c r="K270" s="208" t="s">
        <v>387</v>
      </c>
      <c r="M270" s="244"/>
      <c r="N270" s="244"/>
    </row>
    <row r="271" spans="1:14" x14ac:dyDescent="0.2">
      <c r="A271" s="295"/>
      <c r="E271" s="58" t="s">
        <v>1224</v>
      </c>
      <c r="I271" s="208" t="s">
        <v>387</v>
      </c>
      <c r="J271" s="209"/>
      <c r="K271" s="208" t="s">
        <v>387</v>
      </c>
      <c r="M271" s="244"/>
      <c r="N271" s="244"/>
    </row>
    <row r="272" spans="1:14" ht="12.75" x14ac:dyDescent="0.2">
      <c r="A272" s="292"/>
      <c r="B272" s="61"/>
      <c r="C272" s="60"/>
      <c r="D272" s="61"/>
      <c r="E272" s="58"/>
      <c r="I272" s="208" t="s">
        <v>387</v>
      </c>
      <c r="J272" s="209"/>
      <c r="K272" s="208" t="s">
        <v>387</v>
      </c>
      <c r="M272" s="244"/>
      <c r="N272" s="244"/>
    </row>
    <row r="273" spans="1:14" ht="12.75" x14ac:dyDescent="0.2">
      <c r="A273" s="292"/>
      <c r="B273" s="59" t="s">
        <v>671</v>
      </c>
      <c r="C273" s="83"/>
      <c r="D273" s="58" t="s">
        <v>328</v>
      </c>
      <c r="E273" s="271" t="s">
        <v>1225</v>
      </c>
      <c r="F273" s="67">
        <v>0</v>
      </c>
      <c r="G273" s="67">
        <v>0</v>
      </c>
      <c r="H273" s="67">
        <v>1</v>
      </c>
      <c r="I273" s="208" t="s">
        <v>387</v>
      </c>
      <c r="J273" s="209"/>
      <c r="K273" s="208" t="s">
        <v>387</v>
      </c>
      <c r="M273" s="244"/>
      <c r="N273" s="244"/>
    </row>
    <row r="274" spans="1:14" ht="12.75" x14ac:dyDescent="0.2">
      <c r="A274" s="292"/>
      <c r="B274" s="60"/>
      <c r="C274" s="61"/>
      <c r="D274" s="61"/>
      <c r="E274" s="58" t="s">
        <v>1914</v>
      </c>
      <c r="I274" s="208" t="s">
        <v>387</v>
      </c>
      <c r="J274" s="209"/>
      <c r="K274" s="208" t="s">
        <v>387</v>
      </c>
      <c r="M274" s="244"/>
      <c r="N274" s="244"/>
    </row>
    <row r="275" spans="1:14" ht="12.75" x14ac:dyDescent="0.2">
      <c r="A275" s="292"/>
      <c r="B275" s="60"/>
      <c r="C275" s="61"/>
      <c r="D275" s="61"/>
      <c r="E275" s="270" t="s">
        <v>1915</v>
      </c>
      <c r="I275" s="208" t="s">
        <v>387</v>
      </c>
      <c r="J275" s="209"/>
      <c r="K275" s="208" t="s">
        <v>387</v>
      </c>
      <c r="M275" s="244"/>
      <c r="N275" s="244"/>
    </row>
    <row r="276" spans="1:14" ht="12.75" x14ac:dyDescent="0.2">
      <c r="A276" s="292"/>
      <c r="B276" s="60"/>
      <c r="C276" s="61"/>
      <c r="D276" s="61"/>
      <c r="E276" s="269"/>
      <c r="I276" s="208" t="s">
        <v>387</v>
      </c>
      <c r="J276" s="209"/>
      <c r="K276" s="208" t="s">
        <v>387</v>
      </c>
      <c r="M276" s="244"/>
      <c r="N276" s="244"/>
    </row>
    <row r="277" spans="1:14" x14ac:dyDescent="0.2">
      <c r="A277" s="55" t="s">
        <v>1189</v>
      </c>
      <c r="B277" s="67" t="s">
        <v>671</v>
      </c>
      <c r="D277" s="66" t="s">
        <v>385</v>
      </c>
      <c r="E277" s="68" t="s">
        <v>206</v>
      </c>
      <c r="I277" s="208" t="s">
        <v>387</v>
      </c>
      <c r="J277" s="209"/>
      <c r="K277" s="208" t="s">
        <v>387</v>
      </c>
      <c r="M277" s="244"/>
      <c r="N277" s="244"/>
    </row>
    <row r="278" spans="1:14" x14ac:dyDescent="0.2">
      <c r="A278" s="73"/>
      <c r="I278" s="208" t="s">
        <v>387</v>
      </c>
      <c r="J278" s="209"/>
      <c r="K278" s="208" t="s">
        <v>387</v>
      </c>
      <c r="M278" s="244"/>
      <c r="N278" s="244"/>
    </row>
    <row r="279" spans="1:14" x14ac:dyDescent="0.2">
      <c r="A279" s="3" t="s">
        <v>1227</v>
      </c>
      <c r="F279" s="67">
        <v>0</v>
      </c>
      <c r="G279" s="67">
        <v>0</v>
      </c>
      <c r="H279" s="206" t="s">
        <v>1230</v>
      </c>
      <c r="I279" s="208" t="s">
        <v>387</v>
      </c>
      <c r="J279" s="209"/>
      <c r="K279" s="208" t="s">
        <v>387</v>
      </c>
      <c r="M279" s="244"/>
      <c r="N279" s="244"/>
    </row>
    <row r="280" spans="1:14" x14ac:dyDescent="0.2">
      <c r="A280" s="73"/>
      <c r="I280" s="208" t="s">
        <v>387</v>
      </c>
      <c r="J280" s="209"/>
      <c r="K280" s="208" t="s">
        <v>387</v>
      </c>
      <c r="M280" s="244"/>
      <c r="N280" s="244"/>
    </row>
    <row r="281" spans="1:14" ht="22.5" x14ac:dyDescent="0.2">
      <c r="A281" s="296"/>
      <c r="B281" s="118"/>
      <c r="C281" s="119"/>
      <c r="E281" s="77" t="s">
        <v>331</v>
      </c>
      <c r="I281" s="208" t="s">
        <v>387</v>
      </c>
      <c r="J281" s="209"/>
      <c r="K281" s="208" t="s">
        <v>387</v>
      </c>
      <c r="M281" s="244"/>
      <c r="N281" s="244"/>
    </row>
    <row r="282" spans="1:14" x14ac:dyDescent="0.2">
      <c r="A282" s="296"/>
      <c r="B282" s="118"/>
      <c r="C282" s="119"/>
      <c r="E282" s="78" t="s">
        <v>333</v>
      </c>
      <c r="I282" s="208" t="s">
        <v>387</v>
      </c>
      <c r="J282" s="209"/>
      <c r="K282" s="208" t="s">
        <v>387</v>
      </c>
      <c r="M282" s="244"/>
      <c r="N282" s="244"/>
    </row>
    <row r="283" spans="1:14" x14ac:dyDescent="0.2">
      <c r="A283" s="296"/>
      <c r="B283" s="118"/>
      <c r="C283" s="119"/>
      <c r="E283" s="77" t="s">
        <v>386</v>
      </c>
      <c r="I283" s="208" t="s">
        <v>387</v>
      </c>
      <c r="J283" s="209"/>
      <c r="K283" s="208" t="s">
        <v>387</v>
      </c>
      <c r="M283" s="244"/>
      <c r="N283" s="244"/>
    </row>
    <row r="284" spans="1:14" x14ac:dyDescent="0.2">
      <c r="A284" s="296"/>
      <c r="B284" s="118"/>
      <c r="C284" s="119"/>
      <c r="E284" s="77" t="s">
        <v>332</v>
      </c>
      <c r="I284" s="208" t="s">
        <v>387</v>
      </c>
      <c r="J284" s="209"/>
      <c r="K284" s="208" t="s">
        <v>387</v>
      </c>
      <c r="M284" s="244"/>
      <c r="N284" s="244"/>
    </row>
    <row r="285" spans="1:14" x14ac:dyDescent="0.2">
      <c r="A285" s="296"/>
      <c r="B285" s="118"/>
      <c r="C285" s="119"/>
      <c r="E285" s="77" t="s">
        <v>332</v>
      </c>
      <c r="I285" s="208" t="s">
        <v>387</v>
      </c>
      <c r="J285" s="209"/>
      <c r="K285" s="208" t="s">
        <v>387</v>
      </c>
      <c r="M285" s="244"/>
      <c r="N285" s="244"/>
    </row>
    <row r="286" spans="1:14" x14ac:dyDescent="0.2">
      <c r="A286" s="296"/>
      <c r="B286" s="118"/>
      <c r="C286" s="119"/>
      <c r="E286" s="77" t="s">
        <v>332</v>
      </c>
      <c r="I286" s="208" t="s">
        <v>387</v>
      </c>
      <c r="J286" s="209"/>
      <c r="K286" s="208" t="s">
        <v>387</v>
      </c>
      <c r="M286" s="244"/>
      <c r="N286" s="244"/>
    </row>
    <row r="287" spans="1:14" x14ac:dyDescent="0.2">
      <c r="A287" s="296"/>
      <c r="B287" s="118"/>
      <c r="C287" s="119"/>
      <c r="E287" s="77" t="s">
        <v>332</v>
      </c>
      <c r="I287" s="208" t="s">
        <v>387</v>
      </c>
      <c r="J287" s="209"/>
      <c r="K287" s="208" t="s">
        <v>387</v>
      </c>
    </row>
    <row r="288" spans="1:14" x14ac:dyDescent="0.2">
      <c r="A288" s="296"/>
      <c r="B288" s="118"/>
      <c r="C288" s="119"/>
      <c r="E288" s="77" t="s">
        <v>332</v>
      </c>
      <c r="I288" s="208" t="s">
        <v>387</v>
      </c>
      <c r="J288" s="209"/>
      <c r="K288" s="208" t="s">
        <v>387</v>
      </c>
    </row>
    <row r="289" spans="1:11" x14ac:dyDescent="0.2">
      <c r="A289" s="296"/>
      <c r="B289" s="118"/>
      <c r="C289" s="119"/>
      <c r="E289" s="77" t="s">
        <v>332</v>
      </c>
      <c r="I289" s="208" t="s">
        <v>387</v>
      </c>
      <c r="J289" s="209"/>
      <c r="K289" s="208" t="s">
        <v>387</v>
      </c>
    </row>
    <row r="290" spans="1:11" x14ac:dyDescent="0.2">
      <c r="A290" s="296"/>
      <c r="B290" s="118"/>
      <c r="C290" s="119"/>
      <c r="E290" s="77" t="s">
        <v>332</v>
      </c>
      <c r="I290" s="208" t="s">
        <v>387</v>
      </c>
      <c r="J290" s="209"/>
      <c r="K290" s="208" t="s">
        <v>387</v>
      </c>
    </row>
    <row r="291" spans="1:11" x14ac:dyDescent="0.2">
      <c r="A291" s="296"/>
      <c r="B291" s="118"/>
      <c r="C291" s="119"/>
      <c r="E291" s="77" t="s">
        <v>332</v>
      </c>
      <c r="I291" s="208" t="s">
        <v>387</v>
      </c>
      <c r="J291" s="209"/>
      <c r="K291" s="208" t="s">
        <v>387</v>
      </c>
    </row>
    <row r="292" spans="1:11" x14ac:dyDescent="0.2">
      <c r="A292" s="296"/>
      <c r="B292" s="118"/>
      <c r="C292" s="119"/>
      <c r="E292" s="77" t="s">
        <v>332</v>
      </c>
      <c r="I292" s="208" t="s">
        <v>387</v>
      </c>
      <c r="J292" s="209"/>
      <c r="K292" s="208" t="s">
        <v>387</v>
      </c>
    </row>
    <row r="293" spans="1:11" x14ac:dyDescent="0.2">
      <c r="A293" s="296"/>
      <c r="B293" s="118"/>
      <c r="C293" s="119"/>
      <c r="E293" s="77" t="s">
        <v>332</v>
      </c>
      <c r="I293" s="208" t="s">
        <v>387</v>
      </c>
      <c r="J293" s="209"/>
      <c r="K293" s="208" t="s">
        <v>387</v>
      </c>
    </row>
    <row r="294" spans="1:11" x14ac:dyDescent="0.2">
      <c r="A294" s="296"/>
      <c r="B294" s="118"/>
      <c r="C294" s="119"/>
      <c r="E294" s="77" t="s">
        <v>332</v>
      </c>
      <c r="I294" s="208" t="s">
        <v>387</v>
      </c>
      <c r="J294" s="209"/>
      <c r="K294" s="208" t="s">
        <v>387</v>
      </c>
    </row>
    <row r="295" spans="1:11" x14ac:dyDescent="0.2">
      <c r="A295" s="296"/>
      <c r="B295" s="118"/>
      <c r="C295" s="119"/>
      <c r="E295" s="77" t="s">
        <v>332</v>
      </c>
      <c r="I295" s="208" t="s">
        <v>387</v>
      </c>
      <c r="J295" s="209"/>
      <c r="K295" s="208" t="s">
        <v>387</v>
      </c>
    </row>
    <row r="296" spans="1:11" x14ac:dyDescent="0.2">
      <c r="A296" s="296"/>
      <c r="B296" s="118"/>
      <c r="C296" s="119"/>
      <c r="E296" s="77" t="s">
        <v>332</v>
      </c>
      <c r="I296" s="208" t="s">
        <v>387</v>
      </c>
      <c r="J296" s="209"/>
      <c r="K296" s="208" t="s">
        <v>387</v>
      </c>
    </row>
    <row r="297" spans="1:11" x14ac:dyDescent="0.2">
      <c r="A297" s="296"/>
      <c r="B297" s="118"/>
      <c r="C297" s="119"/>
      <c r="E297" s="77" t="s">
        <v>332</v>
      </c>
      <c r="I297" s="208" t="s">
        <v>387</v>
      </c>
      <c r="J297" s="209"/>
      <c r="K297" s="208" t="s">
        <v>387</v>
      </c>
    </row>
    <row r="298" spans="1:11" x14ac:dyDescent="0.2">
      <c r="A298" s="296"/>
      <c r="B298" s="118"/>
      <c r="C298" s="119"/>
      <c r="E298" s="77" t="s">
        <v>332</v>
      </c>
      <c r="I298" s="208" t="s">
        <v>387</v>
      </c>
      <c r="J298" s="209"/>
      <c r="K298" s="208" t="s">
        <v>387</v>
      </c>
    </row>
    <row r="299" spans="1:11" x14ac:dyDescent="0.2">
      <c r="A299" s="73"/>
      <c r="I299" s="208" t="s">
        <v>387</v>
      </c>
      <c r="J299" s="209"/>
      <c r="K299" s="208" t="s">
        <v>387</v>
      </c>
    </row>
    <row r="300" spans="1:11" x14ac:dyDescent="0.2">
      <c r="A300" s="73" t="s">
        <v>341</v>
      </c>
      <c r="I300" s="208" t="s">
        <v>387</v>
      </c>
      <c r="J300" s="209"/>
      <c r="K300" s="208" t="s">
        <v>387</v>
      </c>
    </row>
    <row r="301" spans="1:11" x14ac:dyDescent="0.2">
      <c r="A301" s="73"/>
      <c r="I301" s="208" t="s">
        <v>387</v>
      </c>
      <c r="J301" s="209"/>
      <c r="K301" s="208" t="s">
        <v>387</v>
      </c>
    </row>
    <row r="302" spans="1:11" x14ac:dyDescent="0.2">
      <c r="A302" s="69" t="s">
        <v>255</v>
      </c>
      <c r="B302" s="70"/>
      <c r="C302" s="71"/>
      <c r="D302" s="71"/>
      <c r="E302" s="72"/>
      <c r="F302" s="70"/>
      <c r="G302" s="70"/>
      <c r="H302" s="70"/>
      <c r="I302" s="208" t="s">
        <v>387</v>
      </c>
      <c r="J302" s="209"/>
      <c r="K302" s="208" t="s">
        <v>387</v>
      </c>
    </row>
    <row r="303" spans="1:11" x14ac:dyDescent="0.2">
      <c r="A303" s="55" t="s">
        <v>315</v>
      </c>
      <c r="B303" s="67" t="s">
        <v>672</v>
      </c>
      <c r="D303" s="1" t="s">
        <v>1463</v>
      </c>
      <c r="E303" s="207" t="s">
        <v>1459</v>
      </c>
      <c r="F303" s="247">
        <v>0</v>
      </c>
      <c r="G303" s="247">
        <v>0</v>
      </c>
      <c r="H303" s="247">
        <v>63</v>
      </c>
      <c r="I303" s="208" t="s">
        <v>387</v>
      </c>
      <c r="J303" s="209"/>
      <c r="K303" s="208" t="s">
        <v>387</v>
      </c>
    </row>
    <row r="304" spans="1:11" x14ac:dyDescent="0.2">
      <c r="A304" s="73"/>
      <c r="I304" s="208" t="s">
        <v>387</v>
      </c>
      <c r="J304" s="209"/>
      <c r="K304" s="208" t="s">
        <v>387</v>
      </c>
    </row>
    <row r="305" spans="1:11" ht="11.25" customHeight="1" x14ac:dyDescent="0.2">
      <c r="A305" s="55" t="s">
        <v>1456</v>
      </c>
      <c r="B305" s="206" t="s">
        <v>672</v>
      </c>
      <c r="D305" s="1" t="s">
        <v>1463</v>
      </c>
      <c r="E305" s="207" t="s">
        <v>1460</v>
      </c>
      <c r="F305" s="67">
        <v>0</v>
      </c>
      <c r="G305" s="67">
        <v>0</v>
      </c>
      <c r="H305" s="67">
        <v>99</v>
      </c>
      <c r="I305" s="208" t="s">
        <v>387</v>
      </c>
      <c r="J305" s="209"/>
      <c r="K305" s="208" t="s">
        <v>387</v>
      </c>
    </row>
    <row r="306" spans="1:11" x14ac:dyDescent="0.2">
      <c r="A306" s="73"/>
      <c r="I306" s="208" t="s">
        <v>387</v>
      </c>
      <c r="J306" s="209"/>
      <c r="K306" s="208" t="s">
        <v>387</v>
      </c>
    </row>
    <row r="307" spans="1:11" x14ac:dyDescent="0.2">
      <c r="A307" s="55" t="s">
        <v>542</v>
      </c>
      <c r="B307" s="67" t="s">
        <v>671</v>
      </c>
      <c r="D307" s="66" t="s">
        <v>328</v>
      </c>
      <c r="E307" s="68" t="s">
        <v>203</v>
      </c>
      <c r="F307" s="67">
        <v>5</v>
      </c>
      <c r="G307" s="67">
        <v>2</v>
      </c>
      <c r="H307" s="67">
        <v>100</v>
      </c>
      <c r="I307" s="208" t="s">
        <v>387</v>
      </c>
      <c r="J307" s="209"/>
      <c r="K307" s="208" t="s">
        <v>387</v>
      </c>
    </row>
    <row r="308" spans="1:11" x14ac:dyDescent="0.2">
      <c r="A308" s="73"/>
      <c r="E308" s="68" t="s">
        <v>877</v>
      </c>
      <c r="I308" s="208" t="s">
        <v>387</v>
      </c>
      <c r="J308" s="209"/>
      <c r="K308" s="208" t="s">
        <v>387</v>
      </c>
    </row>
    <row r="309" spans="1:11" x14ac:dyDescent="0.2">
      <c r="A309" s="73"/>
      <c r="E309" s="68" t="s">
        <v>204</v>
      </c>
      <c r="I309" s="208" t="s">
        <v>387</v>
      </c>
      <c r="J309" s="209"/>
      <c r="K309" s="208" t="s">
        <v>387</v>
      </c>
    </row>
    <row r="310" spans="1:11" x14ac:dyDescent="0.2">
      <c r="A310" s="73"/>
      <c r="I310" s="208" t="s">
        <v>387</v>
      </c>
      <c r="J310" s="209"/>
      <c r="K310" s="208" t="s">
        <v>387</v>
      </c>
    </row>
    <row r="311" spans="1:11" x14ac:dyDescent="0.2">
      <c r="A311" s="55" t="s">
        <v>543</v>
      </c>
      <c r="B311" s="67" t="s">
        <v>671</v>
      </c>
      <c r="D311" s="66" t="s">
        <v>328</v>
      </c>
      <c r="E311" s="68" t="s">
        <v>202</v>
      </c>
      <c r="F311" s="67">
        <v>300</v>
      </c>
      <c r="G311" s="67">
        <v>120</v>
      </c>
      <c r="H311" s="67">
        <v>1800</v>
      </c>
      <c r="I311" s="208" t="s">
        <v>387</v>
      </c>
      <c r="J311" s="209"/>
      <c r="K311" s="208" t="s">
        <v>387</v>
      </c>
    </row>
    <row r="312" spans="1:11" x14ac:dyDescent="0.2">
      <c r="A312" s="73"/>
      <c r="E312" s="68" t="s">
        <v>877</v>
      </c>
      <c r="I312" s="208" t="s">
        <v>387</v>
      </c>
      <c r="J312" s="209"/>
      <c r="K312" s="208" t="s">
        <v>387</v>
      </c>
    </row>
    <row r="313" spans="1:11" x14ac:dyDescent="0.2">
      <c r="A313" s="73"/>
      <c r="I313" s="208" t="s">
        <v>387</v>
      </c>
      <c r="J313" s="209"/>
      <c r="K313" s="208" t="s">
        <v>387</v>
      </c>
    </row>
    <row r="314" spans="1:11" x14ac:dyDescent="0.2">
      <c r="A314" s="88" t="s">
        <v>363</v>
      </c>
      <c r="B314" s="59" t="s">
        <v>671</v>
      </c>
      <c r="C314" s="83"/>
      <c r="D314" s="58" t="s">
        <v>328</v>
      </c>
      <c r="E314" s="115" t="s">
        <v>384</v>
      </c>
      <c r="F314" s="67">
        <v>1</v>
      </c>
      <c r="G314" s="67">
        <v>1</v>
      </c>
      <c r="H314" s="67">
        <v>10</v>
      </c>
      <c r="I314" s="208" t="s">
        <v>387</v>
      </c>
      <c r="J314" s="209"/>
      <c r="K314" s="208" t="s">
        <v>387</v>
      </c>
    </row>
    <row r="315" spans="1:11" ht="12.75" x14ac:dyDescent="0.2">
      <c r="A315" s="89"/>
      <c r="B315" s="60"/>
      <c r="C315" s="61"/>
      <c r="D315" s="61"/>
      <c r="E315" s="68" t="s">
        <v>877</v>
      </c>
      <c r="I315" s="208" t="s">
        <v>387</v>
      </c>
      <c r="J315" s="209"/>
      <c r="K315" s="208" t="s">
        <v>387</v>
      </c>
    </row>
    <row r="316" spans="1:11" x14ac:dyDescent="0.2">
      <c r="E316" s="68" t="s">
        <v>204</v>
      </c>
      <c r="I316" s="208" t="s">
        <v>387</v>
      </c>
      <c r="J316" s="209"/>
      <c r="K316" s="208" t="s">
        <v>387</v>
      </c>
    </row>
    <row r="317" spans="1:11" ht="12.75" x14ac:dyDescent="0.2">
      <c r="A317" s="61"/>
      <c r="B317" s="60"/>
      <c r="C317" s="61"/>
      <c r="D317" s="61"/>
      <c r="E317" s="61"/>
      <c r="I317" s="208" t="s">
        <v>387</v>
      </c>
      <c r="J317" s="209"/>
      <c r="K317" s="208" t="s">
        <v>387</v>
      </c>
    </row>
    <row r="318" spans="1:11" x14ac:dyDescent="0.2">
      <c r="A318" s="88" t="s">
        <v>364</v>
      </c>
      <c r="B318" s="59" t="s">
        <v>671</v>
      </c>
      <c r="C318" s="83"/>
      <c r="D318" s="58" t="s">
        <v>328</v>
      </c>
      <c r="E318" s="58" t="s">
        <v>365</v>
      </c>
      <c r="F318" s="67">
        <v>1</v>
      </c>
      <c r="G318" s="67">
        <v>1</v>
      </c>
      <c r="H318" s="67">
        <v>8</v>
      </c>
      <c r="I318" s="208" t="s">
        <v>387</v>
      </c>
      <c r="J318" s="209"/>
      <c r="K318" s="208" t="s">
        <v>387</v>
      </c>
    </row>
    <row r="319" spans="1:11" x14ac:dyDescent="0.2">
      <c r="A319" s="90"/>
      <c r="B319" s="59"/>
      <c r="C319" s="83"/>
      <c r="D319" s="58"/>
      <c r="E319" s="68" t="s">
        <v>877</v>
      </c>
      <c r="I319" s="208" t="s">
        <v>387</v>
      </c>
      <c r="J319" s="209"/>
      <c r="K319" s="208" t="s">
        <v>387</v>
      </c>
    </row>
    <row r="320" spans="1:11" x14ac:dyDescent="0.2">
      <c r="A320" s="73"/>
      <c r="E320" s="68" t="s">
        <v>205</v>
      </c>
      <c r="I320" s="208" t="s">
        <v>387</v>
      </c>
      <c r="J320" s="209"/>
      <c r="K320" s="208" t="s">
        <v>387</v>
      </c>
    </row>
    <row r="321" spans="1:11" x14ac:dyDescent="0.2">
      <c r="A321" s="73"/>
      <c r="I321" s="208" t="s">
        <v>387</v>
      </c>
      <c r="J321" s="209"/>
      <c r="K321" s="208" t="s">
        <v>387</v>
      </c>
    </row>
    <row r="322" spans="1:11" x14ac:dyDescent="0.2">
      <c r="A322" s="55" t="s">
        <v>544</v>
      </c>
      <c r="B322" s="67" t="s">
        <v>671</v>
      </c>
      <c r="D322" s="66" t="s">
        <v>207</v>
      </c>
      <c r="E322" s="68" t="s">
        <v>878</v>
      </c>
      <c r="I322" s="208" t="s">
        <v>387</v>
      </c>
      <c r="J322" s="209"/>
      <c r="K322" s="208" t="s">
        <v>387</v>
      </c>
    </row>
    <row r="323" spans="1:11" x14ac:dyDescent="0.2">
      <c r="I323" s="208" t="s">
        <v>387</v>
      </c>
      <c r="J323" s="209"/>
      <c r="K323" s="208" t="s">
        <v>387</v>
      </c>
    </row>
    <row r="324" spans="1:11" x14ac:dyDescent="0.2">
      <c r="A324" s="88" t="s">
        <v>713</v>
      </c>
      <c r="B324" s="59" t="s">
        <v>671</v>
      </c>
      <c r="C324" s="83"/>
      <c r="D324" s="58" t="s">
        <v>328</v>
      </c>
      <c r="E324" s="58" t="s">
        <v>712</v>
      </c>
      <c r="F324" s="67">
        <v>0</v>
      </c>
      <c r="G324" s="67">
        <v>0</v>
      </c>
      <c r="H324" s="67">
        <v>9999</v>
      </c>
      <c r="I324" s="208" t="s">
        <v>387</v>
      </c>
      <c r="J324" s="209"/>
      <c r="K324" s="208" t="s">
        <v>387</v>
      </c>
    </row>
    <row r="325" spans="1:11" ht="12.75" x14ac:dyDescent="0.2">
      <c r="A325" s="61"/>
      <c r="B325" s="60"/>
      <c r="C325" s="62"/>
      <c r="D325" s="61"/>
      <c r="E325" s="61"/>
      <c r="I325" s="208" t="s">
        <v>387</v>
      </c>
      <c r="J325" s="209"/>
      <c r="K325" s="208" t="s">
        <v>387</v>
      </c>
    </row>
    <row r="326" spans="1:11" x14ac:dyDescent="0.2">
      <c r="A326" s="113" t="s">
        <v>192</v>
      </c>
      <c r="B326" s="59" t="s">
        <v>671</v>
      </c>
      <c r="C326" s="58"/>
      <c r="D326" s="58" t="s">
        <v>328</v>
      </c>
      <c r="E326" s="58" t="s">
        <v>193</v>
      </c>
      <c r="F326" s="67">
        <v>5</v>
      </c>
      <c r="G326" s="67">
        <v>1</v>
      </c>
      <c r="H326" s="67">
        <v>120</v>
      </c>
      <c r="I326" s="208" t="s">
        <v>387</v>
      </c>
      <c r="J326" s="209"/>
      <c r="K326" s="208" t="s">
        <v>387</v>
      </c>
    </row>
    <row r="327" spans="1:11" ht="12.75" x14ac:dyDescent="0.2">
      <c r="A327" s="90"/>
      <c r="B327" s="60"/>
      <c r="C327" s="61"/>
      <c r="D327" s="61"/>
      <c r="E327" s="58" t="s">
        <v>877</v>
      </c>
      <c r="I327" s="208" t="s">
        <v>387</v>
      </c>
      <c r="J327" s="209"/>
      <c r="K327" s="208" t="s">
        <v>387</v>
      </c>
    </row>
    <row r="328" spans="1:11" ht="12.75" x14ac:dyDescent="0.2">
      <c r="A328" s="90"/>
      <c r="B328" s="60"/>
      <c r="C328" s="61"/>
      <c r="D328" s="61"/>
      <c r="E328" s="58"/>
      <c r="I328" s="208" t="s">
        <v>387</v>
      </c>
      <c r="J328" s="209"/>
      <c r="K328" s="208" t="s">
        <v>387</v>
      </c>
    </row>
    <row r="329" spans="1:11" x14ac:dyDescent="0.2">
      <c r="A329" s="132" t="s">
        <v>789</v>
      </c>
      <c r="B329" s="67" t="s">
        <v>234</v>
      </c>
      <c r="D329" s="58" t="s">
        <v>328</v>
      </c>
      <c r="E329" s="68" t="s">
        <v>287</v>
      </c>
      <c r="F329" s="247"/>
      <c r="G329" s="247"/>
      <c r="H329" s="247"/>
      <c r="I329" s="208" t="s">
        <v>387</v>
      </c>
      <c r="J329" s="209"/>
      <c r="K329" s="208" t="s">
        <v>387</v>
      </c>
    </row>
    <row r="330" spans="1:11" x14ac:dyDescent="0.2">
      <c r="A330" s="8"/>
      <c r="D330" s="58"/>
      <c r="E330" s="68" t="s">
        <v>288</v>
      </c>
      <c r="I330" s="208" t="s">
        <v>387</v>
      </c>
      <c r="J330" s="209"/>
      <c r="K330" s="208" t="s">
        <v>387</v>
      </c>
    </row>
    <row r="331" spans="1:11" x14ac:dyDescent="0.2">
      <c r="A331" s="8"/>
      <c r="D331" s="58"/>
      <c r="E331" s="68" t="s">
        <v>289</v>
      </c>
      <c r="I331" s="208" t="s">
        <v>387</v>
      </c>
      <c r="J331" s="209"/>
      <c r="K331" s="208" t="s">
        <v>387</v>
      </c>
    </row>
    <row r="332" spans="1:11" x14ac:dyDescent="0.2">
      <c r="A332" s="8"/>
      <c r="D332" s="58"/>
      <c r="E332" s="207" t="s">
        <v>177</v>
      </c>
      <c r="I332" s="208" t="s">
        <v>387</v>
      </c>
      <c r="J332" s="209"/>
      <c r="K332" s="208" t="s">
        <v>387</v>
      </c>
    </row>
    <row r="333" spans="1:11" x14ac:dyDescent="0.2">
      <c r="A333" s="8"/>
      <c r="D333" s="58"/>
      <c r="E333" s="68" t="s">
        <v>612</v>
      </c>
      <c r="I333" s="208" t="s">
        <v>387</v>
      </c>
      <c r="J333" s="209"/>
      <c r="K333" s="208" t="s">
        <v>387</v>
      </c>
    </row>
    <row r="334" spans="1:11" x14ac:dyDescent="0.2">
      <c r="A334" s="8"/>
      <c r="D334" s="58"/>
      <c r="E334" s="207" t="s">
        <v>178</v>
      </c>
      <c r="I334" s="208" t="s">
        <v>387</v>
      </c>
      <c r="J334" s="209"/>
      <c r="K334" s="208" t="s">
        <v>387</v>
      </c>
    </row>
    <row r="335" spans="1:11" x14ac:dyDescent="0.2">
      <c r="A335" s="8"/>
      <c r="D335" s="58"/>
      <c r="E335" s="68" t="s">
        <v>613</v>
      </c>
      <c r="I335" s="208" t="s">
        <v>387</v>
      </c>
      <c r="J335" s="209"/>
      <c r="K335" s="208" t="s">
        <v>387</v>
      </c>
    </row>
    <row r="336" spans="1:11" x14ac:dyDescent="0.2">
      <c r="A336" s="8"/>
      <c r="D336" s="58"/>
      <c r="E336" s="68" t="s">
        <v>564</v>
      </c>
      <c r="I336" s="208" t="s">
        <v>387</v>
      </c>
      <c r="J336" s="209"/>
      <c r="K336" s="208" t="s">
        <v>387</v>
      </c>
    </row>
    <row r="337" spans="1:11" x14ac:dyDescent="0.2">
      <c r="A337" s="8"/>
      <c r="D337" s="58"/>
      <c r="E337" s="68" t="s">
        <v>565</v>
      </c>
      <c r="I337" s="208" t="s">
        <v>387</v>
      </c>
      <c r="J337" s="209"/>
      <c r="K337" s="208" t="s">
        <v>387</v>
      </c>
    </row>
    <row r="338" spans="1:11" x14ac:dyDescent="0.2">
      <c r="A338" s="8"/>
      <c r="D338" s="58"/>
      <c r="E338" s="68" t="s">
        <v>566</v>
      </c>
      <c r="I338" s="208" t="s">
        <v>387</v>
      </c>
      <c r="J338" s="209"/>
      <c r="K338" s="208" t="s">
        <v>387</v>
      </c>
    </row>
    <row r="339" spans="1:11" x14ac:dyDescent="0.2">
      <c r="A339" s="8"/>
      <c r="D339" s="58"/>
      <c r="E339" s="68" t="s">
        <v>567</v>
      </c>
      <c r="I339" s="208" t="s">
        <v>387</v>
      </c>
      <c r="J339" s="209"/>
      <c r="K339" s="208" t="s">
        <v>387</v>
      </c>
    </row>
    <row r="340" spans="1:11" x14ac:dyDescent="0.2">
      <c r="A340" s="8"/>
      <c r="D340" s="58"/>
      <c r="E340" s="68" t="s">
        <v>229</v>
      </c>
      <c r="I340" s="208" t="s">
        <v>387</v>
      </c>
      <c r="J340" s="209"/>
      <c r="K340" s="208" t="s">
        <v>387</v>
      </c>
    </row>
    <row r="341" spans="1:11" x14ac:dyDescent="0.2">
      <c r="A341" s="8"/>
      <c r="D341" s="58"/>
      <c r="E341" s="68" t="s">
        <v>228</v>
      </c>
      <c r="I341" s="208" t="s">
        <v>387</v>
      </c>
      <c r="J341" s="209"/>
      <c r="K341" s="208" t="s">
        <v>387</v>
      </c>
    </row>
    <row r="342" spans="1:11" ht="12.75" customHeight="1" x14ac:dyDescent="0.2">
      <c r="A342" s="8"/>
      <c r="D342" s="58"/>
      <c r="E342" s="68" t="s">
        <v>380</v>
      </c>
      <c r="I342" s="208" t="s">
        <v>387</v>
      </c>
      <c r="J342" s="209"/>
      <c r="K342" s="208" t="s">
        <v>387</v>
      </c>
    </row>
    <row r="343" spans="1:11" x14ac:dyDescent="0.2">
      <c r="A343" s="8"/>
      <c r="D343" s="58"/>
      <c r="E343" s="68" t="s">
        <v>649</v>
      </c>
      <c r="I343" s="208" t="s">
        <v>387</v>
      </c>
      <c r="J343" s="209"/>
      <c r="K343" s="208" t="s">
        <v>387</v>
      </c>
    </row>
    <row r="344" spans="1:11" x14ac:dyDescent="0.2">
      <c r="A344" s="8"/>
      <c r="D344" s="58"/>
      <c r="E344" s="68" t="s">
        <v>615</v>
      </c>
      <c r="I344" s="208" t="s">
        <v>387</v>
      </c>
      <c r="J344" s="209"/>
      <c r="K344" s="208" t="s">
        <v>387</v>
      </c>
    </row>
    <row r="345" spans="1:11" x14ac:dyDescent="0.2">
      <c r="A345" s="8"/>
      <c r="D345" s="58"/>
      <c r="I345" s="208" t="s">
        <v>387</v>
      </c>
      <c r="J345" s="209"/>
      <c r="K345" s="208" t="s">
        <v>387</v>
      </c>
    </row>
    <row r="346" spans="1:11" x14ac:dyDescent="0.2">
      <c r="A346" s="8"/>
      <c r="F346" s="247"/>
      <c r="G346" s="247"/>
      <c r="H346" s="247"/>
      <c r="I346" s="208" t="s">
        <v>387</v>
      </c>
      <c r="J346" s="209"/>
      <c r="K346" s="208" t="s">
        <v>387</v>
      </c>
    </row>
    <row r="347" spans="1:11" x14ac:dyDescent="0.2">
      <c r="A347" s="113" t="s">
        <v>605</v>
      </c>
      <c r="B347" s="67" t="s">
        <v>234</v>
      </c>
      <c r="D347" s="58" t="s">
        <v>328</v>
      </c>
      <c r="E347" s="207" t="s">
        <v>1986</v>
      </c>
      <c r="F347" s="67">
        <v>0</v>
      </c>
      <c r="G347" s="67">
        <v>0</v>
      </c>
      <c r="H347" s="67">
        <v>65535</v>
      </c>
      <c r="I347" s="208" t="s">
        <v>387</v>
      </c>
      <c r="J347" s="209"/>
      <c r="K347" s="208" t="s">
        <v>387</v>
      </c>
    </row>
    <row r="348" spans="1:11" x14ac:dyDescent="0.2">
      <c r="A348" s="8"/>
      <c r="D348" s="58"/>
      <c r="E348" s="68" t="s">
        <v>608</v>
      </c>
      <c r="I348" s="208" t="s">
        <v>387</v>
      </c>
      <c r="J348" s="209"/>
      <c r="K348" s="208" t="s">
        <v>387</v>
      </c>
    </row>
    <row r="349" spans="1:11" x14ac:dyDescent="0.2">
      <c r="A349" s="8"/>
      <c r="D349" s="58"/>
      <c r="E349" s="68" t="s">
        <v>609</v>
      </c>
      <c r="F349" s="247"/>
      <c r="G349" s="247"/>
      <c r="H349" s="247"/>
      <c r="I349" s="208" t="s">
        <v>387</v>
      </c>
      <c r="J349" s="209"/>
      <c r="K349" s="208" t="s">
        <v>387</v>
      </c>
    </row>
    <row r="350" spans="1:11" x14ac:dyDescent="0.2">
      <c r="A350" s="8"/>
      <c r="D350" s="58"/>
      <c r="E350" s="207" t="s">
        <v>176</v>
      </c>
      <c r="I350" s="208" t="s">
        <v>387</v>
      </c>
      <c r="J350" s="209"/>
      <c r="K350" s="208" t="s">
        <v>387</v>
      </c>
    </row>
    <row r="351" spans="1:11" x14ac:dyDescent="0.2">
      <c r="A351" s="8"/>
      <c r="D351" s="58"/>
      <c r="E351" s="207" t="s">
        <v>171</v>
      </c>
      <c r="I351" s="208" t="s">
        <v>387</v>
      </c>
      <c r="J351" s="209"/>
      <c r="K351" s="208" t="s">
        <v>387</v>
      </c>
    </row>
    <row r="352" spans="1:11" x14ac:dyDescent="0.2">
      <c r="A352" s="8"/>
      <c r="D352" s="58"/>
      <c r="E352" s="207" t="s">
        <v>175</v>
      </c>
      <c r="I352" s="208" t="s">
        <v>387</v>
      </c>
      <c r="J352" s="209"/>
      <c r="K352" s="208" t="s">
        <v>387</v>
      </c>
    </row>
    <row r="353" spans="1:11" x14ac:dyDescent="0.2">
      <c r="A353" s="8"/>
      <c r="D353" s="58"/>
      <c r="E353" s="207" t="s">
        <v>953</v>
      </c>
      <c r="I353" s="208" t="s">
        <v>387</v>
      </c>
      <c r="J353" s="209"/>
      <c r="K353" s="208" t="s">
        <v>387</v>
      </c>
    </row>
    <row r="354" spans="1:11" x14ac:dyDescent="0.2">
      <c r="A354" s="8"/>
      <c r="D354" s="58"/>
      <c r="E354" s="68" t="s">
        <v>954</v>
      </c>
      <c r="I354" s="208" t="s">
        <v>387</v>
      </c>
      <c r="J354" s="209"/>
      <c r="K354" s="208" t="s">
        <v>387</v>
      </c>
    </row>
    <row r="355" spans="1:11" x14ac:dyDescent="0.2">
      <c r="A355" s="8"/>
      <c r="D355" s="58"/>
      <c r="E355" s="68" t="s">
        <v>607</v>
      </c>
      <c r="I355" s="208" t="s">
        <v>387</v>
      </c>
      <c r="J355" s="209"/>
      <c r="K355" s="208" t="s">
        <v>387</v>
      </c>
    </row>
    <row r="356" spans="1:11" x14ac:dyDescent="0.2">
      <c r="A356" s="8"/>
      <c r="D356" s="58"/>
      <c r="E356" s="207" t="s">
        <v>172</v>
      </c>
      <c r="I356" s="208"/>
      <c r="J356" s="209"/>
      <c r="K356" s="208"/>
    </row>
    <row r="357" spans="1:11" x14ac:dyDescent="0.2">
      <c r="A357" s="8"/>
      <c r="D357" s="58"/>
      <c r="E357" s="207" t="s">
        <v>173</v>
      </c>
      <c r="I357" s="208"/>
      <c r="J357" s="209"/>
      <c r="K357" s="208"/>
    </row>
    <row r="358" spans="1:11" x14ac:dyDescent="0.2">
      <c r="A358" s="8"/>
      <c r="D358" s="58"/>
      <c r="E358" s="207" t="s">
        <v>174</v>
      </c>
      <c r="I358" s="208" t="s">
        <v>387</v>
      </c>
      <c r="J358" s="209"/>
      <c r="K358" s="208" t="s">
        <v>387</v>
      </c>
    </row>
    <row r="359" spans="1:11" x14ac:dyDescent="0.2">
      <c r="A359" s="8"/>
      <c r="D359" s="58"/>
      <c r="E359" s="207" t="s">
        <v>1677</v>
      </c>
      <c r="I359" s="208"/>
      <c r="J359" s="209"/>
      <c r="K359" s="208"/>
    </row>
    <row r="360" spans="1:11" x14ac:dyDescent="0.2">
      <c r="A360" s="8"/>
      <c r="D360" s="58"/>
      <c r="E360" s="207" t="s">
        <v>1678</v>
      </c>
      <c r="I360" s="208"/>
      <c r="J360" s="209"/>
      <c r="K360" s="208"/>
    </row>
    <row r="361" spans="1:11" x14ac:dyDescent="0.2">
      <c r="A361" s="8"/>
      <c r="D361" s="58"/>
      <c r="E361" s="207" t="s">
        <v>1679</v>
      </c>
      <c r="I361" s="208"/>
      <c r="J361" s="209"/>
      <c r="K361" s="208"/>
    </row>
    <row r="362" spans="1:11" x14ac:dyDescent="0.2">
      <c r="A362" s="8"/>
      <c r="D362" s="58"/>
      <c r="E362" s="207" t="s">
        <v>1680</v>
      </c>
      <c r="I362" s="208"/>
      <c r="J362" s="209"/>
      <c r="K362" s="208"/>
    </row>
    <row r="363" spans="1:11" x14ac:dyDescent="0.2">
      <c r="A363" s="8"/>
      <c r="D363" s="58"/>
      <c r="I363" s="208"/>
      <c r="J363" s="209"/>
      <c r="K363" s="208"/>
    </row>
    <row r="364" spans="1:11" x14ac:dyDescent="0.2">
      <c r="A364" s="8"/>
      <c r="D364" s="58"/>
      <c r="E364" s="68" t="s">
        <v>684</v>
      </c>
      <c r="I364" s="208" t="s">
        <v>387</v>
      </c>
      <c r="J364" s="209"/>
      <c r="K364" s="208" t="s">
        <v>387</v>
      </c>
    </row>
    <row r="365" spans="1:11" x14ac:dyDescent="0.2">
      <c r="A365" s="8"/>
      <c r="D365" s="58"/>
      <c r="E365" s="68" t="s">
        <v>685</v>
      </c>
      <c r="I365" s="208" t="s">
        <v>387</v>
      </c>
      <c r="J365" s="209"/>
      <c r="K365" s="208" t="s">
        <v>387</v>
      </c>
    </row>
    <row r="366" spans="1:11" x14ac:dyDescent="0.2">
      <c r="A366" s="8"/>
      <c r="D366" s="58"/>
      <c r="I366" s="208" t="s">
        <v>387</v>
      </c>
      <c r="J366" s="209"/>
      <c r="K366" s="208" t="s">
        <v>387</v>
      </c>
    </row>
    <row r="367" spans="1:11" x14ac:dyDescent="0.2">
      <c r="A367" s="113" t="s">
        <v>293</v>
      </c>
      <c r="B367" s="67" t="s">
        <v>234</v>
      </c>
      <c r="D367" s="58" t="s">
        <v>328</v>
      </c>
      <c r="E367" s="207" t="s">
        <v>169</v>
      </c>
      <c r="I367" s="208" t="s">
        <v>387</v>
      </c>
      <c r="J367" s="209"/>
      <c r="K367" s="208" t="s">
        <v>387</v>
      </c>
    </row>
    <row r="368" spans="1:11" x14ac:dyDescent="0.2">
      <c r="A368" s="8"/>
      <c r="D368" s="58"/>
      <c r="E368" s="207" t="s">
        <v>166</v>
      </c>
      <c r="I368" s="208" t="s">
        <v>387</v>
      </c>
      <c r="J368" s="209"/>
      <c r="K368" s="208" t="s">
        <v>387</v>
      </c>
    </row>
    <row r="369" spans="1:11" x14ac:dyDescent="0.2">
      <c r="A369" s="8"/>
      <c r="D369" s="58"/>
      <c r="E369" s="207" t="s">
        <v>167</v>
      </c>
      <c r="F369" s="247"/>
      <c r="G369" s="247"/>
      <c r="H369" s="247"/>
      <c r="I369" s="208" t="s">
        <v>387</v>
      </c>
      <c r="J369" s="209"/>
      <c r="K369" s="208" t="s">
        <v>387</v>
      </c>
    </row>
    <row r="370" spans="1:11" x14ac:dyDescent="0.2">
      <c r="A370" s="8"/>
      <c r="D370" s="58"/>
      <c r="E370" s="207" t="s">
        <v>168</v>
      </c>
      <c r="I370" s="208" t="s">
        <v>387</v>
      </c>
      <c r="J370" s="209"/>
      <c r="K370" s="208" t="s">
        <v>387</v>
      </c>
    </row>
    <row r="371" spans="1:11" x14ac:dyDescent="0.2">
      <c r="A371" s="8"/>
      <c r="D371" s="58"/>
      <c r="I371" s="208" t="s">
        <v>387</v>
      </c>
      <c r="J371" s="209"/>
      <c r="K371" s="208" t="s">
        <v>387</v>
      </c>
    </row>
    <row r="372" spans="1:11" x14ac:dyDescent="0.2">
      <c r="A372" s="8" t="s">
        <v>770</v>
      </c>
      <c r="B372" s="67" t="s">
        <v>234</v>
      </c>
      <c r="D372" s="58" t="s">
        <v>328</v>
      </c>
      <c r="E372" s="207" t="s">
        <v>170</v>
      </c>
      <c r="I372" s="208" t="s">
        <v>387</v>
      </c>
      <c r="J372" s="209"/>
      <c r="K372" s="208" t="s">
        <v>387</v>
      </c>
    </row>
    <row r="373" spans="1:11" x14ac:dyDescent="0.2">
      <c r="A373" s="8"/>
      <c r="D373" s="58"/>
      <c r="I373" s="208" t="s">
        <v>387</v>
      </c>
      <c r="J373" s="209"/>
      <c r="K373" s="208" t="s">
        <v>387</v>
      </c>
    </row>
    <row r="374" spans="1:11" x14ac:dyDescent="0.2">
      <c r="A374" s="8"/>
      <c r="D374" s="58"/>
      <c r="F374" s="247"/>
      <c r="G374" s="247"/>
      <c r="H374" s="247"/>
      <c r="I374" s="208" t="s">
        <v>387</v>
      </c>
      <c r="J374" s="209"/>
      <c r="K374" s="208" t="s">
        <v>387</v>
      </c>
    </row>
    <row r="375" spans="1:11" x14ac:dyDescent="0.2">
      <c r="A375" s="8"/>
      <c r="D375" s="58"/>
      <c r="I375" s="208" t="s">
        <v>387</v>
      </c>
      <c r="J375" s="209"/>
      <c r="K375" s="208" t="s">
        <v>387</v>
      </c>
    </row>
    <row r="376" spans="1:11" ht="22.5" x14ac:dyDescent="0.2">
      <c r="A376" s="133" t="s">
        <v>305</v>
      </c>
      <c r="B376" s="134" t="s">
        <v>234</v>
      </c>
      <c r="C376" s="135"/>
      <c r="D376" s="58" t="s">
        <v>328</v>
      </c>
      <c r="E376" s="68" t="s">
        <v>718</v>
      </c>
      <c r="I376" s="208" t="s">
        <v>387</v>
      </c>
      <c r="J376" s="209"/>
      <c r="K376" s="208" t="s">
        <v>387</v>
      </c>
    </row>
    <row r="377" spans="1:11" x14ac:dyDescent="0.2">
      <c r="A377" s="133"/>
      <c r="B377" s="134"/>
      <c r="C377" s="135"/>
      <c r="D377" s="58"/>
      <c r="I377" s="208" t="s">
        <v>387</v>
      </c>
      <c r="J377" s="209"/>
      <c r="K377" s="208" t="s">
        <v>387</v>
      </c>
    </row>
    <row r="378" spans="1:11" x14ac:dyDescent="0.2">
      <c r="A378" s="69" t="s">
        <v>256</v>
      </c>
      <c r="B378" s="70"/>
      <c r="C378" s="71"/>
      <c r="D378" s="71"/>
      <c r="E378" s="72"/>
      <c r="F378" s="70"/>
      <c r="G378" s="70"/>
      <c r="H378" s="70"/>
      <c r="I378" s="208" t="s">
        <v>387</v>
      </c>
      <c r="J378" s="209"/>
      <c r="K378" s="208" t="s">
        <v>387</v>
      </c>
    </row>
    <row r="379" spans="1:11" x14ac:dyDescent="0.2">
      <c r="A379" s="55" t="s">
        <v>696</v>
      </c>
      <c r="B379" s="67" t="s">
        <v>672</v>
      </c>
      <c r="D379" s="66" t="s">
        <v>328</v>
      </c>
      <c r="E379" s="68" t="s">
        <v>519</v>
      </c>
      <c r="F379" s="67">
        <v>0</v>
      </c>
      <c r="G379" s="67">
        <v>0</v>
      </c>
      <c r="H379" s="67">
        <v>6</v>
      </c>
      <c r="I379" s="208" t="s">
        <v>387</v>
      </c>
      <c r="J379" s="209"/>
      <c r="K379" s="208" t="s">
        <v>387</v>
      </c>
    </row>
    <row r="380" spans="1:11" x14ac:dyDescent="0.2">
      <c r="A380" s="73"/>
      <c r="E380" s="73" t="s">
        <v>351</v>
      </c>
      <c r="I380" s="208" t="s">
        <v>387</v>
      </c>
      <c r="J380" s="209"/>
      <c r="K380" s="208" t="s">
        <v>387</v>
      </c>
    </row>
    <row r="381" spans="1:11" x14ac:dyDescent="0.2">
      <c r="A381" s="73"/>
      <c r="E381" s="73" t="s">
        <v>352</v>
      </c>
      <c r="I381" s="208" t="s">
        <v>387</v>
      </c>
      <c r="J381" s="209"/>
      <c r="K381" s="208" t="s">
        <v>387</v>
      </c>
    </row>
    <row r="382" spans="1:11" ht="12.75" customHeight="1" x14ac:dyDescent="0.2">
      <c r="A382" s="73"/>
      <c r="E382" s="73" t="s">
        <v>316</v>
      </c>
      <c r="I382" s="208" t="s">
        <v>387</v>
      </c>
      <c r="J382" s="209"/>
      <c r="K382" s="208" t="s">
        <v>387</v>
      </c>
    </row>
    <row r="383" spans="1:11" x14ac:dyDescent="0.2">
      <c r="A383" s="73"/>
      <c r="E383" s="73" t="s">
        <v>317</v>
      </c>
      <c r="I383" s="208" t="s">
        <v>387</v>
      </c>
      <c r="J383" s="209"/>
      <c r="K383" s="208" t="s">
        <v>387</v>
      </c>
    </row>
    <row r="384" spans="1:11" x14ac:dyDescent="0.2">
      <c r="A384" s="73"/>
      <c r="E384" s="73" t="s">
        <v>318</v>
      </c>
      <c r="I384" s="208" t="s">
        <v>387</v>
      </c>
      <c r="J384" s="209"/>
      <c r="K384" s="208" t="s">
        <v>387</v>
      </c>
    </row>
    <row r="385" spans="1:11" x14ac:dyDescent="0.2">
      <c r="A385" s="73"/>
      <c r="E385" s="73" t="s">
        <v>319</v>
      </c>
      <c r="I385" s="208" t="s">
        <v>387</v>
      </c>
      <c r="J385" s="209"/>
      <c r="K385" s="208" t="s">
        <v>387</v>
      </c>
    </row>
    <row r="386" spans="1:11" x14ac:dyDescent="0.2">
      <c r="A386" s="73"/>
      <c r="E386" s="73" t="s">
        <v>320</v>
      </c>
      <c r="I386" s="208" t="s">
        <v>387</v>
      </c>
      <c r="J386" s="209"/>
      <c r="K386" s="208" t="s">
        <v>387</v>
      </c>
    </row>
    <row r="387" spans="1:11" x14ac:dyDescent="0.2">
      <c r="A387" s="73"/>
      <c r="E387" s="80"/>
      <c r="I387" s="208" t="s">
        <v>387</v>
      </c>
      <c r="J387" s="209"/>
      <c r="K387" s="208" t="s">
        <v>387</v>
      </c>
    </row>
    <row r="388" spans="1:11" x14ac:dyDescent="0.2">
      <c r="A388" s="73"/>
      <c r="E388" s="73"/>
      <c r="I388" s="208" t="s">
        <v>387</v>
      </c>
      <c r="J388" s="209"/>
      <c r="K388" s="208" t="s">
        <v>387</v>
      </c>
    </row>
    <row r="389" spans="1:11" x14ac:dyDescent="0.2">
      <c r="A389" s="55" t="s">
        <v>697</v>
      </c>
      <c r="B389" s="67" t="s">
        <v>672</v>
      </c>
      <c r="D389" s="66" t="s">
        <v>328</v>
      </c>
      <c r="E389" s="58" t="s">
        <v>891</v>
      </c>
      <c r="F389" s="67">
        <v>0</v>
      </c>
      <c r="G389" s="67">
        <v>0</v>
      </c>
      <c r="H389" s="67">
        <v>48</v>
      </c>
      <c r="I389" s="208" t="s">
        <v>387</v>
      </c>
      <c r="J389" s="209"/>
      <c r="K389" s="208" t="s">
        <v>387</v>
      </c>
    </row>
    <row r="390" spans="1:11" x14ac:dyDescent="0.2">
      <c r="A390" s="55"/>
      <c r="E390" s="58" t="s">
        <v>1684</v>
      </c>
      <c r="I390" s="208" t="s">
        <v>387</v>
      </c>
      <c r="J390" s="209"/>
      <c r="K390" s="208" t="s">
        <v>387</v>
      </c>
    </row>
    <row r="391" spans="1:11" x14ac:dyDescent="0.2">
      <c r="A391" s="55"/>
      <c r="E391" s="58" t="s">
        <v>1683</v>
      </c>
      <c r="I391" s="208" t="s">
        <v>387</v>
      </c>
      <c r="J391" s="209"/>
      <c r="K391" s="208" t="s">
        <v>387</v>
      </c>
    </row>
    <row r="392" spans="1:11" x14ac:dyDescent="0.2">
      <c r="A392" s="55"/>
      <c r="E392" s="58" t="s">
        <v>1682</v>
      </c>
      <c r="I392" s="208" t="s">
        <v>387</v>
      </c>
      <c r="J392" s="209"/>
      <c r="K392" s="208" t="s">
        <v>387</v>
      </c>
    </row>
    <row r="393" spans="1:11" x14ac:dyDescent="0.2">
      <c r="A393" s="55"/>
      <c r="E393" s="58" t="s">
        <v>1681</v>
      </c>
      <c r="I393" s="208" t="s">
        <v>387</v>
      </c>
      <c r="J393" s="209"/>
      <c r="K393" s="208" t="s">
        <v>387</v>
      </c>
    </row>
    <row r="394" spans="1:11" x14ac:dyDescent="0.2">
      <c r="A394" s="55"/>
      <c r="E394" s="58" t="s">
        <v>1685</v>
      </c>
      <c r="I394" s="208" t="s">
        <v>387</v>
      </c>
      <c r="J394" s="209"/>
      <c r="K394" s="208" t="s">
        <v>387</v>
      </c>
    </row>
    <row r="395" spans="1:11" x14ac:dyDescent="0.2">
      <c r="A395" s="73"/>
      <c r="E395" s="58" t="s">
        <v>1686</v>
      </c>
      <c r="I395" s="208" t="s">
        <v>387</v>
      </c>
      <c r="J395" s="209"/>
      <c r="K395" s="208" t="s">
        <v>387</v>
      </c>
    </row>
    <row r="396" spans="1:11" x14ac:dyDescent="0.2">
      <c r="A396" s="73"/>
      <c r="E396" s="58" t="s">
        <v>1722</v>
      </c>
      <c r="I396" s="208" t="s">
        <v>387</v>
      </c>
      <c r="J396" s="209"/>
      <c r="K396" s="208" t="s">
        <v>387</v>
      </c>
    </row>
    <row r="397" spans="1:11" x14ac:dyDescent="0.2">
      <c r="A397" s="73"/>
      <c r="E397" s="2" t="s">
        <v>1723</v>
      </c>
      <c r="I397" s="208" t="s">
        <v>387</v>
      </c>
      <c r="J397" s="209"/>
      <c r="K397" s="208" t="s">
        <v>387</v>
      </c>
    </row>
    <row r="398" spans="1:11" x14ac:dyDescent="0.2">
      <c r="A398" s="73"/>
      <c r="I398" s="208" t="s">
        <v>387</v>
      </c>
      <c r="J398" s="209"/>
      <c r="K398" s="208" t="s">
        <v>387</v>
      </c>
    </row>
    <row r="399" spans="1:11" x14ac:dyDescent="0.2">
      <c r="A399" s="55" t="s">
        <v>901</v>
      </c>
      <c r="B399" s="67" t="s">
        <v>672</v>
      </c>
      <c r="D399" s="66" t="s">
        <v>328</v>
      </c>
      <c r="E399" s="68" t="s">
        <v>757</v>
      </c>
      <c r="F399" s="67">
        <v>1</v>
      </c>
      <c r="G399" s="67">
        <v>1</v>
      </c>
      <c r="H399" s="67">
        <v>12</v>
      </c>
      <c r="I399" s="208" t="s">
        <v>387</v>
      </c>
      <c r="J399" s="209"/>
      <c r="K399" s="208" t="s">
        <v>387</v>
      </c>
    </row>
    <row r="400" spans="1:11" x14ac:dyDescent="0.2">
      <c r="A400" s="73"/>
      <c r="E400" s="79"/>
      <c r="I400" s="208" t="s">
        <v>387</v>
      </c>
      <c r="J400" s="209"/>
      <c r="K400" s="208" t="s">
        <v>387</v>
      </c>
    </row>
    <row r="401" spans="1:11" x14ac:dyDescent="0.2">
      <c r="A401" s="55" t="s">
        <v>902</v>
      </c>
      <c r="B401" s="67" t="s">
        <v>672</v>
      </c>
      <c r="D401" s="66" t="s">
        <v>328</v>
      </c>
      <c r="E401" s="68" t="s">
        <v>900</v>
      </c>
      <c r="F401" s="67">
        <v>1</v>
      </c>
      <c r="G401" s="67">
        <v>1</v>
      </c>
      <c r="H401" s="67">
        <v>32</v>
      </c>
      <c r="I401" s="208" t="s">
        <v>387</v>
      </c>
      <c r="J401" s="209"/>
      <c r="K401" s="208" t="s">
        <v>387</v>
      </c>
    </row>
    <row r="402" spans="1:11" x14ac:dyDescent="0.2">
      <c r="A402" s="73"/>
      <c r="E402" s="79"/>
      <c r="I402" s="208" t="s">
        <v>387</v>
      </c>
      <c r="J402" s="209"/>
      <c r="K402" s="208" t="s">
        <v>387</v>
      </c>
    </row>
    <row r="403" spans="1:11" x14ac:dyDescent="0.2">
      <c r="A403" s="91" t="s">
        <v>359</v>
      </c>
      <c r="B403" s="59" t="s">
        <v>672</v>
      </c>
      <c r="C403" s="83"/>
      <c r="D403" s="58" t="s">
        <v>328</v>
      </c>
      <c r="E403" s="58" t="s">
        <v>349</v>
      </c>
      <c r="F403" s="67">
        <v>0</v>
      </c>
      <c r="G403" s="67">
        <v>0</v>
      </c>
      <c r="H403" s="67">
        <v>23</v>
      </c>
      <c r="I403" s="208" t="s">
        <v>387</v>
      </c>
      <c r="J403" s="209"/>
      <c r="K403" s="208" t="s">
        <v>387</v>
      </c>
    </row>
    <row r="404" spans="1:11" ht="12.75" x14ac:dyDescent="0.2">
      <c r="A404" s="89"/>
      <c r="B404" s="60"/>
      <c r="C404" s="61"/>
      <c r="D404" s="61"/>
      <c r="E404" s="61"/>
      <c r="I404" s="208" t="s">
        <v>387</v>
      </c>
      <c r="J404" s="209"/>
      <c r="K404" s="208" t="s">
        <v>387</v>
      </c>
    </row>
    <row r="405" spans="1:11" x14ac:dyDescent="0.2">
      <c r="A405" s="88" t="s">
        <v>360</v>
      </c>
      <c r="B405" s="59" t="s">
        <v>672</v>
      </c>
      <c r="C405" s="83"/>
      <c r="D405" s="58" t="s">
        <v>328</v>
      </c>
      <c r="E405" s="58" t="s">
        <v>354</v>
      </c>
      <c r="F405" s="67">
        <v>0</v>
      </c>
      <c r="G405" s="67">
        <v>0</v>
      </c>
      <c r="H405" s="67">
        <v>59</v>
      </c>
      <c r="I405" s="208" t="s">
        <v>387</v>
      </c>
      <c r="J405" s="209"/>
      <c r="K405" s="208" t="s">
        <v>387</v>
      </c>
    </row>
    <row r="406" spans="1:11" x14ac:dyDescent="0.2">
      <c r="A406" s="73"/>
      <c r="I406" s="208" t="s">
        <v>387</v>
      </c>
      <c r="J406" s="209"/>
      <c r="K406" s="208" t="s">
        <v>387</v>
      </c>
    </row>
    <row r="407" spans="1:11" x14ac:dyDescent="0.2">
      <c r="A407" s="55" t="s">
        <v>537</v>
      </c>
      <c r="B407" s="67" t="s">
        <v>671</v>
      </c>
      <c r="D407" s="66" t="s">
        <v>246</v>
      </c>
      <c r="E407" s="68" t="s">
        <v>286</v>
      </c>
      <c r="I407" s="208" t="s">
        <v>387</v>
      </c>
      <c r="J407" s="209"/>
      <c r="K407" s="208" t="s">
        <v>387</v>
      </c>
    </row>
    <row r="408" spans="1:11" x14ac:dyDescent="0.2">
      <c r="A408" s="3"/>
      <c r="E408" s="68" t="s">
        <v>403</v>
      </c>
      <c r="I408" s="208" t="s">
        <v>387</v>
      </c>
      <c r="J408" s="209"/>
      <c r="K408" s="208" t="s">
        <v>387</v>
      </c>
    </row>
    <row r="409" spans="1:11" x14ac:dyDescent="0.2">
      <c r="A409" s="3"/>
      <c r="E409" s="207" t="s">
        <v>1985</v>
      </c>
      <c r="I409" s="208" t="s">
        <v>387</v>
      </c>
      <c r="J409" s="209"/>
      <c r="K409" s="208" t="s">
        <v>387</v>
      </c>
    </row>
    <row r="410" spans="1:11" x14ac:dyDescent="0.2">
      <c r="A410" s="3"/>
      <c r="E410" s="68" t="s">
        <v>404</v>
      </c>
      <c r="I410" s="208" t="s">
        <v>387</v>
      </c>
      <c r="J410" s="209"/>
      <c r="K410" s="208" t="s">
        <v>387</v>
      </c>
    </row>
    <row r="411" spans="1:11" x14ac:dyDescent="0.2">
      <c r="A411" s="3"/>
      <c r="E411" s="68" t="s">
        <v>398</v>
      </c>
      <c r="I411" s="208" t="s">
        <v>387</v>
      </c>
      <c r="J411" s="209"/>
      <c r="K411" s="208" t="s">
        <v>387</v>
      </c>
    </row>
    <row r="412" spans="1:11" x14ac:dyDescent="0.2">
      <c r="A412" s="3"/>
      <c r="E412" s="68" t="s">
        <v>405</v>
      </c>
      <c r="I412" s="208" t="s">
        <v>387</v>
      </c>
      <c r="J412" s="209"/>
      <c r="K412" s="208" t="s">
        <v>387</v>
      </c>
    </row>
    <row r="413" spans="1:11" x14ac:dyDescent="0.2">
      <c r="A413" s="3"/>
      <c r="I413" s="208" t="s">
        <v>387</v>
      </c>
      <c r="J413" s="209"/>
      <c r="K413" s="208" t="s">
        <v>387</v>
      </c>
    </row>
    <row r="414" spans="1:11" x14ac:dyDescent="0.2">
      <c r="A414" s="55" t="s">
        <v>538</v>
      </c>
      <c r="B414" s="67" t="s">
        <v>671</v>
      </c>
      <c r="D414" s="66" t="s">
        <v>252</v>
      </c>
      <c r="E414" s="68" t="s">
        <v>247</v>
      </c>
      <c r="I414" s="208" t="s">
        <v>387</v>
      </c>
      <c r="J414" s="209"/>
      <c r="K414" s="208" t="s">
        <v>387</v>
      </c>
    </row>
    <row r="415" spans="1:11" x14ac:dyDescent="0.2">
      <c r="A415" s="3"/>
      <c r="E415" s="68" t="s">
        <v>248</v>
      </c>
      <c r="I415" s="208" t="s">
        <v>387</v>
      </c>
      <c r="J415" s="209"/>
      <c r="K415" s="208" t="s">
        <v>387</v>
      </c>
    </row>
    <row r="416" spans="1:11" x14ac:dyDescent="0.2">
      <c r="A416" s="3"/>
      <c r="E416" s="207" t="s">
        <v>1984</v>
      </c>
      <c r="I416" s="208" t="s">
        <v>387</v>
      </c>
      <c r="J416" s="209"/>
      <c r="K416" s="208" t="s">
        <v>387</v>
      </c>
    </row>
    <row r="417" spans="1:11" x14ac:dyDescent="0.2">
      <c r="A417" s="3"/>
      <c r="E417" s="68" t="s">
        <v>249</v>
      </c>
      <c r="I417" s="208" t="s">
        <v>387</v>
      </c>
      <c r="J417" s="209"/>
      <c r="K417" s="208" t="s">
        <v>387</v>
      </c>
    </row>
    <row r="418" spans="1:11" x14ac:dyDescent="0.2">
      <c r="A418" s="3"/>
      <c r="E418" s="68" t="s">
        <v>250</v>
      </c>
      <c r="I418" s="208" t="s">
        <v>387</v>
      </c>
      <c r="J418" s="209"/>
      <c r="K418" s="208" t="s">
        <v>387</v>
      </c>
    </row>
    <row r="419" spans="1:11" x14ac:dyDescent="0.2">
      <c r="A419" s="3"/>
      <c r="E419" s="68" t="s">
        <v>251</v>
      </c>
      <c r="I419" s="208" t="s">
        <v>387</v>
      </c>
      <c r="J419" s="209"/>
      <c r="K419" s="208" t="s">
        <v>387</v>
      </c>
    </row>
    <row r="420" spans="1:11" x14ac:dyDescent="0.2">
      <c r="A420" s="3"/>
      <c r="I420" s="208" t="s">
        <v>387</v>
      </c>
      <c r="J420" s="209"/>
      <c r="K420" s="208" t="s">
        <v>387</v>
      </c>
    </row>
    <row r="421" spans="1:11" x14ac:dyDescent="0.2">
      <c r="A421" s="88" t="s">
        <v>621</v>
      </c>
      <c r="B421" s="59" t="s">
        <v>671</v>
      </c>
      <c r="C421" s="58"/>
      <c r="D421" s="58" t="s">
        <v>328</v>
      </c>
      <c r="E421" s="58" t="s">
        <v>782</v>
      </c>
      <c r="F421" s="67">
        <v>12</v>
      </c>
      <c r="G421" s="67">
        <v>12</v>
      </c>
      <c r="H421" s="67">
        <v>24</v>
      </c>
      <c r="I421" s="208" t="s">
        <v>387</v>
      </c>
      <c r="J421" s="209"/>
      <c r="K421" s="208" t="s">
        <v>387</v>
      </c>
    </row>
    <row r="422" spans="1:11" ht="12.75" x14ac:dyDescent="0.2">
      <c r="A422" s="89"/>
      <c r="B422" s="60"/>
      <c r="C422" s="61"/>
      <c r="D422" s="61"/>
      <c r="E422" s="58" t="s">
        <v>277</v>
      </c>
      <c r="I422" s="208" t="s">
        <v>387</v>
      </c>
      <c r="J422" s="209"/>
      <c r="K422" s="208" t="s">
        <v>387</v>
      </c>
    </row>
    <row r="423" spans="1:11" x14ac:dyDescent="0.2">
      <c r="A423" s="3"/>
      <c r="I423" s="208" t="s">
        <v>387</v>
      </c>
      <c r="J423" s="209"/>
      <c r="K423" s="208" t="s">
        <v>387</v>
      </c>
    </row>
    <row r="424" spans="1:11" x14ac:dyDescent="0.2">
      <c r="A424" s="55" t="s">
        <v>540</v>
      </c>
      <c r="B424" s="67" t="s">
        <v>671</v>
      </c>
      <c r="D424" s="66" t="s">
        <v>328</v>
      </c>
      <c r="E424" s="243" t="s">
        <v>1019</v>
      </c>
      <c r="F424" s="67">
        <v>-24</v>
      </c>
      <c r="G424" s="67">
        <v>-48</v>
      </c>
      <c r="H424" s="67">
        <v>48</v>
      </c>
      <c r="I424" s="208" t="s">
        <v>387</v>
      </c>
      <c r="J424" s="209"/>
      <c r="K424" s="208" t="s">
        <v>387</v>
      </c>
    </row>
    <row r="425" spans="1:11" x14ac:dyDescent="0.2">
      <c r="A425" s="3" t="s">
        <v>254</v>
      </c>
      <c r="D425" s="68" t="s">
        <v>253</v>
      </c>
      <c r="I425" s="208" t="s">
        <v>387</v>
      </c>
      <c r="J425" s="209"/>
      <c r="K425" s="208" t="s">
        <v>387</v>
      </c>
    </row>
    <row r="426" spans="1:11" x14ac:dyDescent="0.2">
      <c r="A426" s="3"/>
      <c r="D426" s="246">
        <v>48</v>
      </c>
      <c r="E426" s="245" t="s">
        <v>1020</v>
      </c>
      <c r="I426" s="208"/>
      <c r="J426" s="209"/>
      <c r="K426" s="208"/>
    </row>
    <row r="427" spans="1:11" x14ac:dyDescent="0.2">
      <c r="A427" s="3"/>
      <c r="D427" s="246">
        <v>44</v>
      </c>
      <c r="E427" s="245" t="s">
        <v>1021</v>
      </c>
      <c r="I427" s="208"/>
      <c r="J427" s="209"/>
      <c r="K427" s="208"/>
    </row>
    <row r="428" spans="1:11" x14ac:dyDescent="0.2">
      <c r="A428" s="3"/>
      <c r="D428" s="246">
        <v>40</v>
      </c>
      <c r="E428" s="245" t="s">
        <v>1022</v>
      </c>
      <c r="I428" s="208"/>
      <c r="J428" s="209"/>
      <c r="K428" s="208"/>
    </row>
    <row r="429" spans="1:11" x14ac:dyDescent="0.2">
      <c r="A429" s="3"/>
      <c r="D429" s="246">
        <v>38</v>
      </c>
      <c r="E429" s="245" t="s">
        <v>1023</v>
      </c>
      <c r="I429" s="208"/>
      <c r="J429" s="209"/>
      <c r="K429" s="208"/>
    </row>
    <row r="430" spans="1:11" x14ac:dyDescent="0.2">
      <c r="A430" s="3"/>
      <c r="D430" s="246">
        <v>36</v>
      </c>
      <c r="E430" s="245" t="s">
        <v>1024</v>
      </c>
      <c r="I430" s="208"/>
      <c r="J430" s="209"/>
      <c r="K430" s="208"/>
    </row>
    <row r="431" spans="1:11" x14ac:dyDescent="0.2">
      <c r="A431" s="3"/>
      <c r="D431" s="246">
        <v>32</v>
      </c>
      <c r="E431" s="245" t="s">
        <v>1025</v>
      </c>
      <c r="I431" s="208"/>
      <c r="J431" s="209"/>
      <c r="K431" s="208"/>
    </row>
    <row r="432" spans="1:11" x14ac:dyDescent="0.2">
      <c r="A432" s="3"/>
      <c r="D432" s="246">
        <v>28</v>
      </c>
      <c r="E432" s="245" t="s">
        <v>1026</v>
      </c>
      <c r="I432" s="208"/>
      <c r="J432" s="209"/>
      <c r="K432" s="208"/>
    </row>
    <row r="433" spans="1:11" x14ac:dyDescent="0.2">
      <c r="A433" s="3"/>
      <c r="D433" s="246">
        <v>24</v>
      </c>
      <c r="E433" s="245" t="s">
        <v>1027</v>
      </c>
      <c r="I433" s="208"/>
      <c r="J433" s="209"/>
      <c r="K433" s="208"/>
    </row>
    <row r="434" spans="1:11" x14ac:dyDescent="0.2">
      <c r="A434" s="3"/>
      <c r="D434" s="246">
        <v>22</v>
      </c>
      <c r="E434" s="245" t="s">
        <v>1028</v>
      </c>
      <c r="I434" s="208"/>
      <c r="J434" s="209"/>
      <c r="K434" s="208"/>
    </row>
    <row r="435" spans="1:11" x14ac:dyDescent="0.2">
      <c r="A435" s="3"/>
      <c r="D435" s="246">
        <v>20</v>
      </c>
      <c r="E435" s="245" t="s">
        <v>1029</v>
      </c>
      <c r="I435" s="208"/>
      <c r="J435" s="209"/>
      <c r="K435" s="208"/>
    </row>
    <row r="436" spans="1:11" x14ac:dyDescent="0.2">
      <c r="A436" s="3"/>
      <c r="D436" s="246">
        <v>18</v>
      </c>
      <c r="E436" s="245" t="s">
        <v>1030</v>
      </c>
      <c r="I436" s="208"/>
      <c r="J436" s="209"/>
      <c r="K436" s="208"/>
    </row>
    <row r="437" spans="1:11" x14ac:dyDescent="0.2">
      <c r="A437" s="3"/>
      <c r="D437" s="246">
        <v>16</v>
      </c>
      <c r="E437" s="245" t="s">
        <v>1031</v>
      </c>
      <c r="I437" s="208"/>
      <c r="J437" s="209"/>
      <c r="K437" s="208"/>
    </row>
    <row r="438" spans="1:11" x14ac:dyDescent="0.2">
      <c r="A438" s="3"/>
      <c r="D438" s="246">
        <v>14</v>
      </c>
      <c r="E438" s="245" t="s">
        <v>1032</v>
      </c>
      <c r="I438" s="208"/>
      <c r="J438" s="209"/>
      <c r="K438" s="208"/>
    </row>
    <row r="439" spans="1:11" x14ac:dyDescent="0.2">
      <c r="A439" s="3"/>
      <c r="D439" s="246">
        <v>12</v>
      </c>
      <c r="E439" s="245" t="s">
        <v>1033</v>
      </c>
      <c r="I439" s="208"/>
      <c r="J439" s="209"/>
      <c r="K439" s="208"/>
    </row>
    <row r="440" spans="1:11" x14ac:dyDescent="0.2">
      <c r="A440" s="3"/>
      <c r="D440" s="246">
        <v>8</v>
      </c>
      <c r="E440" s="245" t="s">
        <v>1034</v>
      </c>
      <c r="I440" s="208"/>
      <c r="J440" s="209"/>
      <c r="K440" s="208"/>
    </row>
    <row r="441" spans="1:11" x14ac:dyDescent="0.2">
      <c r="A441" s="3"/>
      <c r="D441" s="246">
        <v>4</v>
      </c>
      <c r="E441" s="245" t="s">
        <v>1035</v>
      </c>
      <c r="I441" s="208"/>
      <c r="J441" s="209"/>
      <c r="K441" s="208"/>
    </row>
    <row r="442" spans="1:11" x14ac:dyDescent="0.2">
      <c r="A442" s="3"/>
      <c r="D442" s="246">
        <v>0</v>
      </c>
      <c r="E442" s="245" t="s">
        <v>1036</v>
      </c>
      <c r="I442" s="208"/>
      <c r="J442" s="209"/>
      <c r="K442" s="208"/>
    </row>
    <row r="443" spans="1:11" x14ac:dyDescent="0.2">
      <c r="A443" s="3"/>
      <c r="D443" s="246">
        <v>-4</v>
      </c>
      <c r="E443" s="245" t="s">
        <v>1049</v>
      </c>
      <c r="I443" s="208"/>
      <c r="J443" s="209"/>
      <c r="K443" s="208"/>
    </row>
    <row r="444" spans="1:11" x14ac:dyDescent="0.2">
      <c r="A444" s="3"/>
      <c r="D444" s="246">
        <v>-8</v>
      </c>
      <c r="E444" s="245" t="s">
        <v>1037</v>
      </c>
      <c r="I444" s="208"/>
      <c r="J444" s="209"/>
      <c r="K444" s="208"/>
    </row>
    <row r="445" spans="1:11" x14ac:dyDescent="0.2">
      <c r="A445" s="3"/>
      <c r="D445" s="246">
        <v>-12</v>
      </c>
      <c r="E445" s="245" t="s">
        <v>1038</v>
      </c>
      <c r="I445" s="208"/>
      <c r="J445" s="209"/>
      <c r="K445" s="208"/>
    </row>
    <row r="446" spans="1:11" x14ac:dyDescent="0.2">
      <c r="A446" s="3"/>
      <c r="D446" s="246">
        <v>-14</v>
      </c>
      <c r="E446" s="245" t="s">
        <v>1039</v>
      </c>
      <c r="I446" s="208"/>
      <c r="J446" s="209"/>
      <c r="K446" s="208"/>
    </row>
    <row r="447" spans="1:11" x14ac:dyDescent="0.2">
      <c r="A447" s="3"/>
      <c r="D447" s="246">
        <v>-16</v>
      </c>
      <c r="E447" s="245" t="s">
        <v>1040</v>
      </c>
      <c r="I447" s="208"/>
      <c r="J447" s="209"/>
      <c r="K447" s="208"/>
    </row>
    <row r="448" spans="1:11" x14ac:dyDescent="0.2">
      <c r="A448" s="3"/>
      <c r="D448" s="246">
        <v>-20</v>
      </c>
      <c r="E448" s="245" t="s">
        <v>1041</v>
      </c>
      <c r="I448" s="208"/>
      <c r="J448" s="209"/>
      <c r="K448" s="208"/>
    </row>
    <row r="449" spans="1:11" x14ac:dyDescent="0.2">
      <c r="A449" s="3"/>
      <c r="D449" s="246">
        <v>-24</v>
      </c>
      <c r="E449" s="245" t="s">
        <v>1042</v>
      </c>
      <c r="I449" s="208"/>
      <c r="J449" s="209"/>
      <c r="K449" s="208"/>
    </row>
    <row r="450" spans="1:11" x14ac:dyDescent="0.2">
      <c r="A450" s="3"/>
      <c r="D450" s="246">
        <v>-28</v>
      </c>
      <c r="E450" s="245" t="s">
        <v>1043</v>
      </c>
      <c r="I450" s="208"/>
      <c r="J450" s="209"/>
      <c r="K450" s="208"/>
    </row>
    <row r="451" spans="1:11" x14ac:dyDescent="0.2">
      <c r="A451" s="3"/>
      <c r="D451" s="246">
        <v>-32</v>
      </c>
      <c r="E451" s="245" t="s">
        <v>1044</v>
      </c>
      <c r="I451" s="208"/>
      <c r="J451" s="209"/>
      <c r="K451" s="208"/>
    </row>
    <row r="452" spans="1:11" x14ac:dyDescent="0.2">
      <c r="A452" s="3"/>
      <c r="D452" s="246">
        <v>-36</v>
      </c>
      <c r="E452" s="245" t="s">
        <v>1045</v>
      </c>
      <c r="I452" s="208"/>
      <c r="J452" s="209"/>
      <c r="K452" s="208"/>
    </row>
    <row r="453" spans="1:11" x14ac:dyDescent="0.2">
      <c r="A453" s="3"/>
      <c r="D453" s="246">
        <v>-40</v>
      </c>
      <c r="E453" s="245" t="s">
        <v>1046</v>
      </c>
      <c r="I453" s="208"/>
      <c r="J453" s="209"/>
      <c r="K453" s="208"/>
    </row>
    <row r="454" spans="1:11" x14ac:dyDescent="0.2">
      <c r="A454" s="73"/>
      <c r="D454" s="246">
        <v>-44</v>
      </c>
      <c r="E454" s="245" t="s">
        <v>1047</v>
      </c>
      <c r="I454" s="208" t="s">
        <v>387</v>
      </c>
      <c r="J454" s="209"/>
      <c r="K454" s="208" t="s">
        <v>387</v>
      </c>
    </row>
    <row r="455" spans="1:11" x14ac:dyDescent="0.2">
      <c r="A455" s="3"/>
      <c r="D455" s="246">
        <v>-48</v>
      </c>
      <c r="E455" s="245" t="s">
        <v>1048</v>
      </c>
      <c r="I455" s="208" t="s">
        <v>387</v>
      </c>
      <c r="J455" s="209"/>
      <c r="K455" s="208" t="s">
        <v>387</v>
      </c>
    </row>
    <row r="456" spans="1:11" x14ac:dyDescent="0.2">
      <c r="A456" s="3"/>
      <c r="I456" s="208" t="s">
        <v>387</v>
      </c>
      <c r="J456" s="209"/>
      <c r="K456" s="208" t="s">
        <v>387</v>
      </c>
    </row>
    <row r="457" spans="1:11" x14ac:dyDescent="0.2">
      <c r="A457" s="55" t="s">
        <v>721</v>
      </c>
      <c r="B457" s="67" t="s">
        <v>671</v>
      </c>
      <c r="D457" s="66" t="s">
        <v>328</v>
      </c>
      <c r="E457" s="81" t="s">
        <v>720</v>
      </c>
      <c r="F457" s="67">
        <v>36</v>
      </c>
      <c r="G457" s="67">
        <v>-90</v>
      </c>
      <c r="H457" s="67">
        <v>90</v>
      </c>
      <c r="I457" s="208" t="s">
        <v>387</v>
      </c>
      <c r="J457" s="209"/>
      <c r="K457" s="208" t="s">
        <v>387</v>
      </c>
    </row>
    <row r="458" spans="1:11" x14ac:dyDescent="0.2">
      <c r="A458" s="3"/>
      <c r="E458" s="68" t="s">
        <v>253</v>
      </c>
      <c r="I458" s="208" t="s">
        <v>387</v>
      </c>
      <c r="J458" s="209"/>
      <c r="K458" s="208" t="s">
        <v>387</v>
      </c>
    </row>
    <row r="459" spans="1:11" x14ac:dyDescent="0.2">
      <c r="A459" s="3"/>
      <c r="E459" s="68" t="s">
        <v>719</v>
      </c>
      <c r="I459" s="208" t="s">
        <v>387</v>
      </c>
      <c r="J459" s="209"/>
      <c r="K459" s="208" t="s">
        <v>387</v>
      </c>
    </row>
    <row r="460" spans="1:11" x14ac:dyDescent="0.2">
      <c r="A460" s="3"/>
      <c r="E460" s="68" t="s">
        <v>280</v>
      </c>
      <c r="I460" s="208" t="s">
        <v>387</v>
      </c>
      <c r="J460" s="209"/>
      <c r="K460" s="208" t="s">
        <v>387</v>
      </c>
    </row>
    <row r="461" spans="1:11" x14ac:dyDescent="0.2">
      <c r="A461" s="3"/>
      <c r="I461" s="208" t="s">
        <v>387</v>
      </c>
      <c r="J461" s="209"/>
      <c r="K461" s="208" t="s">
        <v>387</v>
      </c>
    </row>
    <row r="462" spans="1:11" x14ac:dyDescent="0.2">
      <c r="A462" s="55" t="s">
        <v>722</v>
      </c>
      <c r="B462" s="67" t="s">
        <v>671</v>
      </c>
      <c r="D462" s="66" t="s">
        <v>328</v>
      </c>
      <c r="E462" s="81" t="s">
        <v>298</v>
      </c>
      <c r="F462" s="67">
        <v>-86</v>
      </c>
      <c r="G462" s="67">
        <v>-180</v>
      </c>
      <c r="H462" s="67">
        <v>180</v>
      </c>
      <c r="I462" s="208" t="s">
        <v>387</v>
      </c>
      <c r="J462" s="209"/>
      <c r="K462" s="208" t="s">
        <v>387</v>
      </c>
    </row>
    <row r="463" spans="1:11" x14ac:dyDescent="0.2">
      <c r="A463" s="3"/>
      <c r="E463" s="68" t="s">
        <v>253</v>
      </c>
      <c r="I463" s="208" t="s">
        <v>387</v>
      </c>
      <c r="J463" s="209"/>
      <c r="K463" s="208" t="s">
        <v>387</v>
      </c>
    </row>
    <row r="464" spans="1:11" x14ac:dyDescent="0.2">
      <c r="A464" s="3"/>
      <c r="E464" s="68" t="s">
        <v>719</v>
      </c>
      <c r="I464" s="208" t="s">
        <v>387</v>
      </c>
      <c r="J464" s="209"/>
      <c r="K464" s="208" t="s">
        <v>387</v>
      </c>
    </row>
    <row r="465" spans="1:11" x14ac:dyDescent="0.2">
      <c r="A465" s="3"/>
      <c r="E465" s="68" t="s">
        <v>778</v>
      </c>
      <c r="I465" s="208" t="s">
        <v>387</v>
      </c>
      <c r="J465" s="209"/>
      <c r="K465" s="208" t="s">
        <v>387</v>
      </c>
    </row>
    <row r="466" spans="1:11" x14ac:dyDescent="0.2">
      <c r="A466" s="69" t="s">
        <v>390</v>
      </c>
      <c r="B466" s="70"/>
      <c r="C466" s="71"/>
      <c r="D466" s="71"/>
      <c r="E466" s="72"/>
      <c r="F466" s="70"/>
      <c r="G466" s="70"/>
      <c r="H466" s="70"/>
      <c r="I466" s="208" t="s">
        <v>387</v>
      </c>
      <c r="J466" s="209"/>
      <c r="K466" s="208" t="s">
        <v>387</v>
      </c>
    </row>
    <row r="467" spans="1:11" x14ac:dyDescent="0.2">
      <c r="A467" s="55" t="s">
        <v>60</v>
      </c>
      <c r="B467" s="67" t="s">
        <v>671</v>
      </c>
      <c r="D467" s="66" t="s">
        <v>882</v>
      </c>
      <c r="E467" s="82">
        <v>4800</v>
      </c>
      <c r="F467" s="67">
        <v>38400</v>
      </c>
      <c r="G467" s="67">
        <v>4800</v>
      </c>
      <c r="H467" s="67">
        <v>115200</v>
      </c>
      <c r="I467" s="208" t="s">
        <v>387</v>
      </c>
      <c r="J467" s="209"/>
      <c r="K467" s="208" t="s">
        <v>387</v>
      </c>
    </row>
    <row r="468" spans="1:11" x14ac:dyDescent="0.2">
      <c r="E468" s="82" t="s">
        <v>75</v>
      </c>
      <c r="I468" s="208" t="s">
        <v>387</v>
      </c>
      <c r="J468" s="209"/>
      <c r="K468" s="208" t="s">
        <v>387</v>
      </c>
    </row>
    <row r="469" spans="1:11" x14ac:dyDescent="0.2">
      <c r="A469" s="73"/>
      <c r="E469" s="82">
        <v>19200</v>
      </c>
      <c r="I469" s="208" t="s">
        <v>387</v>
      </c>
      <c r="J469" s="209"/>
      <c r="K469" s="208" t="s">
        <v>387</v>
      </c>
    </row>
    <row r="470" spans="1:11" x14ac:dyDescent="0.2">
      <c r="A470" s="73"/>
      <c r="E470" s="82" t="s">
        <v>64</v>
      </c>
      <c r="I470" s="208" t="s">
        <v>387</v>
      </c>
      <c r="J470" s="209"/>
      <c r="K470" s="208" t="s">
        <v>387</v>
      </c>
    </row>
    <row r="471" spans="1:11" x14ac:dyDescent="0.2">
      <c r="A471" s="73"/>
      <c r="E471" s="82">
        <v>76800</v>
      </c>
      <c r="I471" s="208" t="s">
        <v>387</v>
      </c>
      <c r="J471" s="209"/>
      <c r="K471" s="208" t="s">
        <v>387</v>
      </c>
    </row>
    <row r="472" spans="1:11" x14ac:dyDescent="0.2">
      <c r="A472" s="73"/>
      <c r="E472" s="82">
        <v>115200</v>
      </c>
      <c r="I472" s="208" t="s">
        <v>387</v>
      </c>
      <c r="J472" s="209"/>
      <c r="K472" s="208" t="s">
        <v>387</v>
      </c>
    </row>
    <row r="473" spans="1:11" x14ac:dyDescent="0.2">
      <c r="A473" s="73"/>
      <c r="I473" s="208" t="s">
        <v>387</v>
      </c>
      <c r="J473" s="209"/>
      <c r="K473" s="208" t="s">
        <v>387</v>
      </c>
    </row>
    <row r="474" spans="1:11" x14ac:dyDescent="0.2">
      <c r="A474" s="55" t="s">
        <v>62</v>
      </c>
      <c r="B474" s="67" t="s">
        <v>671</v>
      </c>
      <c r="D474" s="66" t="s">
        <v>328</v>
      </c>
      <c r="E474" s="68" t="s">
        <v>59</v>
      </c>
      <c r="F474" s="67">
        <v>1</v>
      </c>
      <c r="G474" s="67">
        <v>1</v>
      </c>
      <c r="H474" s="67">
        <v>6</v>
      </c>
      <c r="I474" s="208" t="s">
        <v>387</v>
      </c>
      <c r="J474" s="209"/>
      <c r="K474" s="208" t="s">
        <v>387</v>
      </c>
    </row>
    <row r="475" spans="1:11" x14ac:dyDescent="0.2">
      <c r="A475" s="55"/>
      <c r="E475" s="68" t="s">
        <v>69</v>
      </c>
      <c r="I475" s="208"/>
      <c r="J475" s="209"/>
      <c r="K475" s="208"/>
    </row>
    <row r="476" spans="1:11" x14ac:dyDescent="0.2">
      <c r="A476" s="73"/>
      <c r="E476" s="68" t="s">
        <v>70</v>
      </c>
      <c r="I476" s="208"/>
      <c r="J476" s="209"/>
      <c r="K476" s="208"/>
    </row>
    <row r="477" spans="1:11" x14ac:dyDescent="0.2">
      <c r="A477" s="73"/>
      <c r="E477" s="68" t="s">
        <v>74</v>
      </c>
      <c r="I477" s="208"/>
      <c r="J477" s="209"/>
      <c r="K477" s="208"/>
    </row>
    <row r="478" spans="1:11" x14ac:dyDescent="0.2">
      <c r="A478" s="73"/>
      <c r="E478" s="207" t="s">
        <v>65</v>
      </c>
      <c r="I478" s="208" t="s">
        <v>387</v>
      </c>
      <c r="J478" s="209"/>
      <c r="K478" s="208" t="s">
        <v>387</v>
      </c>
    </row>
    <row r="479" spans="1:11" x14ac:dyDescent="0.2">
      <c r="A479" s="73"/>
      <c r="E479" s="207" t="s">
        <v>66</v>
      </c>
      <c r="I479" s="208" t="s">
        <v>387</v>
      </c>
      <c r="J479" s="209"/>
      <c r="K479" s="208" t="s">
        <v>387</v>
      </c>
    </row>
    <row r="480" spans="1:11" x14ac:dyDescent="0.2">
      <c r="I480" s="208" t="s">
        <v>387</v>
      </c>
      <c r="J480" s="209"/>
      <c r="K480" s="208" t="s">
        <v>387</v>
      </c>
    </row>
    <row r="481" spans="1:11" x14ac:dyDescent="0.2">
      <c r="A481" s="55" t="s">
        <v>61</v>
      </c>
      <c r="B481" s="67" t="s">
        <v>671</v>
      </c>
      <c r="D481" s="66" t="s">
        <v>882</v>
      </c>
      <c r="E481" s="82">
        <v>4800</v>
      </c>
      <c r="F481" s="67">
        <v>38400</v>
      </c>
      <c r="G481" s="67">
        <v>4800</v>
      </c>
      <c r="H481" s="67">
        <v>250000</v>
      </c>
      <c r="I481" s="208" t="s">
        <v>387</v>
      </c>
      <c r="J481" s="209"/>
      <c r="K481" s="208" t="s">
        <v>387</v>
      </c>
    </row>
    <row r="482" spans="1:11" x14ac:dyDescent="0.2">
      <c r="E482" s="82">
        <v>9600</v>
      </c>
      <c r="I482" s="208" t="s">
        <v>387</v>
      </c>
      <c r="J482" s="209"/>
      <c r="K482" s="208" t="s">
        <v>387</v>
      </c>
    </row>
    <row r="483" spans="1:11" x14ac:dyDescent="0.2">
      <c r="A483" s="73"/>
      <c r="E483" s="82">
        <v>19200</v>
      </c>
      <c r="I483" s="208" t="s">
        <v>387</v>
      </c>
      <c r="J483" s="209"/>
      <c r="K483" s="208" t="s">
        <v>387</v>
      </c>
    </row>
    <row r="484" spans="1:11" x14ac:dyDescent="0.2">
      <c r="A484" s="73"/>
      <c r="E484" s="82" t="s">
        <v>64</v>
      </c>
      <c r="I484" s="208" t="s">
        <v>387</v>
      </c>
      <c r="J484" s="209"/>
      <c r="K484" s="208" t="s">
        <v>387</v>
      </c>
    </row>
    <row r="485" spans="1:11" x14ac:dyDescent="0.2">
      <c r="A485" s="73"/>
      <c r="E485" s="82" t="s">
        <v>67</v>
      </c>
      <c r="I485" s="208" t="s">
        <v>387</v>
      </c>
      <c r="J485" s="209"/>
      <c r="K485" s="208" t="s">
        <v>387</v>
      </c>
    </row>
    <row r="486" spans="1:11" x14ac:dyDescent="0.2">
      <c r="A486" s="73"/>
      <c r="E486" s="82">
        <v>115200</v>
      </c>
      <c r="I486" s="208" t="s">
        <v>387</v>
      </c>
      <c r="J486" s="209"/>
      <c r="K486" s="208" t="s">
        <v>387</v>
      </c>
    </row>
    <row r="487" spans="1:11" x14ac:dyDescent="0.2">
      <c r="A487" s="73"/>
      <c r="E487" s="82" t="s">
        <v>68</v>
      </c>
      <c r="I487" s="208" t="s">
        <v>387</v>
      </c>
      <c r="J487" s="209"/>
      <c r="K487" s="208" t="s">
        <v>387</v>
      </c>
    </row>
    <row r="488" spans="1:11" x14ac:dyDescent="0.2">
      <c r="A488" s="73"/>
      <c r="I488" s="208" t="s">
        <v>387</v>
      </c>
      <c r="J488" s="209"/>
      <c r="K488" s="208" t="s">
        <v>387</v>
      </c>
    </row>
    <row r="489" spans="1:11" x14ac:dyDescent="0.2">
      <c r="A489" s="55" t="s">
        <v>63</v>
      </c>
      <c r="B489" s="67" t="s">
        <v>671</v>
      </c>
      <c r="D489" s="66" t="s">
        <v>328</v>
      </c>
      <c r="E489" s="68" t="s">
        <v>59</v>
      </c>
      <c r="F489" s="67">
        <v>1</v>
      </c>
      <c r="G489" s="67">
        <v>1</v>
      </c>
      <c r="H489" s="67">
        <v>7</v>
      </c>
      <c r="I489" s="208"/>
      <c r="J489" s="209"/>
      <c r="K489" s="208"/>
    </row>
    <row r="490" spans="1:11" x14ac:dyDescent="0.2">
      <c r="A490" s="55"/>
      <c r="E490" s="68" t="s">
        <v>69</v>
      </c>
      <c r="I490" s="208"/>
      <c r="J490" s="209"/>
      <c r="K490" s="208"/>
    </row>
    <row r="491" spans="1:11" x14ac:dyDescent="0.2">
      <c r="A491" s="73"/>
      <c r="E491" s="68" t="s">
        <v>70</v>
      </c>
      <c r="I491" s="208"/>
      <c r="J491" s="209"/>
      <c r="K491" s="208"/>
    </row>
    <row r="492" spans="1:11" x14ac:dyDescent="0.2">
      <c r="A492" s="73"/>
      <c r="E492" s="68" t="s">
        <v>72</v>
      </c>
      <c r="I492" s="208"/>
      <c r="J492" s="209"/>
      <c r="K492" s="208"/>
    </row>
    <row r="493" spans="1:11" x14ac:dyDescent="0.2">
      <c r="A493" s="73"/>
      <c r="E493" s="68" t="s">
        <v>73</v>
      </c>
      <c r="I493" s="208" t="s">
        <v>387</v>
      </c>
      <c r="J493" s="209"/>
      <c r="K493" s="208" t="s">
        <v>387</v>
      </c>
    </row>
    <row r="494" spans="1:11" x14ac:dyDescent="0.2">
      <c r="A494" s="73"/>
      <c r="E494" s="207" t="s">
        <v>66</v>
      </c>
      <c r="I494" s="208" t="s">
        <v>387</v>
      </c>
      <c r="J494" s="209"/>
      <c r="K494" s="208" t="s">
        <v>387</v>
      </c>
    </row>
    <row r="495" spans="1:11" x14ac:dyDescent="0.2">
      <c r="E495" s="207" t="s">
        <v>71</v>
      </c>
      <c r="I495" s="208" t="s">
        <v>387</v>
      </c>
      <c r="J495" s="209"/>
      <c r="K495" s="208" t="s">
        <v>387</v>
      </c>
    </row>
    <row r="496" spans="1:11" x14ac:dyDescent="0.2">
      <c r="E496" s="207"/>
      <c r="I496" s="208"/>
      <c r="J496" s="209"/>
      <c r="K496" s="208"/>
    </row>
    <row r="497" spans="1:11" x14ac:dyDescent="0.2">
      <c r="E497" s="207"/>
      <c r="I497" s="208"/>
      <c r="J497" s="209"/>
      <c r="K497" s="208"/>
    </row>
    <row r="498" spans="1:11" x14ac:dyDescent="0.2">
      <c r="A498" s="88" t="s">
        <v>1119</v>
      </c>
      <c r="B498" s="67" t="s">
        <v>671</v>
      </c>
      <c r="D498" s="1" t="s">
        <v>882</v>
      </c>
      <c r="E498" s="58"/>
      <c r="F498" s="206" t="s">
        <v>1960</v>
      </c>
      <c r="G498" s="206" t="s">
        <v>1958</v>
      </c>
      <c r="H498" s="206" t="s">
        <v>1959</v>
      </c>
      <c r="I498" s="208" t="s">
        <v>387</v>
      </c>
      <c r="J498" s="209"/>
      <c r="K498" s="208" t="s">
        <v>387</v>
      </c>
    </row>
    <row r="499" spans="1:11" x14ac:dyDescent="0.2">
      <c r="A499" s="1" t="s">
        <v>1120</v>
      </c>
      <c r="D499" s="1" t="s">
        <v>1123</v>
      </c>
      <c r="E499" s="207" t="s">
        <v>1956</v>
      </c>
      <c r="I499" s="208"/>
      <c r="J499" s="209"/>
      <c r="K499" s="208"/>
    </row>
    <row r="500" spans="1:11" x14ac:dyDescent="0.2">
      <c r="A500" s="1" t="s">
        <v>1121</v>
      </c>
      <c r="D500" s="1" t="s">
        <v>1123</v>
      </c>
      <c r="E500" s="207" t="s">
        <v>1957</v>
      </c>
      <c r="I500" s="208"/>
      <c r="J500" s="209"/>
      <c r="K500" s="208"/>
    </row>
    <row r="501" spans="1:11" x14ac:dyDescent="0.2">
      <c r="A501" s="1" t="s">
        <v>1122</v>
      </c>
      <c r="D501" s="1" t="s">
        <v>1123</v>
      </c>
      <c r="E501" s="207" t="s">
        <v>1124</v>
      </c>
      <c r="I501" s="208"/>
      <c r="J501" s="209"/>
      <c r="K501" s="208"/>
    </row>
    <row r="502" spans="1:11" ht="12.75" x14ac:dyDescent="0.2">
      <c r="A502" s="89"/>
      <c r="B502" s="60"/>
      <c r="C502" s="61"/>
      <c r="D502" s="61"/>
      <c r="E502" s="58"/>
      <c r="I502" s="208" t="s">
        <v>387</v>
      </c>
      <c r="J502" s="209"/>
      <c r="K502" s="208" t="s">
        <v>387</v>
      </c>
    </row>
    <row r="503" spans="1:11" x14ac:dyDescent="0.2">
      <c r="A503" s="69" t="s">
        <v>391</v>
      </c>
      <c r="B503" s="70"/>
      <c r="C503" s="71"/>
      <c r="D503" s="71"/>
      <c r="E503" s="72"/>
      <c r="F503" s="70"/>
      <c r="G503" s="70"/>
      <c r="H503" s="70"/>
      <c r="I503" s="208" t="s">
        <v>387</v>
      </c>
      <c r="J503" s="209"/>
      <c r="K503" s="208" t="s">
        <v>387</v>
      </c>
    </row>
    <row r="504" spans="1:11" x14ac:dyDescent="0.2">
      <c r="A504" s="88" t="s">
        <v>550</v>
      </c>
      <c r="B504" s="59" t="s">
        <v>672</v>
      </c>
      <c r="C504" s="58"/>
      <c r="D504" s="58" t="s">
        <v>547</v>
      </c>
      <c r="E504" s="58" t="s">
        <v>548</v>
      </c>
      <c r="I504" s="208" t="s">
        <v>387</v>
      </c>
      <c r="J504" s="209"/>
      <c r="K504" s="208" t="s">
        <v>387</v>
      </c>
    </row>
    <row r="505" spans="1:11" ht="12.75" x14ac:dyDescent="0.2">
      <c r="A505" s="89"/>
      <c r="B505" s="60"/>
      <c r="C505" s="61"/>
      <c r="D505" s="61"/>
      <c r="E505" s="58" t="s">
        <v>326</v>
      </c>
      <c r="I505" s="208" t="s">
        <v>387</v>
      </c>
      <c r="J505" s="209"/>
      <c r="K505" s="208" t="s">
        <v>387</v>
      </c>
    </row>
    <row r="506" spans="1:11" ht="12.75" x14ac:dyDescent="0.2">
      <c r="A506" s="89"/>
      <c r="B506" s="60"/>
      <c r="C506" s="61"/>
      <c r="D506" s="61"/>
      <c r="E506" s="58" t="s">
        <v>327</v>
      </c>
      <c r="I506" s="208" t="s">
        <v>387</v>
      </c>
      <c r="J506" s="209"/>
      <c r="K506" s="208" t="s">
        <v>387</v>
      </c>
    </row>
    <row r="507" spans="1:11" ht="12.75" x14ac:dyDescent="0.2">
      <c r="A507" s="89"/>
      <c r="B507" s="60"/>
      <c r="C507" s="61"/>
      <c r="D507" s="61"/>
      <c r="E507" s="58" t="s">
        <v>549</v>
      </c>
      <c r="I507" s="208" t="s">
        <v>387</v>
      </c>
      <c r="J507" s="209"/>
      <c r="K507" s="208" t="s">
        <v>387</v>
      </c>
    </row>
    <row r="508" spans="1:11" ht="12.75" x14ac:dyDescent="0.2">
      <c r="A508" s="89"/>
      <c r="B508" s="60"/>
      <c r="C508" s="62"/>
      <c r="D508" s="62"/>
      <c r="E508" s="58" t="s">
        <v>698</v>
      </c>
      <c r="I508" s="208" t="s">
        <v>387</v>
      </c>
      <c r="J508" s="209"/>
      <c r="K508" s="208" t="s">
        <v>387</v>
      </c>
    </row>
    <row r="509" spans="1:11" ht="12.75" x14ac:dyDescent="0.2">
      <c r="A509" s="89"/>
      <c r="B509" s="60"/>
      <c r="C509" s="62"/>
      <c r="D509" s="62"/>
      <c r="E509" s="58" t="s">
        <v>699</v>
      </c>
      <c r="I509" s="208" t="s">
        <v>387</v>
      </c>
      <c r="J509" s="209"/>
      <c r="K509" s="208" t="s">
        <v>387</v>
      </c>
    </row>
    <row r="510" spans="1:11" ht="12.75" x14ac:dyDescent="0.2">
      <c r="A510" s="89"/>
      <c r="B510" s="60"/>
      <c r="C510" s="62"/>
      <c r="D510" s="62"/>
      <c r="E510" s="58"/>
      <c r="I510" s="208" t="s">
        <v>387</v>
      </c>
      <c r="J510" s="209"/>
      <c r="K510" s="208" t="s">
        <v>387</v>
      </c>
    </row>
    <row r="511" spans="1:11" x14ac:dyDescent="0.2">
      <c r="A511" s="88" t="s">
        <v>262</v>
      </c>
      <c r="B511" s="59" t="s">
        <v>672</v>
      </c>
      <c r="C511" s="58"/>
      <c r="D511" s="58" t="s">
        <v>325</v>
      </c>
      <c r="E511" s="58" t="s">
        <v>905</v>
      </c>
      <c r="I511" s="208" t="s">
        <v>387</v>
      </c>
      <c r="J511" s="209"/>
      <c r="K511" s="208" t="s">
        <v>387</v>
      </c>
    </row>
    <row r="512" spans="1:11" ht="12.75" x14ac:dyDescent="0.2">
      <c r="A512" s="89"/>
      <c r="B512" s="60"/>
      <c r="C512" s="61"/>
      <c r="D512" s="61"/>
      <c r="E512" s="62"/>
      <c r="I512" s="208" t="s">
        <v>387</v>
      </c>
      <c r="J512" s="209"/>
      <c r="K512" s="208" t="s">
        <v>387</v>
      </c>
    </row>
    <row r="513" spans="1:11" x14ac:dyDescent="0.2">
      <c r="A513" s="88" t="s">
        <v>572</v>
      </c>
      <c r="B513" s="59" t="s">
        <v>672</v>
      </c>
      <c r="C513" s="58"/>
      <c r="D513" s="58" t="s">
        <v>325</v>
      </c>
      <c r="E513" s="58" t="s">
        <v>263</v>
      </c>
      <c r="I513" s="208" t="s">
        <v>387</v>
      </c>
      <c r="J513" s="209"/>
      <c r="K513" s="208" t="s">
        <v>387</v>
      </c>
    </row>
    <row r="514" spans="1:11" ht="12.75" x14ac:dyDescent="0.2">
      <c r="A514" s="89"/>
      <c r="B514" s="60"/>
      <c r="C514" s="61"/>
      <c r="D514" s="61"/>
      <c r="E514" s="58" t="s">
        <v>264</v>
      </c>
      <c r="I514" s="208" t="s">
        <v>387</v>
      </c>
      <c r="J514" s="209"/>
      <c r="K514" s="208" t="s">
        <v>387</v>
      </c>
    </row>
    <row r="515" spans="1:11" ht="12.75" x14ac:dyDescent="0.2">
      <c r="A515" s="61"/>
      <c r="B515" s="60"/>
      <c r="C515" s="61"/>
      <c r="D515" s="61"/>
      <c r="E515" s="61"/>
      <c r="I515" s="208" t="s">
        <v>387</v>
      </c>
      <c r="J515" s="209"/>
      <c r="K515" s="208" t="s">
        <v>387</v>
      </c>
    </row>
    <row r="516" spans="1:11" x14ac:dyDescent="0.2">
      <c r="A516" s="88" t="s">
        <v>655</v>
      </c>
      <c r="B516" s="84" t="s">
        <v>672</v>
      </c>
      <c r="C516" s="83"/>
      <c r="D516" s="83" t="s">
        <v>328</v>
      </c>
      <c r="E516" s="83" t="s">
        <v>653</v>
      </c>
      <c r="I516" s="208" t="s">
        <v>387</v>
      </c>
      <c r="J516" s="209"/>
      <c r="K516" s="208" t="s">
        <v>387</v>
      </c>
    </row>
    <row r="517" spans="1:11" ht="12.75" x14ac:dyDescent="0.2">
      <c r="A517" s="89"/>
      <c r="B517" s="60"/>
      <c r="C517" s="61"/>
      <c r="D517" s="61"/>
      <c r="E517" s="83" t="s">
        <v>674</v>
      </c>
      <c r="I517" s="208" t="s">
        <v>387</v>
      </c>
      <c r="J517" s="209"/>
      <c r="K517" s="208" t="s">
        <v>387</v>
      </c>
    </row>
    <row r="518" spans="1:11" ht="12.75" x14ac:dyDescent="0.2">
      <c r="A518" s="89"/>
      <c r="B518" s="60"/>
      <c r="C518" s="61"/>
      <c r="D518" s="61"/>
      <c r="E518" s="83" t="s">
        <v>654</v>
      </c>
      <c r="I518" s="208" t="s">
        <v>387</v>
      </c>
      <c r="J518" s="209"/>
      <c r="K518" s="208" t="s">
        <v>387</v>
      </c>
    </row>
    <row r="519" spans="1:11" x14ac:dyDescent="0.2">
      <c r="A519" s="73"/>
      <c r="I519" s="208" t="s">
        <v>387</v>
      </c>
      <c r="J519" s="209"/>
      <c r="K519" s="208" t="s">
        <v>387</v>
      </c>
    </row>
    <row r="520" spans="1:11" x14ac:dyDescent="0.2">
      <c r="A520" s="55" t="s">
        <v>279</v>
      </c>
      <c r="B520" s="67" t="s">
        <v>671</v>
      </c>
      <c r="D520" s="66" t="s">
        <v>882</v>
      </c>
      <c r="E520" s="68" t="s">
        <v>399</v>
      </c>
      <c r="I520" s="208" t="s">
        <v>387</v>
      </c>
      <c r="J520" s="209"/>
      <c r="K520" s="208" t="s">
        <v>387</v>
      </c>
    </row>
    <row r="521" spans="1:11" ht="11.25" customHeight="1" x14ac:dyDescent="0.2">
      <c r="A521" s="3"/>
      <c r="E521" s="68" t="s">
        <v>754</v>
      </c>
      <c r="I521" s="208" t="s">
        <v>387</v>
      </c>
      <c r="J521" s="209"/>
      <c r="K521" s="208" t="s">
        <v>387</v>
      </c>
    </row>
    <row r="522" spans="1:11" ht="11.25" customHeight="1" x14ac:dyDescent="0.2">
      <c r="A522" s="3"/>
      <c r="E522" s="68" t="s">
        <v>400</v>
      </c>
      <c r="I522" s="208" t="s">
        <v>387</v>
      </c>
      <c r="J522" s="209"/>
      <c r="K522" s="208" t="s">
        <v>387</v>
      </c>
    </row>
    <row r="523" spans="1:11" ht="11.25" customHeight="1" x14ac:dyDescent="0.2">
      <c r="A523" s="3"/>
      <c r="E523" s="68" t="s">
        <v>401</v>
      </c>
      <c r="I523" s="208" t="s">
        <v>387</v>
      </c>
      <c r="J523" s="209"/>
      <c r="K523" s="208" t="s">
        <v>387</v>
      </c>
    </row>
    <row r="524" spans="1:11" ht="11.25" customHeight="1" x14ac:dyDescent="0.2">
      <c r="A524" s="3"/>
      <c r="E524" s="79" t="s">
        <v>304</v>
      </c>
      <c r="I524" s="208" t="s">
        <v>387</v>
      </c>
      <c r="J524" s="209"/>
      <c r="K524" s="208" t="s">
        <v>387</v>
      </c>
    </row>
    <row r="525" spans="1:11" ht="11.25" customHeight="1" x14ac:dyDescent="0.2">
      <c r="A525" s="3"/>
      <c r="I525" s="208" t="s">
        <v>387</v>
      </c>
      <c r="J525" s="209"/>
      <c r="K525" s="208" t="s">
        <v>387</v>
      </c>
    </row>
    <row r="526" spans="1:11" ht="11.25" customHeight="1" x14ac:dyDescent="0.2">
      <c r="A526" s="3"/>
      <c r="I526" s="208" t="s">
        <v>387</v>
      </c>
      <c r="J526" s="209"/>
      <c r="K526" s="208" t="s">
        <v>387</v>
      </c>
    </row>
    <row r="527" spans="1:11" ht="11.25" customHeight="1" x14ac:dyDescent="0.2">
      <c r="A527" s="55" t="s">
        <v>302</v>
      </c>
      <c r="B527" s="67" t="s">
        <v>671</v>
      </c>
      <c r="D527" s="66" t="s">
        <v>328</v>
      </c>
      <c r="E527" s="82" t="s">
        <v>725</v>
      </c>
      <c r="I527" s="208" t="s">
        <v>387</v>
      </c>
      <c r="J527" s="209"/>
      <c r="K527" s="208" t="s">
        <v>387</v>
      </c>
    </row>
    <row r="528" spans="1:11" ht="11.25" customHeight="1" x14ac:dyDescent="0.2">
      <c r="A528" s="3" t="s">
        <v>303</v>
      </c>
      <c r="E528" s="79" t="s">
        <v>877</v>
      </c>
      <c r="I528" s="208" t="s">
        <v>387</v>
      </c>
      <c r="J528" s="209"/>
      <c r="K528" s="208" t="s">
        <v>387</v>
      </c>
    </row>
    <row r="529" spans="1:11" ht="11.25" customHeight="1" x14ac:dyDescent="0.2">
      <c r="A529" s="3"/>
      <c r="E529" s="79" t="s">
        <v>723</v>
      </c>
      <c r="I529" s="208" t="s">
        <v>387</v>
      </c>
      <c r="J529" s="209"/>
      <c r="K529" s="208" t="s">
        <v>387</v>
      </c>
    </row>
    <row r="530" spans="1:11" ht="11.25" customHeight="1" x14ac:dyDescent="0.2">
      <c r="A530" s="3"/>
      <c r="E530" s="79" t="s">
        <v>724</v>
      </c>
      <c r="I530" s="208" t="s">
        <v>387</v>
      </c>
      <c r="J530" s="209"/>
      <c r="K530" s="208" t="s">
        <v>387</v>
      </c>
    </row>
    <row r="531" spans="1:11" ht="11.25" customHeight="1" x14ac:dyDescent="0.2">
      <c r="A531" s="73"/>
      <c r="I531" s="208" t="s">
        <v>387</v>
      </c>
      <c r="J531" s="209"/>
      <c r="K531" s="208" t="s">
        <v>387</v>
      </c>
    </row>
    <row r="532" spans="1:11" ht="11.25" customHeight="1" x14ac:dyDescent="0.2">
      <c r="A532" s="88" t="s">
        <v>870</v>
      </c>
      <c r="B532" s="59" t="s">
        <v>671</v>
      </c>
      <c r="D532" s="58" t="s">
        <v>328</v>
      </c>
      <c r="E532" s="58" t="s">
        <v>629</v>
      </c>
      <c r="I532" s="208" t="s">
        <v>387</v>
      </c>
      <c r="J532" s="209"/>
      <c r="K532" s="208" t="s">
        <v>387</v>
      </c>
    </row>
    <row r="533" spans="1:11" ht="11.25" customHeight="1" x14ac:dyDescent="0.2">
      <c r="A533" s="90" t="s">
        <v>866</v>
      </c>
      <c r="B533" s="60"/>
      <c r="C533" s="61"/>
      <c r="D533" s="61"/>
      <c r="E533" s="58" t="s">
        <v>867</v>
      </c>
      <c r="I533" s="208" t="s">
        <v>387</v>
      </c>
      <c r="J533" s="209"/>
      <c r="K533" s="208" t="s">
        <v>387</v>
      </c>
    </row>
    <row r="534" spans="1:11" ht="11.25" customHeight="1" x14ac:dyDescent="0.2">
      <c r="A534" s="89"/>
      <c r="B534" s="60"/>
      <c r="C534" s="61"/>
      <c r="D534" s="61"/>
      <c r="E534" s="58" t="s">
        <v>868</v>
      </c>
      <c r="I534" s="208" t="s">
        <v>387</v>
      </c>
      <c r="J534" s="209"/>
      <c r="K534" s="208" t="s">
        <v>387</v>
      </c>
    </row>
    <row r="535" spans="1:11" ht="11.25" customHeight="1" x14ac:dyDescent="0.2">
      <c r="A535" s="89"/>
      <c r="B535" s="60"/>
      <c r="C535" s="61"/>
      <c r="D535" s="61"/>
      <c r="E535" s="58" t="s">
        <v>869</v>
      </c>
      <c r="I535" s="208" t="s">
        <v>387</v>
      </c>
      <c r="J535" s="209"/>
      <c r="K535" s="208" t="s">
        <v>387</v>
      </c>
    </row>
    <row r="536" spans="1:11" ht="11.25" customHeight="1" x14ac:dyDescent="0.2">
      <c r="A536" s="89"/>
      <c r="B536" s="60"/>
      <c r="C536" s="62"/>
      <c r="D536" s="62"/>
      <c r="E536" s="58"/>
      <c r="I536" s="208" t="s">
        <v>387</v>
      </c>
      <c r="J536" s="209"/>
      <c r="K536" s="208" t="s">
        <v>387</v>
      </c>
    </row>
    <row r="537" spans="1:11" ht="11.25" customHeight="1" x14ac:dyDescent="0.2">
      <c r="A537" s="88" t="s">
        <v>875</v>
      </c>
      <c r="B537" s="84" t="s">
        <v>671</v>
      </c>
      <c r="C537" s="83"/>
      <c r="D537" s="83" t="s">
        <v>328</v>
      </c>
      <c r="E537" s="83" t="s">
        <v>871</v>
      </c>
      <c r="I537" s="208" t="s">
        <v>387</v>
      </c>
      <c r="J537" s="209"/>
      <c r="K537" s="208" t="s">
        <v>387</v>
      </c>
    </row>
    <row r="538" spans="1:11" ht="11.25" customHeight="1" x14ac:dyDescent="0.2">
      <c r="A538" s="92" t="s">
        <v>872</v>
      </c>
      <c r="B538" s="60"/>
      <c r="C538" s="61"/>
      <c r="D538" s="61"/>
      <c r="E538" s="83" t="s">
        <v>674</v>
      </c>
      <c r="I538" s="208" t="s">
        <v>387</v>
      </c>
      <c r="J538" s="209"/>
      <c r="K538" s="208" t="s">
        <v>387</v>
      </c>
    </row>
    <row r="539" spans="1:11" ht="11.25" customHeight="1" x14ac:dyDescent="0.2">
      <c r="A539" s="89"/>
      <c r="B539" s="60"/>
      <c r="C539" s="61"/>
      <c r="D539" s="61"/>
      <c r="E539" s="62"/>
      <c r="I539" s="208" t="s">
        <v>387</v>
      </c>
      <c r="J539" s="209"/>
      <c r="K539" s="208" t="s">
        <v>387</v>
      </c>
    </row>
    <row r="540" spans="1:11" ht="11.25" customHeight="1" x14ac:dyDescent="0.2">
      <c r="A540" s="88" t="s">
        <v>873</v>
      </c>
      <c r="B540" s="84" t="s">
        <v>671</v>
      </c>
      <c r="C540" s="83"/>
      <c r="D540" s="83" t="s">
        <v>328</v>
      </c>
      <c r="E540" s="83" t="s">
        <v>871</v>
      </c>
      <c r="I540" s="208" t="s">
        <v>387</v>
      </c>
      <c r="J540" s="209"/>
      <c r="K540" s="208" t="s">
        <v>387</v>
      </c>
    </row>
    <row r="541" spans="1:11" ht="11.25" customHeight="1" x14ac:dyDescent="0.2">
      <c r="A541" s="92" t="s">
        <v>872</v>
      </c>
      <c r="B541" s="60"/>
      <c r="C541" s="61"/>
      <c r="D541" s="61"/>
      <c r="E541" s="83" t="s">
        <v>674</v>
      </c>
      <c r="I541" s="208" t="s">
        <v>387</v>
      </c>
      <c r="J541" s="209"/>
      <c r="K541" s="208" t="s">
        <v>387</v>
      </c>
    </row>
    <row r="542" spans="1:11" ht="11.25" customHeight="1" x14ac:dyDescent="0.2">
      <c r="A542" s="89"/>
      <c r="B542" s="60"/>
      <c r="C542" s="61"/>
      <c r="D542" s="61"/>
      <c r="E542" s="62"/>
      <c r="I542" s="208" t="s">
        <v>387</v>
      </c>
      <c r="J542" s="209"/>
      <c r="K542" s="208" t="s">
        <v>387</v>
      </c>
    </row>
    <row r="543" spans="1:11" ht="11.25" customHeight="1" x14ac:dyDescent="0.2">
      <c r="A543" s="88" t="s">
        <v>874</v>
      </c>
      <c r="B543" s="84" t="s">
        <v>671</v>
      </c>
      <c r="C543" s="83"/>
      <c r="D543" s="83" t="s">
        <v>328</v>
      </c>
      <c r="E543" s="83" t="s">
        <v>871</v>
      </c>
      <c r="I543" s="208" t="s">
        <v>387</v>
      </c>
      <c r="J543" s="209"/>
      <c r="K543" s="208" t="s">
        <v>387</v>
      </c>
    </row>
    <row r="544" spans="1:11" ht="11.25" customHeight="1" x14ac:dyDescent="0.2">
      <c r="A544" s="92" t="s">
        <v>872</v>
      </c>
      <c r="B544" s="60"/>
      <c r="C544" s="61"/>
      <c r="D544" s="61"/>
      <c r="E544" s="83" t="s">
        <v>674</v>
      </c>
      <c r="I544" s="208" t="s">
        <v>387</v>
      </c>
      <c r="J544" s="209"/>
      <c r="K544" s="208" t="s">
        <v>387</v>
      </c>
    </row>
    <row r="545" spans="1:11" ht="11.25" customHeight="1" x14ac:dyDescent="0.2">
      <c r="A545" s="89"/>
      <c r="B545" s="60"/>
      <c r="C545" s="61"/>
      <c r="D545" s="61"/>
      <c r="E545" s="62"/>
      <c r="I545" s="208" t="s">
        <v>387</v>
      </c>
      <c r="J545" s="209"/>
      <c r="K545" s="208" t="s">
        <v>387</v>
      </c>
    </row>
    <row r="546" spans="1:11" ht="11.25" customHeight="1" x14ac:dyDescent="0.2">
      <c r="A546" s="88" t="s">
        <v>876</v>
      </c>
      <c r="B546" s="84" t="s">
        <v>671</v>
      </c>
      <c r="C546" s="83"/>
      <c r="D546" s="83" t="s">
        <v>328</v>
      </c>
      <c r="E546" s="83" t="s">
        <v>653</v>
      </c>
      <c r="I546" s="208" t="s">
        <v>387</v>
      </c>
      <c r="J546" s="209"/>
      <c r="K546" s="208" t="s">
        <v>387</v>
      </c>
    </row>
    <row r="547" spans="1:11" ht="11.25" customHeight="1" x14ac:dyDescent="0.2">
      <c r="A547" s="89"/>
      <c r="B547" s="60"/>
      <c r="C547" s="61"/>
      <c r="D547" s="61"/>
      <c r="E547" s="83" t="s">
        <v>674</v>
      </c>
      <c r="I547" s="208" t="s">
        <v>387</v>
      </c>
      <c r="J547" s="209"/>
      <c r="K547" s="208" t="s">
        <v>387</v>
      </c>
    </row>
    <row r="548" spans="1:11" ht="11.25" customHeight="1" x14ac:dyDescent="0.2">
      <c r="A548" s="62"/>
      <c r="B548" s="60"/>
      <c r="C548" s="61"/>
      <c r="D548" s="61"/>
      <c r="E548" s="83" t="s">
        <v>654</v>
      </c>
      <c r="I548" s="208" t="s">
        <v>387</v>
      </c>
      <c r="J548" s="209"/>
      <c r="K548" s="208" t="s">
        <v>387</v>
      </c>
    </row>
    <row r="549" spans="1:11" ht="11.25" customHeight="1" x14ac:dyDescent="0.2">
      <c r="A549" s="61"/>
      <c r="B549" s="60"/>
      <c r="C549" s="61"/>
      <c r="D549" s="61"/>
      <c r="E549" s="61"/>
      <c r="I549" s="208" t="s">
        <v>387</v>
      </c>
      <c r="J549" s="209"/>
      <c r="K549" s="208" t="s">
        <v>387</v>
      </c>
    </row>
    <row r="550" spans="1:11" ht="11.25" customHeight="1" x14ac:dyDescent="0.2">
      <c r="A550" s="69" t="s">
        <v>1341</v>
      </c>
      <c r="B550" s="96"/>
      <c r="C550" s="95"/>
      <c r="D550" s="95"/>
      <c r="E550" s="97"/>
      <c r="F550" s="70"/>
      <c r="G550" s="70"/>
      <c r="H550" s="70"/>
      <c r="I550" s="208" t="s">
        <v>387</v>
      </c>
      <c r="J550" s="209"/>
      <c r="K550" s="208" t="s">
        <v>387</v>
      </c>
    </row>
    <row r="551" spans="1:11" ht="11.25" customHeight="1" x14ac:dyDescent="0.2">
      <c r="A551" s="55" t="s">
        <v>1342</v>
      </c>
      <c r="B551" s="67" t="s">
        <v>671</v>
      </c>
      <c r="D551" s="83" t="s">
        <v>1248</v>
      </c>
      <c r="E551" s="81" t="s">
        <v>563</v>
      </c>
      <c r="F551" s="67">
        <v>0</v>
      </c>
      <c r="G551" s="67">
        <v>0</v>
      </c>
      <c r="H551" s="67">
        <v>25</v>
      </c>
      <c r="I551" s="208" t="s">
        <v>387</v>
      </c>
      <c r="J551" s="209"/>
      <c r="K551" s="208" t="s">
        <v>387</v>
      </c>
    </row>
    <row r="552" spans="1:11" ht="11.25" customHeight="1" x14ac:dyDescent="0.2">
      <c r="A552" s="3"/>
      <c r="E552" s="300" t="s">
        <v>535</v>
      </c>
      <c r="I552" s="208" t="s">
        <v>387</v>
      </c>
      <c r="J552" s="209"/>
      <c r="K552" s="208" t="s">
        <v>387</v>
      </c>
    </row>
    <row r="553" spans="1:11" x14ac:dyDescent="0.2">
      <c r="A553" s="3"/>
      <c r="E553" s="300" t="s">
        <v>366</v>
      </c>
      <c r="I553" s="208" t="s">
        <v>387</v>
      </c>
      <c r="J553" s="209"/>
      <c r="K553" s="208" t="s">
        <v>387</v>
      </c>
    </row>
    <row r="554" spans="1:11" x14ac:dyDescent="0.2">
      <c r="A554" s="3"/>
      <c r="E554" s="300" t="s">
        <v>367</v>
      </c>
      <c r="I554" s="208" t="s">
        <v>387</v>
      </c>
      <c r="J554" s="209"/>
      <c r="K554" s="208" t="s">
        <v>387</v>
      </c>
    </row>
    <row r="555" spans="1:11" x14ac:dyDescent="0.2">
      <c r="A555" s="3"/>
      <c r="E555" s="300"/>
      <c r="I555" s="208"/>
      <c r="J555" s="209"/>
      <c r="K555" s="208"/>
    </row>
    <row r="556" spans="1:11" x14ac:dyDescent="0.2">
      <c r="A556" s="55" t="s">
        <v>1343</v>
      </c>
      <c r="B556" s="67" t="s">
        <v>671</v>
      </c>
      <c r="D556" s="83" t="s">
        <v>1248</v>
      </c>
      <c r="E556" s="81" t="s">
        <v>402</v>
      </c>
      <c r="F556" s="67">
        <v>0</v>
      </c>
      <c r="G556" s="67">
        <v>0</v>
      </c>
      <c r="H556" s="67">
        <v>59</v>
      </c>
      <c r="I556" s="208" t="s">
        <v>387</v>
      </c>
      <c r="J556" s="209"/>
      <c r="K556" s="208" t="s">
        <v>387</v>
      </c>
    </row>
    <row r="557" spans="1:11" x14ac:dyDescent="0.2">
      <c r="A557" s="3"/>
      <c r="E557" s="300" t="s">
        <v>883</v>
      </c>
      <c r="I557" s="208" t="s">
        <v>387</v>
      </c>
      <c r="J557" s="209"/>
      <c r="K557" s="208" t="s">
        <v>387</v>
      </c>
    </row>
    <row r="558" spans="1:11" x14ac:dyDescent="0.2">
      <c r="A558" s="3"/>
      <c r="E558" s="300"/>
      <c r="I558" s="208" t="s">
        <v>387</v>
      </c>
      <c r="J558" s="209"/>
      <c r="K558" s="208" t="s">
        <v>387</v>
      </c>
    </row>
    <row r="559" spans="1:11" x14ac:dyDescent="0.2">
      <c r="A559" s="55" t="s">
        <v>1347</v>
      </c>
      <c r="B559" s="67" t="s">
        <v>671</v>
      </c>
      <c r="D559" s="83" t="s">
        <v>328</v>
      </c>
      <c r="E559" s="302" t="s">
        <v>1938</v>
      </c>
      <c r="I559" s="208" t="s">
        <v>387</v>
      </c>
      <c r="J559" s="209"/>
      <c r="K559" s="208" t="s">
        <v>387</v>
      </c>
    </row>
    <row r="560" spans="1:11" x14ac:dyDescent="0.2">
      <c r="A560" s="3"/>
      <c r="E560" s="300"/>
      <c r="I560" s="208" t="s">
        <v>387</v>
      </c>
      <c r="J560" s="209"/>
      <c r="K560" s="208" t="s">
        <v>387</v>
      </c>
    </row>
    <row r="561" spans="1:11" x14ac:dyDescent="0.2">
      <c r="A561" s="55" t="s">
        <v>1345</v>
      </c>
      <c r="B561" s="67" t="s">
        <v>671</v>
      </c>
      <c r="D561" s="83" t="s">
        <v>1248</v>
      </c>
      <c r="E561" s="81" t="s">
        <v>563</v>
      </c>
      <c r="F561" s="67">
        <v>0</v>
      </c>
      <c r="G561" s="67">
        <v>0</v>
      </c>
      <c r="H561" s="67">
        <v>25</v>
      </c>
      <c r="I561" s="208" t="s">
        <v>387</v>
      </c>
      <c r="J561" s="209"/>
      <c r="K561" s="208" t="s">
        <v>387</v>
      </c>
    </row>
    <row r="562" spans="1:11" x14ac:dyDescent="0.2">
      <c r="A562" s="3"/>
      <c r="E562" s="300" t="s">
        <v>535</v>
      </c>
      <c r="I562" s="208" t="s">
        <v>387</v>
      </c>
      <c r="J562" s="209"/>
      <c r="K562" s="208" t="s">
        <v>387</v>
      </c>
    </row>
    <row r="563" spans="1:11" x14ac:dyDescent="0.2">
      <c r="A563" s="3"/>
      <c r="E563" s="300" t="s">
        <v>366</v>
      </c>
      <c r="I563" s="208" t="s">
        <v>387</v>
      </c>
      <c r="J563" s="209"/>
      <c r="K563" s="208" t="s">
        <v>387</v>
      </c>
    </row>
    <row r="564" spans="1:11" x14ac:dyDescent="0.2">
      <c r="A564" s="3"/>
      <c r="E564" s="300" t="s">
        <v>367</v>
      </c>
      <c r="I564" s="208" t="s">
        <v>387</v>
      </c>
      <c r="J564" s="209"/>
      <c r="K564" s="208" t="s">
        <v>387</v>
      </c>
    </row>
    <row r="565" spans="1:11" x14ac:dyDescent="0.2">
      <c r="A565" s="3"/>
      <c r="E565" s="300"/>
      <c r="I565" s="208" t="s">
        <v>387</v>
      </c>
      <c r="J565" s="209"/>
      <c r="K565" s="208" t="s">
        <v>387</v>
      </c>
    </row>
    <row r="566" spans="1:11" x14ac:dyDescent="0.2">
      <c r="A566" s="55" t="s">
        <v>1346</v>
      </c>
      <c r="B566" s="67" t="s">
        <v>671</v>
      </c>
      <c r="D566" s="83" t="s">
        <v>1248</v>
      </c>
      <c r="E566" s="81" t="s">
        <v>402</v>
      </c>
      <c r="F566" s="67">
        <v>0</v>
      </c>
      <c r="G566" s="67">
        <v>0</v>
      </c>
      <c r="H566" s="67">
        <v>59</v>
      </c>
      <c r="I566" s="208" t="s">
        <v>387</v>
      </c>
      <c r="J566" s="209"/>
      <c r="K566" s="208" t="s">
        <v>387</v>
      </c>
    </row>
    <row r="567" spans="1:11" x14ac:dyDescent="0.2">
      <c r="A567" s="3"/>
      <c r="E567" s="300" t="s">
        <v>883</v>
      </c>
      <c r="I567" s="208" t="s">
        <v>387</v>
      </c>
      <c r="J567" s="209"/>
      <c r="K567" s="208" t="s">
        <v>387</v>
      </c>
    </row>
    <row r="568" spans="1:11" x14ac:dyDescent="0.2">
      <c r="A568" s="3"/>
      <c r="E568" s="300"/>
      <c r="I568" s="208" t="s">
        <v>387</v>
      </c>
      <c r="J568" s="209"/>
      <c r="K568" s="208" t="s">
        <v>387</v>
      </c>
    </row>
    <row r="569" spans="1:11" x14ac:dyDescent="0.2">
      <c r="A569" s="55" t="s">
        <v>1348</v>
      </c>
      <c r="B569" s="67" t="s">
        <v>671</v>
      </c>
      <c r="D569" s="83" t="s">
        <v>328</v>
      </c>
      <c r="E569" s="302" t="s">
        <v>1344</v>
      </c>
      <c r="I569" s="208" t="s">
        <v>387</v>
      </c>
      <c r="J569" s="209"/>
      <c r="K569" s="208" t="s">
        <v>387</v>
      </c>
    </row>
    <row r="570" spans="1:11" x14ac:dyDescent="0.2">
      <c r="A570" s="3"/>
      <c r="E570" s="300"/>
      <c r="I570" s="208" t="s">
        <v>387</v>
      </c>
      <c r="J570" s="209"/>
      <c r="K570" s="208" t="s">
        <v>387</v>
      </c>
    </row>
    <row r="571" spans="1:11" x14ac:dyDescent="0.2">
      <c r="A571" s="55" t="s">
        <v>271</v>
      </c>
      <c r="B571" s="67" t="s">
        <v>671</v>
      </c>
      <c r="D571" s="83" t="s">
        <v>328</v>
      </c>
      <c r="E571" s="302" t="s">
        <v>1349</v>
      </c>
      <c r="F571" s="67">
        <v>0</v>
      </c>
      <c r="G571" s="67">
        <v>0</v>
      </c>
      <c r="H571" s="67">
        <v>127</v>
      </c>
      <c r="I571" s="208" t="s">
        <v>387</v>
      </c>
      <c r="J571" s="209"/>
      <c r="K571" s="208" t="s">
        <v>387</v>
      </c>
    </row>
    <row r="572" spans="1:11" x14ac:dyDescent="0.2">
      <c r="A572" s="3"/>
      <c r="E572" s="305" t="s">
        <v>1350</v>
      </c>
      <c r="I572" s="208" t="s">
        <v>387</v>
      </c>
      <c r="J572" s="209"/>
      <c r="K572" s="208" t="s">
        <v>387</v>
      </c>
    </row>
    <row r="573" spans="1:11" x14ac:dyDescent="0.2">
      <c r="A573" s="3"/>
      <c r="E573" s="305" t="s">
        <v>1351</v>
      </c>
      <c r="I573" s="208" t="s">
        <v>387</v>
      </c>
      <c r="J573" s="209"/>
      <c r="K573" s="208" t="s">
        <v>387</v>
      </c>
    </row>
    <row r="574" spans="1:11" x14ac:dyDescent="0.2">
      <c r="A574" s="3"/>
      <c r="E574" s="305" t="s">
        <v>1352</v>
      </c>
      <c r="I574" s="208" t="s">
        <v>387</v>
      </c>
      <c r="J574" s="209"/>
      <c r="K574" s="208" t="s">
        <v>387</v>
      </c>
    </row>
    <row r="575" spans="1:11" x14ac:dyDescent="0.2">
      <c r="A575" s="3"/>
      <c r="E575" s="305" t="s">
        <v>1862</v>
      </c>
      <c r="I575" s="208"/>
      <c r="J575" s="209"/>
      <c r="K575" s="208"/>
    </row>
    <row r="576" spans="1:11" x14ac:dyDescent="0.2">
      <c r="A576" s="3"/>
      <c r="E576" s="305" t="s">
        <v>1353</v>
      </c>
      <c r="I576" s="208"/>
      <c r="J576" s="209"/>
      <c r="K576" s="208"/>
    </row>
    <row r="577" spans="1:11" x14ac:dyDescent="0.2">
      <c r="A577" s="3"/>
      <c r="E577" s="305" t="s">
        <v>1354</v>
      </c>
      <c r="I577" s="208"/>
      <c r="J577" s="209"/>
      <c r="K577" s="208"/>
    </row>
    <row r="578" spans="1:11" x14ac:dyDescent="0.2">
      <c r="A578" s="3"/>
      <c r="E578" s="81"/>
      <c r="I578" s="208" t="s">
        <v>387</v>
      </c>
      <c r="J578" s="209"/>
      <c r="K578" s="208" t="s">
        <v>387</v>
      </c>
    </row>
    <row r="579" spans="1:11" x14ac:dyDescent="0.2">
      <c r="A579" s="55" t="s">
        <v>1355</v>
      </c>
      <c r="B579" s="67" t="s">
        <v>671</v>
      </c>
      <c r="D579" s="83" t="s">
        <v>252</v>
      </c>
      <c r="E579" s="302" t="s">
        <v>1356</v>
      </c>
      <c r="F579" s="67">
        <v>0</v>
      </c>
      <c r="G579" s="67">
        <v>0</v>
      </c>
      <c r="H579" s="206" t="s">
        <v>1358</v>
      </c>
      <c r="I579" s="208" t="s">
        <v>387</v>
      </c>
      <c r="J579" s="209"/>
      <c r="K579" s="208" t="s">
        <v>387</v>
      </c>
    </row>
    <row r="580" spans="1:11" x14ac:dyDescent="0.2">
      <c r="A580" s="3"/>
      <c r="E580" s="301" t="s">
        <v>1357</v>
      </c>
      <c r="I580" s="208" t="s">
        <v>387</v>
      </c>
      <c r="J580" s="209"/>
      <c r="K580" s="208" t="s">
        <v>387</v>
      </c>
    </row>
    <row r="581" spans="1:11" ht="12.75" customHeight="1" x14ac:dyDescent="0.2">
      <c r="A581" s="3"/>
      <c r="E581" s="302" t="s">
        <v>1360</v>
      </c>
      <c r="I581" s="208" t="s">
        <v>387</v>
      </c>
      <c r="J581" s="209"/>
      <c r="K581" s="208" t="s">
        <v>387</v>
      </c>
    </row>
    <row r="582" spans="1:11" x14ac:dyDescent="0.2">
      <c r="A582" s="107" t="s">
        <v>1362</v>
      </c>
      <c r="B582" s="96"/>
      <c r="C582" s="95"/>
      <c r="D582" s="95"/>
      <c r="E582" s="97"/>
      <c r="F582" s="70"/>
      <c r="G582" s="70"/>
      <c r="H582" s="70"/>
      <c r="I582" s="208" t="s">
        <v>387</v>
      </c>
      <c r="J582" s="209"/>
      <c r="K582" s="208" t="s">
        <v>387</v>
      </c>
    </row>
    <row r="583" spans="1:11" x14ac:dyDescent="0.2">
      <c r="A583" s="3"/>
      <c r="B583" s="80"/>
      <c r="E583" s="301"/>
      <c r="I583" s="208" t="s">
        <v>387</v>
      </c>
      <c r="J583" s="209"/>
      <c r="K583" s="208" t="s">
        <v>387</v>
      </c>
    </row>
    <row r="584" spans="1:11" x14ac:dyDescent="0.2">
      <c r="A584" s="55" t="s">
        <v>31</v>
      </c>
      <c r="B584" s="67" t="s">
        <v>671</v>
      </c>
      <c r="D584" s="83" t="s">
        <v>1359</v>
      </c>
      <c r="E584" s="302" t="s">
        <v>1366</v>
      </c>
      <c r="F584" s="67">
        <v>0</v>
      </c>
      <c r="G584" s="67">
        <v>0</v>
      </c>
      <c r="H584" s="206" t="s">
        <v>1361</v>
      </c>
      <c r="I584" s="208" t="s">
        <v>387</v>
      </c>
      <c r="J584" s="209"/>
      <c r="K584" s="208" t="s">
        <v>387</v>
      </c>
    </row>
    <row r="585" spans="1:11" x14ac:dyDescent="0.2">
      <c r="A585" s="3"/>
      <c r="E585" s="301" t="s">
        <v>1357</v>
      </c>
      <c r="I585" s="208" t="s">
        <v>387</v>
      </c>
      <c r="J585" s="209"/>
      <c r="K585" s="208" t="s">
        <v>387</v>
      </c>
    </row>
    <row r="586" spans="1:11" x14ac:dyDescent="0.2">
      <c r="A586" s="3"/>
      <c r="E586" s="302" t="s">
        <v>1367</v>
      </c>
      <c r="I586" s="208" t="s">
        <v>387</v>
      </c>
      <c r="J586" s="209"/>
      <c r="K586" s="208" t="s">
        <v>387</v>
      </c>
    </row>
    <row r="587" spans="1:11" x14ac:dyDescent="0.2">
      <c r="A587" s="3"/>
      <c r="E587" s="302"/>
      <c r="I587" s="208"/>
      <c r="J587" s="209"/>
      <c r="K587" s="208"/>
    </row>
    <row r="588" spans="1:11" x14ac:dyDescent="0.2">
      <c r="A588" s="107" t="s">
        <v>361</v>
      </c>
      <c r="B588" s="96"/>
      <c r="C588" s="95"/>
      <c r="D588" s="95"/>
      <c r="E588" s="97"/>
      <c r="F588" s="70"/>
      <c r="G588" s="70"/>
      <c r="H588" s="70"/>
      <c r="I588" s="208" t="s">
        <v>387</v>
      </c>
      <c r="J588" s="209"/>
      <c r="K588" s="208" t="s">
        <v>387</v>
      </c>
    </row>
    <row r="589" spans="1:11" x14ac:dyDescent="0.2">
      <c r="A589" s="306"/>
      <c r="B589" s="80"/>
      <c r="E589" s="301"/>
      <c r="I589" s="208" t="s">
        <v>387</v>
      </c>
      <c r="J589" s="209"/>
      <c r="K589" s="208" t="s">
        <v>387</v>
      </c>
    </row>
    <row r="590" spans="1:11" x14ac:dyDescent="0.2">
      <c r="A590" s="307" t="s">
        <v>1368</v>
      </c>
      <c r="B590" s="67" t="s">
        <v>671</v>
      </c>
      <c r="D590" s="83" t="s">
        <v>207</v>
      </c>
      <c r="E590" s="302" t="s">
        <v>1369</v>
      </c>
      <c r="F590" s="67">
        <v>0</v>
      </c>
      <c r="G590" s="67">
        <v>0</v>
      </c>
      <c r="H590" s="206" t="s">
        <v>1371</v>
      </c>
      <c r="I590" s="208" t="s">
        <v>387</v>
      </c>
      <c r="J590" s="209"/>
      <c r="K590" s="208" t="s">
        <v>387</v>
      </c>
    </row>
    <row r="591" spans="1:11" x14ac:dyDescent="0.2">
      <c r="A591" s="306"/>
      <c r="E591" s="301" t="s">
        <v>1357</v>
      </c>
      <c r="I591" s="208" t="s">
        <v>387</v>
      </c>
      <c r="J591" s="209"/>
      <c r="K591" s="208" t="s">
        <v>387</v>
      </c>
    </row>
    <row r="592" spans="1:11" x14ac:dyDescent="0.2">
      <c r="A592" s="306"/>
      <c r="E592" s="302" t="s">
        <v>1370</v>
      </c>
      <c r="I592" s="208" t="s">
        <v>387</v>
      </c>
      <c r="J592" s="209"/>
      <c r="K592" s="208" t="s">
        <v>387</v>
      </c>
    </row>
    <row r="593" spans="1:11" x14ac:dyDescent="0.2">
      <c r="A593" s="306"/>
      <c r="E593" s="302"/>
      <c r="I593" s="208"/>
      <c r="J593" s="209"/>
      <c r="K593" s="208"/>
    </row>
    <row r="594" spans="1:11" x14ac:dyDescent="0.2">
      <c r="A594" s="307" t="s">
        <v>1372</v>
      </c>
      <c r="B594" s="67" t="s">
        <v>671</v>
      </c>
      <c r="D594" s="83" t="s">
        <v>1359</v>
      </c>
      <c r="E594" s="302" t="s">
        <v>1987</v>
      </c>
      <c r="F594" s="67">
        <v>0</v>
      </c>
      <c r="G594" s="67">
        <v>0</v>
      </c>
      <c r="H594" s="206" t="s">
        <v>1361</v>
      </c>
      <c r="I594" s="208"/>
      <c r="J594" s="209"/>
      <c r="K594" s="208"/>
    </row>
    <row r="595" spans="1:11" x14ac:dyDescent="0.2">
      <c r="A595" s="306"/>
      <c r="E595" s="301" t="s">
        <v>1988</v>
      </c>
      <c r="I595" s="208"/>
      <c r="J595" s="209"/>
      <c r="K595" s="208"/>
    </row>
    <row r="596" spans="1:11" x14ac:dyDescent="0.2">
      <c r="A596" s="306"/>
      <c r="E596" s="301" t="s">
        <v>1990</v>
      </c>
      <c r="I596" s="208"/>
      <c r="J596" s="209"/>
      <c r="K596" s="208"/>
    </row>
    <row r="597" spans="1:11" x14ac:dyDescent="0.2">
      <c r="A597" s="306"/>
      <c r="E597" s="302" t="s">
        <v>1989</v>
      </c>
      <c r="I597" s="208"/>
      <c r="J597" s="209"/>
      <c r="K597" s="208"/>
    </row>
    <row r="598" spans="1:11" x14ac:dyDescent="0.2">
      <c r="A598" s="107" t="s">
        <v>590</v>
      </c>
      <c r="B598" s="96"/>
      <c r="C598" s="95"/>
      <c r="D598" s="95"/>
      <c r="E598" s="97"/>
      <c r="F598" s="70"/>
      <c r="G598" s="70"/>
      <c r="H598" s="70"/>
      <c r="I598" s="208" t="s">
        <v>387</v>
      </c>
      <c r="J598" s="209"/>
      <c r="K598" s="208" t="s">
        <v>387</v>
      </c>
    </row>
    <row r="599" spans="1:11" x14ac:dyDescent="0.2">
      <c r="A599" s="102" t="s">
        <v>368</v>
      </c>
      <c r="B599" s="59" t="s">
        <v>671</v>
      </c>
      <c r="D599" s="58" t="s">
        <v>328</v>
      </c>
      <c r="E599" s="58" t="s">
        <v>1271</v>
      </c>
      <c r="I599" s="208" t="s">
        <v>387</v>
      </c>
      <c r="J599" s="209"/>
      <c r="K599" s="208" t="s">
        <v>387</v>
      </c>
    </row>
    <row r="600" spans="1:11" ht="12.75" x14ac:dyDescent="0.2">
      <c r="A600" s="283"/>
      <c r="B600" s="60"/>
      <c r="C600" s="61"/>
      <c r="D600" s="61"/>
      <c r="E600" s="58" t="s">
        <v>369</v>
      </c>
      <c r="F600" s="67">
        <v>0</v>
      </c>
      <c r="G600" s="67">
        <v>0</v>
      </c>
      <c r="H600" s="67">
        <v>12</v>
      </c>
      <c r="I600" s="208" t="s">
        <v>387</v>
      </c>
      <c r="J600" s="209"/>
      <c r="K600" s="208" t="s">
        <v>387</v>
      </c>
    </row>
    <row r="601" spans="1:11" ht="12.75" x14ac:dyDescent="0.2">
      <c r="A601" s="283"/>
      <c r="B601" s="60"/>
      <c r="C601" s="61"/>
      <c r="D601" s="61"/>
      <c r="E601" s="58" t="s">
        <v>370</v>
      </c>
      <c r="I601" s="208" t="s">
        <v>387</v>
      </c>
      <c r="J601" s="209"/>
      <c r="K601" s="208" t="s">
        <v>387</v>
      </c>
    </row>
    <row r="602" spans="1:11" ht="12.75" x14ac:dyDescent="0.2">
      <c r="A602" s="283"/>
      <c r="B602" s="60"/>
      <c r="C602" s="61"/>
      <c r="D602" s="61"/>
      <c r="E602" s="58" t="s">
        <v>334</v>
      </c>
      <c r="I602" s="208" t="s">
        <v>387</v>
      </c>
      <c r="J602" s="209"/>
      <c r="K602" s="208" t="s">
        <v>387</v>
      </c>
    </row>
    <row r="603" spans="1:11" ht="12.75" x14ac:dyDescent="0.2">
      <c r="A603" s="283"/>
      <c r="B603" s="60"/>
      <c r="C603" s="61"/>
      <c r="D603" s="61"/>
      <c r="E603" s="58" t="s">
        <v>335</v>
      </c>
      <c r="I603" s="208" t="s">
        <v>387</v>
      </c>
      <c r="J603" s="209"/>
      <c r="K603" s="208" t="s">
        <v>387</v>
      </c>
    </row>
    <row r="604" spans="1:11" ht="12.75" x14ac:dyDescent="0.2">
      <c r="A604" s="283"/>
      <c r="B604" s="60"/>
      <c r="C604" s="61"/>
      <c r="D604" s="61"/>
      <c r="E604" s="58" t="s">
        <v>336</v>
      </c>
      <c r="I604" s="208" t="s">
        <v>387</v>
      </c>
      <c r="J604" s="209"/>
      <c r="K604" s="208" t="s">
        <v>387</v>
      </c>
    </row>
    <row r="605" spans="1:11" ht="12.75" x14ac:dyDescent="0.2">
      <c r="A605" s="283"/>
      <c r="B605" s="60"/>
      <c r="C605" s="61"/>
      <c r="D605" s="61"/>
      <c r="E605" s="58" t="s">
        <v>337</v>
      </c>
      <c r="I605" s="208" t="s">
        <v>387</v>
      </c>
      <c r="J605" s="209"/>
      <c r="K605" s="208" t="s">
        <v>387</v>
      </c>
    </row>
    <row r="606" spans="1:11" ht="12.75" x14ac:dyDescent="0.2">
      <c r="A606" s="283"/>
      <c r="B606" s="60"/>
      <c r="C606" s="61"/>
      <c r="D606" s="61"/>
      <c r="E606" s="58" t="s">
        <v>338</v>
      </c>
      <c r="I606" s="208" t="s">
        <v>387</v>
      </c>
      <c r="J606" s="209"/>
      <c r="K606" s="208" t="s">
        <v>387</v>
      </c>
    </row>
    <row r="607" spans="1:11" ht="12.75" x14ac:dyDescent="0.2">
      <c r="A607" s="283"/>
      <c r="B607" s="60"/>
      <c r="C607" s="61"/>
      <c r="D607" s="61"/>
      <c r="E607" s="58" t="s">
        <v>784</v>
      </c>
      <c r="I607" s="208" t="s">
        <v>387</v>
      </c>
      <c r="J607" s="209"/>
      <c r="K607" s="208" t="s">
        <v>387</v>
      </c>
    </row>
    <row r="608" spans="1:11" ht="12.75" x14ac:dyDescent="0.2">
      <c r="A608" s="283"/>
      <c r="B608" s="60"/>
      <c r="C608" s="61"/>
      <c r="D608" s="61"/>
      <c r="E608" s="58" t="s">
        <v>785</v>
      </c>
      <c r="I608" s="208" t="s">
        <v>387</v>
      </c>
      <c r="J608" s="209"/>
      <c r="K608" s="208" t="s">
        <v>387</v>
      </c>
    </row>
    <row r="609" spans="1:11" ht="12.75" x14ac:dyDescent="0.2">
      <c r="A609" s="283"/>
      <c r="B609" s="60"/>
      <c r="C609" s="61"/>
      <c r="D609" s="61"/>
      <c r="E609" s="58" t="s">
        <v>786</v>
      </c>
      <c r="I609" s="208" t="s">
        <v>387</v>
      </c>
      <c r="J609" s="209"/>
      <c r="K609" s="208" t="s">
        <v>387</v>
      </c>
    </row>
    <row r="610" spans="1:11" ht="12.75" x14ac:dyDescent="0.2">
      <c r="A610" s="283"/>
      <c r="B610" s="60"/>
      <c r="C610" s="61"/>
      <c r="D610" s="61"/>
      <c r="E610" s="58" t="s">
        <v>787</v>
      </c>
      <c r="I610" s="208" t="s">
        <v>387</v>
      </c>
      <c r="J610" s="209"/>
      <c r="K610" s="208" t="s">
        <v>387</v>
      </c>
    </row>
    <row r="611" spans="1:11" ht="12.75" x14ac:dyDescent="0.2">
      <c r="A611" s="283"/>
      <c r="B611" s="60"/>
      <c r="C611" s="61"/>
      <c r="D611" s="61"/>
      <c r="E611" s="58" t="s">
        <v>906</v>
      </c>
      <c r="I611" s="208" t="s">
        <v>387</v>
      </c>
      <c r="J611" s="209"/>
      <c r="K611" s="208" t="s">
        <v>387</v>
      </c>
    </row>
    <row r="612" spans="1:11" ht="12.75" x14ac:dyDescent="0.2">
      <c r="A612" s="283"/>
      <c r="B612" s="60"/>
      <c r="C612" s="61"/>
      <c r="D612" s="61"/>
      <c r="E612" s="62"/>
      <c r="I612" s="208" t="s">
        <v>387</v>
      </c>
      <c r="J612" s="209"/>
      <c r="K612" s="208" t="s">
        <v>387</v>
      </c>
    </row>
    <row r="613" spans="1:11" x14ac:dyDescent="0.2">
      <c r="A613" s="102" t="s">
        <v>907</v>
      </c>
      <c r="B613" s="59" t="s">
        <v>671</v>
      </c>
      <c r="D613" s="58" t="s">
        <v>328</v>
      </c>
      <c r="E613" s="98" t="s">
        <v>921</v>
      </c>
      <c r="F613" s="67">
        <v>1</v>
      </c>
      <c r="G613" s="67">
        <v>1</v>
      </c>
      <c r="H613" s="67">
        <v>31</v>
      </c>
      <c r="I613" s="208" t="s">
        <v>387</v>
      </c>
      <c r="J613" s="209"/>
      <c r="K613" s="208" t="s">
        <v>387</v>
      </c>
    </row>
    <row r="614" spans="1:11" ht="12.75" x14ac:dyDescent="0.2">
      <c r="A614" s="283"/>
      <c r="B614" s="60"/>
      <c r="C614" s="61"/>
      <c r="D614" s="61"/>
      <c r="E614" s="62"/>
      <c r="I614" s="208" t="s">
        <v>387</v>
      </c>
      <c r="J614" s="209"/>
      <c r="K614" s="208" t="s">
        <v>387</v>
      </c>
    </row>
    <row r="615" spans="1:11" x14ac:dyDescent="0.2">
      <c r="A615" s="102" t="s">
        <v>908</v>
      </c>
      <c r="B615" s="59" t="s">
        <v>671</v>
      </c>
      <c r="D615" s="58" t="s">
        <v>328</v>
      </c>
      <c r="E615" s="58" t="s">
        <v>909</v>
      </c>
      <c r="F615" s="67">
        <v>1</v>
      </c>
      <c r="G615" s="67">
        <v>1</v>
      </c>
      <c r="H615" s="67">
        <v>12</v>
      </c>
      <c r="I615" s="208" t="s">
        <v>387</v>
      </c>
      <c r="J615" s="209"/>
      <c r="K615" s="208" t="s">
        <v>387</v>
      </c>
    </row>
    <row r="616" spans="1:11" ht="12.75" x14ac:dyDescent="0.2">
      <c r="A616" s="283"/>
      <c r="B616" s="60"/>
      <c r="C616" s="61"/>
      <c r="D616" s="61"/>
      <c r="E616" s="62"/>
      <c r="F616" s="206"/>
      <c r="I616" s="208" t="s">
        <v>387</v>
      </c>
      <c r="J616" s="209"/>
      <c r="K616" s="208" t="s">
        <v>387</v>
      </c>
    </row>
    <row r="617" spans="1:11" x14ac:dyDescent="0.2">
      <c r="A617" s="102" t="s">
        <v>910</v>
      </c>
      <c r="B617" s="59" t="s">
        <v>671</v>
      </c>
      <c r="D617" s="58" t="s">
        <v>328</v>
      </c>
      <c r="E617" s="58" t="s">
        <v>1574</v>
      </c>
      <c r="F617" s="67">
        <v>1</v>
      </c>
      <c r="G617" s="67">
        <v>0</v>
      </c>
      <c r="H617" s="67">
        <v>199</v>
      </c>
      <c r="I617" s="208" t="s">
        <v>387</v>
      </c>
      <c r="J617" s="209"/>
      <c r="K617" s="208" t="s">
        <v>387</v>
      </c>
    </row>
    <row r="618" spans="1:11" ht="12.75" x14ac:dyDescent="0.2">
      <c r="A618" s="283"/>
      <c r="B618" s="60"/>
      <c r="C618" s="61"/>
      <c r="D618" s="61"/>
      <c r="E618" s="62"/>
      <c r="I618" s="208" t="s">
        <v>387</v>
      </c>
      <c r="J618" s="209"/>
      <c r="K618" s="208" t="s">
        <v>387</v>
      </c>
    </row>
    <row r="619" spans="1:11" x14ac:dyDescent="0.2">
      <c r="A619" s="102" t="s">
        <v>911</v>
      </c>
      <c r="B619" s="59" t="s">
        <v>671</v>
      </c>
      <c r="D619" s="58" t="s">
        <v>328</v>
      </c>
      <c r="E619" s="98" t="s">
        <v>921</v>
      </c>
      <c r="F619" s="67">
        <v>1</v>
      </c>
      <c r="G619" s="67">
        <v>1</v>
      </c>
      <c r="H619" s="67">
        <v>31</v>
      </c>
      <c r="I619" s="208" t="s">
        <v>387</v>
      </c>
      <c r="J619" s="209"/>
      <c r="K619" s="208" t="s">
        <v>387</v>
      </c>
    </row>
    <row r="620" spans="1:11" ht="12.75" x14ac:dyDescent="0.2">
      <c r="A620" s="283"/>
      <c r="B620" s="60"/>
      <c r="C620" s="61"/>
      <c r="D620" s="61"/>
      <c r="E620" s="62"/>
      <c r="I620" s="208" t="s">
        <v>387</v>
      </c>
      <c r="J620" s="209"/>
      <c r="K620" s="208" t="s">
        <v>387</v>
      </c>
    </row>
    <row r="621" spans="1:11" x14ac:dyDescent="0.2">
      <c r="A621" s="102" t="s">
        <v>912</v>
      </c>
      <c r="B621" s="59" t="s">
        <v>671</v>
      </c>
      <c r="D621" s="58" t="s">
        <v>328</v>
      </c>
      <c r="E621" s="58" t="s">
        <v>909</v>
      </c>
      <c r="F621" s="67">
        <v>1</v>
      </c>
      <c r="G621" s="67">
        <v>1</v>
      </c>
      <c r="H621" s="67">
        <v>12</v>
      </c>
      <c r="I621" s="208" t="s">
        <v>387</v>
      </c>
      <c r="J621" s="209"/>
      <c r="K621" s="208" t="s">
        <v>387</v>
      </c>
    </row>
    <row r="622" spans="1:11" ht="12.75" x14ac:dyDescent="0.2">
      <c r="A622" s="283"/>
      <c r="B622" s="60"/>
      <c r="C622" s="61"/>
      <c r="D622" s="61"/>
      <c r="E622" s="62"/>
      <c r="I622" s="208" t="s">
        <v>387</v>
      </c>
      <c r="J622" s="209"/>
      <c r="K622" s="208" t="s">
        <v>387</v>
      </c>
    </row>
    <row r="623" spans="1:11" x14ac:dyDescent="0.2">
      <c r="A623" s="102" t="s">
        <v>913</v>
      </c>
      <c r="B623" s="59" t="s">
        <v>671</v>
      </c>
      <c r="D623" s="58" t="s">
        <v>328</v>
      </c>
      <c r="E623" s="58" t="s">
        <v>1575</v>
      </c>
      <c r="F623" s="67">
        <v>1</v>
      </c>
      <c r="G623" s="67">
        <v>1</v>
      </c>
      <c r="H623" s="67">
        <v>199</v>
      </c>
      <c r="I623" s="208" t="s">
        <v>387</v>
      </c>
      <c r="J623" s="209"/>
      <c r="K623" s="208" t="s">
        <v>387</v>
      </c>
    </row>
    <row r="624" spans="1:11" ht="12.75" x14ac:dyDescent="0.2">
      <c r="A624" s="283"/>
      <c r="B624" s="60"/>
      <c r="C624" s="61"/>
      <c r="D624" s="61"/>
      <c r="E624" s="62"/>
      <c r="I624" s="208" t="s">
        <v>387</v>
      </c>
      <c r="J624" s="209"/>
      <c r="K624" s="208" t="s">
        <v>387</v>
      </c>
    </row>
    <row r="625" spans="1:11" x14ac:dyDescent="0.2">
      <c r="A625" s="102" t="s">
        <v>914</v>
      </c>
      <c r="B625" s="59" t="s">
        <v>671</v>
      </c>
      <c r="D625" s="58" t="s">
        <v>328</v>
      </c>
      <c r="E625" s="58" t="s">
        <v>350</v>
      </c>
      <c r="F625" s="67">
        <v>1</v>
      </c>
      <c r="G625" s="67">
        <v>0</v>
      </c>
      <c r="H625" s="67">
        <v>6</v>
      </c>
      <c r="I625" s="208" t="s">
        <v>387</v>
      </c>
      <c r="J625" s="209"/>
      <c r="K625" s="208" t="s">
        <v>387</v>
      </c>
    </row>
    <row r="626" spans="1:11" ht="12.75" x14ac:dyDescent="0.2">
      <c r="A626" s="283"/>
      <c r="B626" s="60"/>
      <c r="C626" s="61"/>
      <c r="D626" s="61"/>
      <c r="E626" s="61"/>
      <c r="I626" s="208" t="s">
        <v>387</v>
      </c>
      <c r="J626" s="209"/>
      <c r="K626" s="208" t="s">
        <v>387</v>
      </c>
    </row>
    <row r="627" spans="1:11" x14ac:dyDescent="0.2">
      <c r="A627" s="102" t="s">
        <v>915</v>
      </c>
      <c r="B627" s="59" t="s">
        <v>671</v>
      </c>
      <c r="D627" s="58" t="s">
        <v>328</v>
      </c>
      <c r="E627" s="58" t="s">
        <v>1126</v>
      </c>
      <c r="F627" s="67">
        <v>1</v>
      </c>
      <c r="G627" s="67">
        <v>1</v>
      </c>
      <c r="H627" s="67">
        <v>5</v>
      </c>
      <c r="I627" s="208" t="s">
        <v>387</v>
      </c>
      <c r="J627" s="209"/>
      <c r="K627" s="208" t="s">
        <v>387</v>
      </c>
    </row>
    <row r="628" spans="1:11" ht="12.75" x14ac:dyDescent="0.2">
      <c r="A628" s="283"/>
      <c r="B628" s="60"/>
      <c r="C628" s="61"/>
      <c r="D628" s="61"/>
      <c r="E628" s="58" t="s">
        <v>1127</v>
      </c>
      <c r="I628" s="208" t="s">
        <v>387</v>
      </c>
      <c r="J628" s="209"/>
      <c r="K628" s="208" t="s">
        <v>387</v>
      </c>
    </row>
    <row r="629" spans="1:11" ht="12.75" x14ac:dyDescent="0.2">
      <c r="A629" s="283"/>
      <c r="B629" s="60"/>
      <c r="C629" s="61"/>
      <c r="D629" s="61"/>
      <c r="E629" s="58" t="s">
        <v>1576</v>
      </c>
      <c r="I629" s="208" t="s">
        <v>387</v>
      </c>
      <c r="J629" s="209"/>
      <c r="K629" s="208" t="s">
        <v>387</v>
      </c>
    </row>
    <row r="630" spans="1:11" ht="12.75" x14ac:dyDescent="0.2">
      <c r="A630" s="283"/>
      <c r="B630" s="60"/>
      <c r="C630" s="61"/>
      <c r="D630" s="61"/>
      <c r="E630" s="58" t="s">
        <v>1577</v>
      </c>
      <c r="I630" s="208" t="s">
        <v>387</v>
      </c>
      <c r="J630" s="209"/>
      <c r="K630" s="208" t="s">
        <v>387</v>
      </c>
    </row>
    <row r="631" spans="1:11" ht="12.75" x14ac:dyDescent="0.2">
      <c r="A631" s="283"/>
      <c r="B631" s="60"/>
      <c r="C631" s="61"/>
      <c r="D631" s="61"/>
      <c r="E631" s="58" t="s">
        <v>1578</v>
      </c>
      <c r="I631" s="208" t="s">
        <v>387</v>
      </c>
      <c r="J631" s="209"/>
      <c r="K631" s="208" t="s">
        <v>387</v>
      </c>
    </row>
    <row r="632" spans="1:11" ht="12.75" x14ac:dyDescent="0.2">
      <c r="A632" s="283"/>
      <c r="B632" s="60"/>
      <c r="C632" s="61"/>
      <c r="D632" s="61"/>
      <c r="I632" s="208" t="s">
        <v>387</v>
      </c>
      <c r="J632" s="209"/>
      <c r="K632" s="208" t="s">
        <v>387</v>
      </c>
    </row>
    <row r="633" spans="1:11" ht="12.75" x14ac:dyDescent="0.2">
      <c r="A633" s="283"/>
      <c r="B633" s="60"/>
      <c r="C633" s="61"/>
      <c r="D633" s="61"/>
      <c r="E633" s="61"/>
      <c r="I633" s="208" t="s">
        <v>387</v>
      </c>
      <c r="J633" s="209"/>
      <c r="K633" s="208" t="s">
        <v>387</v>
      </c>
    </row>
    <row r="634" spans="1:11" x14ac:dyDescent="0.2">
      <c r="A634" s="102" t="s">
        <v>916</v>
      </c>
      <c r="B634" s="59" t="s">
        <v>671</v>
      </c>
      <c r="D634" s="58" t="s">
        <v>328</v>
      </c>
      <c r="E634" s="58" t="s">
        <v>909</v>
      </c>
      <c r="F634" s="67">
        <v>1</v>
      </c>
      <c r="G634" s="67">
        <v>1</v>
      </c>
      <c r="H634" s="67">
        <v>12</v>
      </c>
      <c r="I634" s="208" t="s">
        <v>387</v>
      </c>
      <c r="J634" s="209"/>
      <c r="K634" s="208" t="s">
        <v>387</v>
      </c>
    </row>
    <row r="635" spans="1:11" ht="12.75" x14ac:dyDescent="0.2">
      <c r="A635" s="283"/>
      <c r="B635" s="60"/>
      <c r="C635" s="61"/>
      <c r="D635" s="61"/>
      <c r="E635" s="62"/>
      <c r="I635" s="208" t="s">
        <v>387</v>
      </c>
      <c r="J635" s="209"/>
      <c r="K635" s="208" t="s">
        <v>387</v>
      </c>
    </row>
    <row r="636" spans="1:11" x14ac:dyDescent="0.2">
      <c r="A636" s="102" t="s">
        <v>917</v>
      </c>
      <c r="B636" s="59" t="s">
        <v>671</v>
      </c>
      <c r="D636" s="58" t="s">
        <v>328</v>
      </c>
      <c r="E636" s="98" t="s">
        <v>921</v>
      </c>
      <c r="F636" s="67">
        <v>1</v>
      </c>
      <c r="G636" s="67">
        <v>1</v>
      </c>
      <c r="H636" s="67">
        <v>31</v>
      </c>
      <c r="I636" s="208" t="s">
        <v>387</v>
      </c>
      <c r="J636" s="209"/>
      <c r="K636" s="208" t="s">
        <v>387</v>
      </c>
    </row>
    <row r="637" spans="1:11" ht="12.75" x14ac:dyDescent="0.2">
      <c r="A637" s="283"/>
      <c r="B637" s="60"/>
      <c r="C637" s="61"/>
      <c r="D637" s="61"/>
      <c r="E637" s="62"/>
      <c r="I637" s="208" t="s">
        <v>387</v>
      </c>
      <c r="J637" s="209"/>
      <c r="K637" s="208" t="s">
        <v>387</v>
      </c>
    </row>
    <row r="638" spans="1:11" x14ac:dyDescent="0.2">
      <c r="A638" s="102" t="s">
        <v>918</v>
      </c>
      <c r="B638" s="59" t="s">
        <v>671</v>
      </c>
      <c r="D638" s="58" t="s">
        <v>328</v>
      </c>
      <c r="E638" s="58" t="s">
        <v>909</v>
      </c>
      <c r="F638" s="67">
        <v>1</v>
      </c>
      <c r="G638" s="67">
        <v>1</v>
      </c>
      <c r="H638" s="67">
        <v>12</v>
      </c>
      <c r="I638" s="208" t="s">
        <v>387</v>
      </c>
      <c r="J638" s="209"/>
      <c r="K638" s="208" t="s">
        <v>387</v>
      </c>
    </row>
    <row r="639" spans="1:11" ht="12.75" x14ac:dyDescent="0.2">
      <c r="A639" s="283"/>
      <c r="B639" s="60"/>
      <c r="C639" s="61"/>
      <c r="D639" s="61"/>
      <c r="E639" s="62"/>
      <c r="I639" s="208" t="s">
        <v>387</v>
      </c>
      <c r="J639" s="209"/>
      <c r="K639" s="208" t="s">
        <v>387</v>
      </c>
    </row>
    <row r="640" spans="1:11" x14ac:dyDescent="0.2">
      <c r="A640" s="102" t="s">
        <v>919</v>
      </c>
      <c r="B640" s="59" t="s">
        <v>671</v>
      </c>
      <c r="D640" s="58" t="s">
        <v>328</v>
      </c>
      <c r="E640" s="98" t="s">
        <v>921</v>
      </c>
      <c r="F640" s="67">
        <v>1</v>
      </c>
      <c r="G640" s="67">
        <v>1</v>
      </c>
      <c r="H640" s="67">
        <v>31</v>
      </c>
      <c r="I640" s="208" t="s">
        <v>387</v>
      </c>
      <c r="J640" s="209"/>
      <c r="K640" s="208" t="s">
        <v>387</v>
      </c>
    </row>
    <row r="641" spans="1:14" x14ac:dyDescent="0.2">
      <c r="A641" s="102"/>
      <c r="B641" s="59"/>
      <c r="D641" s="58"/>
      <c r="E641" s="98"/>
      <c r="I641" s="208"/>
      <c r="J641" s="209"/>
      <c r="K641" s="208"/>
    </row>
    <row r="642" spans="1:14" x14ac:dyDescent="0.2">
      <c r="A642" s="55" t="s">
        <v>1272</v>
      </c>
      <c r="B642" s="59" t="s">
        <v>671</v>
      </c>
      <c r="D642" s="58" t="s">
        <v>328</v>
      </c>
      <c r="E642" s="284" t="s">
        <v>1274</v>
      </c>
      <c r="F642" s="67">
        <v>1</v>
      </c>
      <c r="G642" s="67">
        <v>0</v>
      </c>
      <c r="H642" s="67">
        <v>3</v>
      </c>
      <c r="I642" s="208"/>
      <c r="J642" s="209"/>
      <c r="K642" s="208"/>
    </row>
    <row r="643" spans="1:14" x14ac:dyDescent="0.2">
      <c r="A643" s="55"/>
      <c r="B643" s="59"/>
      <c r="D643" s="58"/>
      <c r="E643" s="284" t="s">
        <v>1579</v>
      </c>
      <c r="I643" s="208"/>
      <c r="J643" s="209"/>
      <c r="K643" s="208"/>
    </row>
    <row r="644" spans="1:14" x14ac:dyDescent="0.2">
      <c r="A644" s="55"/>
      <c r="B644" s="59"/>
      <c r="D644" s="58"/>
      <c r="E644" s="98"/>
      <c r="I644" s="208"/>
      <c r="J644" s="209"/>
      <c r="K644" s="208"/>
    </row>
    <row r="645" spans="1:14" x14ac:dyDescent="0.2">
      <c r="A645" s="55" t="s">
        <v>1273</v>
      </c>
      <c r="B645" s="59" t="s">
        <v>671</v>
      </c>
      <c r="D645" s="58" t="s">
        <v>328</v>
      </c>
      <c r="E645" s="284" t="s">
        <v>1925</v>
      </c>
      <c r="F645" s="67">
        <v>1</v>
      </c>
      <c r="G645" s="67">
        <v>1</v>
      </c>
      <c r="H645" s="67">
        <v>365</v>
      </c>
      <c r="I645" s="208"/>
      <c r="J645" s="209"/>
      <c r="K645" s="208"/>
    </row>
    <row r="646" spans="1:14" x14ac:dyDescent="0.2">
      <c r="A646" s="55"/>
      <c r="B646" s="59"/>
      <c r="D646" s="58"/>
      <c r="E646" s="284" t="s">
        <v>1926</v>
      </c>
      <c r="I646" s="208"/>
      <c r="J646" s="209"/>
      <c r="K646" s="208"/>
    </row>
    <row r="647" spans="1:14" x14ac:dyDescent="0.2">
      <c r="A647" s="55"/>
      <c r="B647" s="59"/>
      <c r="D647" s="58"/>
      <c r="E647" s="284" t="s">
        <v>1927</v>
      </c>
      <c r="I647" s="208"/>
      <c r="J647" s="209"/>
      <c r="K647" s="208"/>
    </row>
    <row r="648" spans="1:14" ht="12.75" x14ac:dyDescent="0.2">
      <c r="A648" s="283"/>
      <c r="B648" s="60"/>
      <c r="C648" s="61"/>
      <c r="D648" s="61"/>
      <c r="E648" s="62"/>
      <c r="I648" s="208" t="s">
        <v>387</v>
      </c>
      <c r="J648" s="209"/>
      <c r="K648" s="208" t="s">
        <v>387</v>
      </c>
    </row>
    <row r="649" spans="1:14" x14ac:dyDescent="0.2">
      <c r="A649" s="102" t="s">
        <v>920</v>
      </c>
      <c r="B649" s="59" t="s">
        <v>671</v>
      </c>
      <c r="D649" s="58" t="s">
        <v>328</v>
      </c>
      <c r="E649" s="99" t="s">
        <v>922</v>
      </c>
      <c r="F649" s="67">
        <v>1</v>
      </c>
      <c r="G649" s="67">
        <v>1</v>
      </c>
      <c r="H649" s="67">
        <v>99</v>
      </c>
      <c r="I649" s="208" t="s">
        <v>387</v>
      </c>
      <c r="J649" s="209"/>
      <c r="K649" s="208" t="s">
        <v>387</v>
      </c>
    </row>
    <row r="650" spans="1:14" x14ac:dyDescent="0.2">
      <c r="A650" s="102"/>
      <c r="B650" s="59"/>
      <c r="C650" s="83"/>
      <c r="D650" s="58"/>
      <c r="E650" s="99"/>
      <c r="I650" s="208"/>
      <c r="J650" s="209"/>
      <c r="K650" s="208"/>
    </row>
    <row r="651" spans="1:14" x14ac:dyDescent="0.2">
      <c r="A651" s="102" t="s">
        <v>1269</v>
      </c>
      <c r="B651" s="59" t="s">
        <v>671</v>
      </c>
      <c r="D651" s="58" t="s">
        <v>328</v>
      </c>
      <c r="E651" s="282" t="s">
        <v>1270</v>
      </c>
      <c r="F651" s="67">
        <v>0</v>
      </c>
      <c r="G651" s="67">
        <v>0</v>
      </c>
      <c r="H651" s="67">
        <v>13</v>
      </c>
      <c r="I651" s="208"/>
      <c r="J651" s="209"/>
      <c r="K651" s="208"/>
    </row>
    <row r="652" spans="1:14" x14ac:dyDescent="0.2">
      <c r="A652" s="102"/>
      <c r="B652" s="59"/>
      <c r="D652" s="58"/>
      <c r="E652" s="315" t="s">
        <v>1616</v>
      </c>
      <c r="I652" s="208"/>
      <c r="J652" s="209"/>
      <c r="K652" s="208"/>
    </row>
    <row r="653" spans="1:14" x14ac:dyDescent="0.2">
      <c r="A653" s="3"/>
      <c r="E653" s="315" t="s">
        <v>1617</v>
      </c>
      <c r="I653" s="208" t="s">
        <v>387</v>
      </c>
      <c r="J653" s="209"/>
      <c r="K653" s="208" t="s">
        <v>387</v>
      </c>
      <c r="N653" s="315"/>
    </row>
    <row r="654" spans="1:14" x14ac:dyDescent="0.2">
      <c r="A654" s="102"/>
      <c r="B654" s="59"/>
      <c r="D654" s="58"/>
      <c r="E654" s="315" t="s">
        <v>1618</v>
      </c>
      <c r="I654" s="208"/>
      <c r="J654" s="209"/>
      <c r="K654" s="208"/>
      <c r="N654" s="315"/>
    </row>
    <row r="655" spans="1:14" x14ac:dyDescent="0.2">
      <c r="A655" s="3"/>
      <c r="E655" s="315" t="s">
        <v>1619</v>
      </c>
      <c r="I655" s="208" t="s">
        <v>387</v>
      </c>
      <c r="J655" s="209"/>
      <c r="K655" s="208" t="s">
        <v>387</v>
      </c>
      <c r="N655" s="315"/>
    </row>
    <row r="656" spans="1:14" x14ac:dyDescent="0.2">
      <c r="A656" s="102"/>
      <c r="B656" s="59"/>
      <c r="D656" s="58"/>
      <c r="E656" s="315" t="s">
        <v>1620</v>
      </c>
      <c r="I656" s="208"/>
      <c r="J656" s="209"/>
      <c r="K656" s="208"/>
      <c r="N656" s="315"/>
    </row>
    <row r="657" spans="1:14" x14ac:dyDescent="0.2">
      <c r="A657" s="3"/>
      <c r="E657" s="315" t="s">
        <v>1621</v>
      </c>
      <c r="I657" s="208" t="s">
        <v>387</v>
      </c>
      <c r="J657" s="209"/>
      <c r="K657" s="208" t="s">
        <v>387</v>
      </c>
      <c r="N657" s="315"/>
    </row>
    <row r="658" spans="1:14" x14ac:dyDescent="0.2">
      <c r="A658" s="102"/>
      <c r="B658" s="59"/>
      <c r="D658" s="58"/>
      <c r="E658" s="315" t="s">
        <v>1622</v>
      </c>
      <c r="I658" s="208"/>
      <c r="J658" s="209"/>
      <c r="K658" s="208"/>
      <c r="N658" s="315"/>
    </row>
    <row r="659" spans="1:14" x14ac:dyDescent="0.2">
      <c r="A659" s="3"/>
      <c r="E659" s="315" t="s">
        <v>1623</v>
      </c>
      <c r="I659" s="208"/>
      <c r="J659" s="209"/>
      <c r="K659" s="208"/>
      <c r="N659" s="315"/>
    </row>
    <row r="660" spans="1:14" x14ac:dyDescent="0.2">
      <c r="A660" s="102"/>
      <c r="B660" s="59"/>
      <c r="D660" s="58"/>
      <c r="E660" s="315" t="s">
        <v>1624</v>
      </c>
      <c r="I660" s="208"/>
      <c r="J660" s="209"/>
      <c r="K660" s="208"/>
      <c r="N660" s="315"/>
    </row>
    <row r="661" spans="1:14" x14ac:dyDescent="0.2">
      <c r="A661" s="3"/>
      <c r="E661" s="315" t="s">
        <v>1625</v>
      </c>
      <c r="I661" s="208" t="s">
        <v>387</v>
      </c>
      <c r="J661" s="209"/>
      <c r="K661" s="208" t="s">
        <v>387</v>
      </c>
      <c r="N661" s="315"/>
    </row>
    <row r="662" spans="1:14" x14ac:dyDescent="0.2">
      <c r="A662" s="102"/>
      <c r="B662" s="59"/>
      <c r="D662" s="58"/>
      <c r="E662" s="315" t="s">
        <v>1626</v>
      </c>
      <c r="I662" s="208"/>
      <c r="J662" s="209"/>
      <c r="K662" s="208"/>
      <c r="N662" s="315"/>
    </row>
    <row r="663" spans="1:14" x14ac:dyDescent="0.2">
      <c r="A663" s="3"/>
      <c r="E663" s="315" t="s">
        <v>1627</v>
      </c>
      <c r="I663" s="208" t="s">
        <v>387</v>
      </c>
      <c r="J663" s="209"/>
      <c r="K663" s="208" t="s">
        <v>387</v>
      </c>
      <c r="N663" s="315"/>
    </row>
    <row r="664" spans="1:14" x14ac:dyDescent="0.2">
      <c r="A664" s="102"/>
      <c r="B664" s="59"/>
      <c r="D664" s="58"/>
      <c r="E664" s="315" t="s">
        <v>1628</v>
      </c>
      <c r="I664" s="208"/>
      <c r="J664" s="209"/>
      <c r="K664" s="208"/>
      <c r="N664" s="315"/>
    </row>
    <row r="665" spans="1:14" x14ac:dyDescent="0.2">
      <c r="A665" s="3"/>
      <c r="E665" s="315" t="s">
        <v>1629</v>
      </c>
      <c r="I665" s="208" t="s">
        <v>387</v>
      </c>
      <c r="J665" s="209"/>
      <c r="K665" s="208" t="s">
        <v>387</v>
      </c>
      <c r="N665" s="315"/>
    </row>
    <row r="666" spans="1:14" x14ac:dyDescent="0.2">
      <c r="A666" s="102"/>
      <c r="B666" s="59"/>
      <c r="D666" s="58"/>
      <c r="E666" s="282"/>
      <c r="I666" s="208"/>
      <c r="J666" s="209"/>
      <c r="K666" s="208"/>
      <c r="N666" s="315"/>
    </row>
    <row r="667" spans="1:14" ht="12.75" customHeight="1" x14ac:dyDescent="0.2">
      <c r="A667" s="473" t="s">
        <v>1639</v>
      </c>
      <c r="B667" s="474"/>
      <c r="C667" s="474"/>
      <c r="D667" s="474"/>
      <c r="E667" s="474"/>
      <c r="F667" s="474"/>
      <c r="G667" s="474"/>
      <c r="H667" s="475"/>
      <c r="I667" s="208" t="s">
        <v>387</v>
      </c>
      <c r="J667" s="209"/>
      <c r="K667" s="208" t="s">
        <v>387</v>
      </c>
    </row>
    <row r="668" spans="1:14" x14ac:dyDescent="0.2">
      <c r="A668" s="321" t="s">
        <v>1630</v>
      </c>
      <c r="B668" s="322" t="s">
        <v>671</v>
      </c>
      <c r="C668" s="298"/>
      <c r="D668" s="323" t="s">
        <v>328</v>
      </c>
      <c r="E668" s="326" t="s">
        <v>1001</v>
      </c>
      <c r="F668" s="324">
        <v>255</v>
      </c>
      <c r="G668" s="324">
        <v>0</v>
      </c>
      <c r="H668" s="324">
        <v>255</v>
      </c>
      <c r="I668" s="208"/>
      <c r="J668" s="209"/>
      <c r="K668" s="208"/>
    </row>
    <row r="669" spans="1:14" x14ac:dyDescent="0.2">
      <c r="A669" s="179"/>
      <c r="B669" s="247"/>
      <c r="C669" s="298"/>
      <c r="D669" s="298"/>
      <c r="E669" s="326" t="s">
        <v>1177</v>
      </c>
      <c r="F669" s="247"/>
      <c r="G669" s="247"/>
      <c r="H669" s="247"/>
      <c r="I669" s="208" t="s">
        <v>387</v>
      </c>
      <c r="J669" s="209"/>
      <c r="K669" s="208" t="s">
        <v>387</v>
      </c>
    </row>
    <row r="670" spans="1:14" x14ac:dyDescent="0.2">
      <c r="A670" s="320"/>
      <c r="B670" s="316"/>
      <c r="C670" s="298"/>
      <c r="D670" s="298"/>
      <c r="E670" s="326" t="s">
        <v>1003</v>
      </c>
      <c r="F670" s="317"/>
      <c r="G670" s="317"/>
      <c r="H670" s="317"/>
      <c r="I670" s="208"/>
      <c r="J670" s="209"/>
      <c r="K670" s="208"/>
    </row>
    <row r="671" spans="1:14" x14ac:dyDescent="0.2">
      <c r="A671" s="179"/>
      <c r="B671" s="247"/>
      <c r="C671" s="298"/>
      <c r="D671" s="298"/>
      <c r="E671" s="326" t="s">
        <v>1004</v>
      </c>
      <c r="F671" s="247"/>
      <c r="G671" s="247"/>
      <c r="H671" s="247"/>
      <c r="I671" s="208" t="s">
        <v>387</v>
      </c>
      <c r="J671" s="209"/>
      <c r="K671" s="208" t="s">
        <v>387</v>
      </c>
    </row>
    <row r="672" spans="1:14" x14ac:dyDescent="0.2">
      <c r="A672" s="320"/>
      <c r="B672" s="316"/>
      <c r="C672" s="298"/>
      <c r="D672" s="298"/>
      <c r="E672" s="326" t="s">
        <v>1005</v>
      </c>
      <c r="F672" s="317"/>
      <c r="G672" s="317"/>
      <c r="H672" s="317"/>
      <c r="I672" s="208"/>
      <c r="J672" s="209"/>
      <c r="K672" s="208"/>
    </row>
    <row r="673" spans="1:11" x14ac:dyDescent="0.2">
      <c r="A673" s="179"/>
      <c r="B673" s="247"/>
      <c r="C673" s="298"/>
      <c r="D673" s="298"/>
      <c r="E673" s="326" t="s">
        <v>1006</v>
      </c>
      <c r="F673" s="247"/>
      <c r="G673" s="247"/>
      <c r="H673" s="247"/>
      <c r="I673" s="208" t="s">
        <v>387</v>
      </c>
      <c r="J673" s="209"/>
      <c r="K673" s="208" t="s">
        <v>387</v>
      </c>
    </row>
    <row r="674" spans="1:11" x14ac:dyDescent="0.2">
      <c r="A674" s="320"/>
      <c r="B674" s="316"/>
      <c r="C674" s="298"/>
      <c r="D674" s="298"/>
      <c r="E674" s="326" t="s">
        <v>1640</v>
      </c>
      <c r="F674" s="317"/>
      <c r="G674" s="317"/>
      <c r="H674" s="317"/>
      <c r="I674" s="208"/>
      <c r="J674" s="209"/>
      <c r="K674" s="208"/>
    </row>
    <row r="675" spans="1:11" x14ac:dyDescent="0.2">
      <c r="A675" s="179"/>
      <c r="B675" s="247"/>
      <c r="C675" s="298"/>
      <c r="D675" s="298"/>
      <c r="E675" s="326" t="s">
        <v>1179</v>
      </c>
      <c r="F675" s="247"/>
      <c r="G675" s="247"/>
      <c r="H675" s="247"/>
      <c r="I675" s="208" t="s">
        <v>387</v>
      </c>
      <c r="J675" s="209"/>
      <c r="K675" s="208" t="s">
        <v>387</v>
      </c>
    </row>
    <row r="676" spans="1:11" x14ac:dyDescent="0.2">
      <c r="A676" s="320"/>
      <c r="B676" s="316"/>
      <c r="C676" s="298"/>
      <c r="D676" s="298"/>
      <c r="E676" s="327"/>
      <c r="F676" s="317"/>
      <c r="G676" s="317"/>
      <c r="H676" s="317"/>
      <c r="I676" s="208"/>
      <c r="J676" s="209"/>
      <c r="K676" s="208"/>
    </row>
    <row r="677" spans="1:11" x14ac:dyDescent="0.2">
      <c r="A677" s="328" t="s">
        <v>1631</v>
      </c>
      <c r="B677" s="322" t="s">
        <v>671</v>
      </c>
      <c r="C677" s="298"/>
      <c r="D677" s="323" t="s">
        <v>328</v>
      </c>
      <c r="E677" s="326" t="s">
        <v>1668</v>
      </c>
      <c r="F677" s="324">
        <v>0</v>
      </c>
      <c r="G677" s="324">
        <v>0</v>
      </c>
      <c r="H677" s="324">
        <v>255</v>
      </c>
      <c r="I677" s="208" t="s">
        <v>387</v>
      </c>
      <c r="J677" s="209"/>
      <c r="K677" s="208" t="s">
        <v>387</v>
      </c>
    </row>
    <row r="678" spans="1:11" x14ac:dyDescent="0.2">
      <c r="A678" s="320"/>
      <c r="B678" s="247"/>
      <c r="C678" s="298"/>
      <c r="D678" s="298"/>
      <c r="E678" s="326" t="s">
        <v>1669</v>
      </c>
      <c r="F678" s="247"/>
      <c r="G678" s="247"/>
      <c r="H678" s="247"/>
      <c r="I678" s="208"/>
      <c r="J678" s="209"/>
      <c r="K678" s="208"/>
    </row>
    <row r="679" spans="1:11" x14ac:dyDescent="0.2">
      <c r="A679" s="179"/>
      <c r="B679" s="316"/>
      <c r="C679" s="298"/>
      <c r="D679" s="298"/>
      <c r="E679" s="326" t="s">
        <v>1670</v>
      </c>
      <c r="F679" s="317"/>
      <c r="G679" s="317"/>
      <c r="H679" s="317"/>
      <c r="I679" s="208" t="s">
        <v>387</v>
      </c>
      <c r="J679" s="209"/>
      <c r="K679" s="208" t="s">
        <v>387</v>
      </c>
    </row>
    <row r="680" spans="1:11" x14ac:dyDescent="0.2">
      <c r="A680" s="320"/>
      <c r="B680" s="247"/>
      <c r="C680" s="298"/>
      <c r="D680" s="298"/>
      <c r="E680" s="326" t="s">
        <v>1671</v>
      </c>
      <c r="F680" s="247"/>
      <c r="G680" s="247"/>
      <c r="H680" s="247"/>
      <c r="I680" s="208"/>
      <c r="J680" s="209"/>
      <c r="K680" s="208"/>
    </row>
    <row r="681" spans="1:11" x14ac:dyDescent="0.2">
      <c r="A681" s="320"/>
      <c r="B681" s="247"/>
      <c r="C681" s="298"/>
      <c r="D681" s="298"/>
      <c r="E681" s="326" t="s">
        <v>1672</v>
      </c>
      <c r="F681" s="247"/>
      <c r="G681" s="247"/>
      <c r="H681" s="247"/>
      <c r="I681" s="208"/>
      <c r="J681" s="209"/>
      <c r="K681" s="208"/>
    </row>
    <row r="682" spans="1:11" x14ac:dyDescent="0.2">
      <c r="A682" s="179"/>
      <c r="B682" s="316"/>
      <c r="C682" s="298"/>
      <c r="D682" s="298"/>
      <c r="E682" s="1" t="s">
        <v>1916</v>
      </c>
      <c r="F682" s="317"/>
      <c r="G682" s="317"/>
      <c r="H682" s="317"/>
      <c r="I682" s="208" t="s">
        <v>387</v>
      </c>
      <c r="J682" s="209"/>
      <c r="K682" s="208" t="s">
        <v>387</v>
      </c>
    </row>
    <row r="683" spans="1:11" x14ac:dyDescent="0.2">
      <c r="A683" s="320"/>
      <c r="B683" s="247"/>
      <c r="C683" s="298"/>
      <c r="D683" s="298"/>
      <c r="E683" s="326" t="s">
        <v>1179</v>
      </c>
      <c r="F683" s="247"/>
      <c r="G683" s="247"/>
      <c r="H683" s="247"/>
      <c r="I683" s="208"/>
      <c r="J683" s="209"/>
      <c r="K683" s="208"/>
    </row>
    <row r="684" spans="1:11" x14ac:dyDescent="0.2">
      <c r="A684" s="179"/>
      <c r="B684" s="316"/>
      <c r="C684" s="298"/>
      <c r="D684" s="298"/>
      <c r="E684" s="326"/>
      <c r="F684" s="317"/>
      <c r="G684" s="317"/>
      <c r="H684" s="317"/>
      <c r="I684" s="208" t="s">
        <v>387</v>
      </c>
      <c r="J684" s="209"/>
      <c r="K684" s="208" t="s">
        <v>387</v>
      </c>
    </row>
    <row r="685" spans="1:11" x14ac:dyDescent="0.2">
      <c r="A685" s="55" t="s">
        <v>1506</v>
      </c>
      <c r="B685" s="322" t="s">
        <v>671</v>
      </c>
      <c r="C685" s="298"/>
      <c r="D685" s="323" t="s">
        <v>328</v>
      </c>
      <c r="E685" s="326" t="s">
        <v>1643</v>
      </c>
      <c r="F685" s="324">
        <v>56</v>
      </c>
      <c r="G685" s="324">
        <v>48</v>
      </c>
      <c r="H685" s="324">
        <v>203</v>
      </c>
      <c r="I685" s="208"/>
      <c r="J685" s="209"/>
      <c r="K685" s="208"/>
    </row>
    <row r="686" spans="1:11" x14ac:dyDescent="0.2">
      <c r="A686" s="179"/>
      <c r="B686" s="324"/>
      <c r="C686" s="94"/>
      <c r="D686" s="94"/>
      <c r="E686" s="326" t="s">
        <v>1642</v>
      </c>
      <c r="F686" s="324"/>
      <c r="G686" s="324"/>
      <c r="H686" s="324"/>
      <c r="I686" s="208" t="s">
        <v>387</v>
      </c>
      <c r="J686" s="209"/>
      <c r="K686" s="208" t="s">
        <v>387</v>
      </c>
    </row>
    <row r="687" spans="1:11" x14ac:dyDescent="0.2">
      <c r="A687" s="319"/>
      <c r="B687" s="318"/>
      <c r="C687" s="94"/>
      <c r="D687" s="94"/>
      <c r="E687" s="326" t="s">
        <v>1641</v>
      </c>
      <c r="F687" s="324"/>
      <c r="G687" s="324"/>
      <c r="H687" s="324"/>
      <c r="I687" s="208"/>
      <c r="J687" s="209"/>
      <c r="K687" s="208"/>
    </row>
    <row r="688" spans="1:11" x14ac:dyDescent="0.2">
      <c r="A688" s="179"/>
      <c r="B688" s="324"/>
      <c r="C688" s="94"/>
      <c r="D688" s="94"/>
      <c r="E688" s="326"/>
      <c r="F688" s="324"/>
      <c r="G688" s="324"/>
      <c r="H688" s="324"/>
      <c r="I688" s="208" t="s">
        <v>387</v>
      </c>
      <c r="J688" s="209"/>
      <c r="K688" s="208" t="s">
        <v>387</v>
      </c>
    </row>
    <row r="689" spans="1:11" x14ac:dyDescent="0.2">
      <c r="A689" s="319"/>
      <c r="B689" s="318"/>
      <c r="C689" s="94"/>
      <c r="D689" s="94"/>
      <c r="E689" s="326"/>
      <c r="F689" s="324">
        <v>0</v>
      </c>
      <c r="G689" s="324">
        <v>0</v>
      </c>
      <c r="H689" s="324">
        <v>255</v>
      </c>
      <c r="I689" s="208"/>
      <c r="J689" s="209"/>
      <c r="K689" s="208"/>
    </row>
    <row r="690" spans="1:11" x14ac:dyDescent="0.2">
      <c r="A690" s="55" t="s">
        <v>1757</v>
      </c>
      <c r="B690" s="322" t="s">
        <v>671</v>
      </c>
      <c r="C690" s="298"/>
      <c r="D690" s="323" t="s">
        <v>328</v>
      </c>
      <c r="E690" s="326" t="s">
        <v>1755</v>
      </c>
      <c r="F690" s="324"/>
      <c r="G690" s="324"/>
      <c r="H690" s="324"/>
      <c r="I690" s="208" t="s">
        <v>387</v>
      </c>
      <c r="J690" s="209"/>
      <c r="K690" s="208" t="s">
        <v>387</v>
      </c>
    </row>
    <row r="691" spans="1:11" x14ac:dyDescent="0.2">
      <c r="A691" s="319"/>
      <c r="B691" s="318"/>
      <c r="C691" s="94"/>
      <c r="D691" s="94"/>
      <c r="E691" s="326" t="s">
        <v>1644</v>
      </c>
      <c r="F691" s="324"/>
      <c r="G691" s="324"/>
      <c r="H691" s="324"/>
      <c r="I691" s="208"/>
      <c r="J691" s="209"/>
      <c r="K691" s="208"/>
    </row>
    <row r="692" spans="1:11" x14ac:dyDescent="0.2">
      <c r="A692" s="179"/>
      <c r="B692" s="324"/>
      <c r="C692" s="94"/>
      <c r="D692" s="94"/>
      <c r="E692" s="326" t="s">
        <v>1645</v>
      </c>
      <c r="F692" s="324"/>
      <c r="G692" s="324"/>
      <c r="H692" s="324"/>
      <c r="I692" s="208" t="s">
        <v>387</v>
      </c>
      <c r="J692" s="209"/>
      <c r="K692" s="208" t="s">
        <v>387</v>
      </c>
    </row>
    <row r="693" spans="1:11" x14ac:dyDescent="0.2">
      <c r="A693" s="319"/>
      <c r="B693" s="318"/>
      <c r="C693" s="94"/>
      <c r="D693" s="94"/>
      <c r="E693" s="326"/>
      <c r="F693" s="324"/>
      <c r="G693" s="324"/>
      <c r="H693" s="324"/>
      <c r="I693" s="208"/>
      <c r="J693" s="209"/>
      <c r="K693" s="208"/>
    </row>
    <row r="694" spans="1:11" x14ac:dyDescent="0.2">
      <c r="A694" s="113" t="s">
        <v>1507</v>
      </c>
      <c r="B694" s="322" t="s">
        <v>671</v>
      </c>
      <c r="C694" s="298"/>
      <c r="D694" s="323" t="s">
        <v>328</v>
      </c>
      <c r="E694" s="326" t="s">
        <v>1001</v>
      </c>
      <c r="F694" s="324">
        <v>255</v>
      </c>
      <c r="G694" s="324">
        <v>0</v>
      </c>
      <c r="H694" s="324">
        <v>7</v>
      </c>
      <c r="I694" s="208" t="s">
        <v>387</v>
      </c>
      <c r="J694" s="209"/>
      <c r="K694" s="208" t="s">
        <v>387</v>
      </c>
    </row>
    <row r="695" spans="1:11" x14ac:dyDescent="0.2">
      <c r="A695" s="73"/>
      <c r="B695" s="318"/>
      <c r="C695" s="94"/>
      <c r="D695" s="94"/>
      <c r="E695" s="326" t="s">
        <v>1177</v>
      </c>
      <c r="F695" s="324"/>
      <c r="G695" s="324"/>
      <c r="H695" s="324"/>
      <c r="I695" s="208"/>
      <c r="J695" s="209"/>
      <c r="K695" s="208"/>
    </row>
    <row r="696" spans="1:11" x14ac:dyDescent="0.2">
      <c r="A696" s="179"/>
      <c r="B696" s="324"/>
      <c r="C696" s="94"/>
      <c r="D696" s="94"/>
      <c r="E696" s="326" t="s">
        <v>1646</v>
      </c>
      <c r="F696" s="324"/>
      <c r="G696" s="324"/>
      <c r="H696" s="324"/>
      <c r="I696" s="208" t="s">
        <v>387</v>
      </c>
      <c r="J696" s="209"/>
      <c r="K696" s="208" t="s">
        <v>387</v>
      </c>
    </row>
    <row r="697" spans="1:11" x14ac:dyDescent="0.2">
      <c r="A697" s="179"/>
      <c r="B697" s="324"/>
      <c r="C697" s="94"/>
      <c r="D697" s="94"/>
      <c r="E697" s="326" t="s">
        <v>1918</v>
      </c>
      <c r="F697" s="324"/>
      <c r="G697" s="324"/>
      <c r="H697" s="324"/>
      <c r="I697" s="208"/>
      <c r="J697" s="209"/>
      <c r="K697" s="208"/>
    </row>
    <row r="698" spans="1:11" x14ac:dyDescent="0.2">
      <c r="A698" s="319"/>
      <c r="B698" s="318"/>
      <c r="C698" s="94"/>
      <c r="D698" s="94"/>
      <c r="E698" s="326"/>
      <c r="F698" s="324"/>
      <c r="G698" s="324"/>
      <c r="H698" s="324"/>
      <c r="I698" s="208"/>
      <c r="J698" s="209"/>
      <c r="K698" s="208"/>
    </row>
    <row r="699" spans="1:11" x14ac:dyDescent="0.2">
      <c r="A699" s="113" t="s">
        <v>1508</v>
      </c>
      <c r="B699" s="322" t="s">
        <v>671</v>
      </c>
      <c r="C699" s="298"/>
      <c r="D699" s="323" t="s">
        <v>328</v>
      </c>
      <c r="E699" s="326" t="s">
        <v>1668</v>
      </c>
      <c r="F699" s="324">
        <v>0</v>
      </c>
      <c r="G699" s="324">
        <v>0</v>
      </c>
      <c r="H699" s="324">
        <v>255</v>
      </c>
      <c r="I699" s="208" t="s">
        <v>387</v>
      </c>
      <c r="J699" s="209"/>
      <c r="K699" s="208" t="s">
        <v>387</v>
      </c>
    </row>
    <row r="700" spans="1:11" x14ac:dyDescent="0.2">
      <c r="A700" s="319"/>
      <c r="B700" s="318"/>
      <c r="C700" s="94"/>
      <c r="D700" s="94"/>
      <c r="E700" s="326" t="s">
        <v>1669</v>
      </c>
      <c r="F700" s="324"/>
      <c r="G700" s="324"/>
      <c r="H700" s="324"/>
      <c r="I700" s="208"/>
      <c r="J700" s="209"/>
      <c r="K700" s="208"/>
    </row>
    <row r="701" spans="1:11" x14ac:dyDescent="0.2">
      <c r="A701" s="179"/>
      <c r="B701" s="324"/>
      <c r="C701" s="94"/>
      <c r="D701" s="94"/>
      <c r="E701" s="326" t="s">
        <v>1670</v>
      </c>
      <c r="F701" s="324"/>
      <c r="G701" s="324"/>
      <c r="H701" s="324"/>
      <c r="I701" s="208" t="s">
        <v>387</v>
      </c>
      <c r="J701" s="209"/>
      <c r="K701" s="208" t="s">
        <v>387</v>
      </c>
    </row>
    <row r="702" spans="1:11" x14ac:dyDescent="0.2">
      <c r="A702" s="179"/>
      <c r="B702" s="318"/>
      <c r="C702" s="94"/>
      <c r="D702" s="94"/>
      <c r="E702" s="326" t="s">
        <v>1671</v>
      </c>
      <c r="F702" s="324"/>
      <c r="G702" s="324"/>
      <c r="H702" s="324"/>
      <c r="I702" s="208" t="s">
        <v>387</v>
      </c>
      <c r="J702" s="209"/>
      <c r="K702" s="208" t="s">
        <v>387</v>
      </c>
    </row>
    <row r="703" spans="1:11" x14ac:dyDescent="0.2">
      <c r="A703" s="319"/>
      <c r="B703" s="324"/>
      <c r="C703" s="94"/>
      <c r="D703" s="94"/>
      <c r="E703" s="326" t="s">
        <v>1672</v>
      </c>
      <c r="F703" s="324"/>
      <c r="G703" s="324"/>
      <c r="H703" s="324"/>
      <c r="I703" s="208"/>
      <c r="J703" s="209"/>
      <c r="K703" s="208"/>
    </row>
    <row r="704" spans="1:11" x14ac:dyDescent="0.2">
      <c r="A704" s="319"/>
      <c r="B704" s="324"/>
      <c r="C704" s="94"/>
      <c r="D704" s="94"/>
      <c r="E704" s="1" t="s">
        <v>1916</v>
      </c>
      <c r="F704" s="324"/>
      <c r="G704" s="324"/>
      <c r="H704" s="324"/>
      <c r="I704" s="208"/>
      <c r="J704" s="209"/>
      <c r="K704" s="208"/>
    </row>
    <row r="705" spans="1:11" x14ac:dyDescent="0.2">
      <c r="A705" s="8"/>
      <c r="B705" s="322"/>
      <c r="C705" s="298"/>
      <c r="D705" s="323"/>
      <c r="E705" s="326" t="s">
        <v>1179</v>
      </c>
      <c r="F705" s="324"/>
      <c r="G705" s="324"/>
      <c r="H705" s="324"/>
      <c r="I705" s="208" t="s">
        <v>387</v>
      </c>
      <c r="J705" s="209"/>
      <c r="K705" s="208" t="s">
        <v>387</v>
      </c>
    </row>
    <row r="706" spans="1:11" x14ac:dyDescent="0.2">
      <c r="A706" s="319"/>
      <c r="B706" s="318"/>
      <c r="C706" s="94"/>
      <c r="D706" s="94"/>
      <c r="E706" s="326"/>
      <c r="F706" s="324"/>
      <c r="G706" s="324"/>
      <c r="H706" s="324"/>
      <c r="I706" s="208"/>
      <c r="J706" s="209"/>
      <c r="K706" s="208"/>
    </row>
    <row r="707" spans="1:11" x14ac:dyDescent="0.2">
      <c r="A707" s="328" t="s">
        <v>1636</v>
      </c>
      <c r="B707" s="322" t="s">
        <v>671</v>
      </c>
      <c r="C707" s="298"/>
      <c r="D707" s="323" t="s">
        <v>328</v>
      </c>
      <c r="E707" s="329" t="s">
        <v>1647</v>
      </c>
      <c r="F707" s="324">
        <v>0</v>
      </c>
      <c r="G707" s="324">
        <v>0</v>
      </c>
      <c r="H707" s="324">
        <v>1020</v>
      </c>
      <c r="I707" s="208" t="s">
        <v>387</v>
      </c>
      <c r="J707" s="209"/>
      <c r="K707" s="208" t="s">
        <v>387</v>
      </c>
    </row>
    <row r="708" spans="1:11" x14ac:dyDescent="0.2">
      <c r="A708" s="319"/>
      <c r="B708" s="318"/>
      <c r="C708" s="94"/>
      <c r="D708" s="94"/>
      <c r="E708" s="326" t="s">
        <v>1648</v>
      </c>
      <c r="F708" s="324"/>
      <c r="G708" s="324"/>
      <c r="H708" s="324"/>
      <c r="I708" s="208"/>
      <c r="J708" s="209"/>
      <c r="K708" s="208"/>
    </row>
    <row r="709" spans="1:11" x14ac:dyDescent="0.2">
      <c r="A709" s="179"/>
      <c r="B709" s="324"/>
      <c r="C709" s="94"/>
      <c r="D709" s="94"/>
      <c r="E709" s="326" t="s">
        <v>1649</v>
      </c>
      <c r="F709" s="324"/>
      <c r="G709" s="324"/>
      <c r="H709" s="324"/>
      <c r="I709" s="208" t="s">
        <v>387</v>
      </c>
      <c r="J709" s="209"/>
      <c r="K709" s="208" t="s">
        <v>387</v>
      </c>
    </row>
    <row r="710" spans="1:11" x14ac:dyDescent="0.2">
      <c r="A710" s="319"/>
      <c r="B710" s="318"/>
      <c r="C710" s="94"/>
      <c r="D710" s="94"/>
      <c r="E710" s="326" t="s">
        <v>1650</v>
      </c>
      <c r="F710" s="324"/>
      <c r="G710" s="324"/>
      <c r="H710" s="324"/>
      <c r="I710" s="208"/>
      <c r="J710" s="209"/>
      <c r="K710" s="208"/>
    </row>
    <row r="711" spans="1:11" x14ac:dyDescent="0.2">
      <c r="A711" s="179"/>
      <c r="B711" s="324"/>
      <c r="C711" s="94"/>
      <c r="D711" s="94"/>
      <c r="E711" s="326" t="s">
        <v>1651</v>
      </c>
      <c r="F711" s="324"/>
      <c r="G711" s="324"/>
      <c r="H711" s="324"/>
      <c r="I711" s="208" t="s">
        <v>387</v>
      </c>
      <c r="J711" s="209"/>
      <c r="K711" s="208" t="s">
        <v>387</v>
      </c>
    </row>
    <row r="712" spans="1:11" x14ac:dyDescent="0.2">
      <c r="A712" s="319"/>
      <c r="B712" s="318"/>
      <c r="C712" s="94"/>
      <c r="D712" s="94"/>
      <c r="E712" s="326" t="s">
        <v>1652</v>
      </c>
      <c r="F712" s="324"/>
      <c r="G712" s="324"/>
      <c r="H712" s="324"/>
      <c r="I712" s="208"/>
      <c r="J712" s="209"/>
      <c r="K712" s="208"/>
    </row>
    <row r="713" spans="1:11" x14ac:dyDescent="0.2">
      <c r="A713" s="179"/>
      <c r="B713" s="324"/>
      <c r="C713" s="94"/>
      <c r="D713" s="94"/>
      <c r="E713" s="326" t="s">
        <v>1653</v>
      </c>
      <c r="F713" s="324"/>
      <c r="G713" s="324"/>
      <c r="H713" s="324"/>
      <c r="I713" s="208" t="s">
        <v>387</v>
      </c>
      <c r="J713" s="209"/>
      <c r="K713" s="208" t="s">
        <v>387</v>
      </c>
    </row>
    <row r="714" spans="1:11" x14ac:dyDescent="0.2">
      <c r="A714" s="319"/>
      <c r="B714" s="318"/>
      <c r="C714" s="94"/>
      <c r="D714" s="94"/>
      <c r="E714" s="326" t="s">
        <v>1654</v>
      </c>
      <c r="F714" s="324"/>
      <c r="G714" s="324"/>
      <c r="H714" s="324"/>
      <c r="I714" s="208"/>
      <c r="J714" s="209"/>
      <c r="K714" s="208"/>
    </row>
    <row r="715" spans="1:11" x14ac:dyDescent="0.2">
      <c r="A715" s="179"/>
      <c r="B715" s="324"/>
      <c r="C715" s="94"/>
      <c r="D715" s="94"/>
      <c r="E715" s="326" t="s">
        <v>1655</v>
      </c>
      <c r="F715" s="324"/>
      <c r="G715" s="324"/>
      <c r="H715" s="324"/>
      <c r="I715" s="208" t="s">
        <v>387</v>
      </c>
      <c r="J715" s="209"/>
      <c r="K715" s="208" t="s">
        <v>387</v>
      </c>
    </row>
    <row r="716" spans="1:11" x14ac:dyDescent="0.2">
      <c r="A716" s="319"/>
      <c r="B716" s="318"/>
      <c r="C716" s="94"/>
      <c r="D716" s="94"/>
      <c r="E716" s="326" t="s">
        <v>1656</v>
      </c>
      <c r="F716" s="324"/>
      <c r="G716" s="324"/>
      <c r="H716" s="324"/>
      <c r="I716" s="208"/>
      <c r="J716" s="209"/>
      <c r="K716" s="208"/>
    </row>
    <row r="717" spans="1:11" x14ac:dyDescent="0.2">
      <c r="A717" s="179"/>
      <c r="B717" s="324"/>
      <c r="C717" s="94"/>
      <c r="D717" s="94"/>
      <c r="E717" s="326" t="s">
        <v>1657</v>
      </c>
      <c r="F717" s="324"/>
      <c r="G717" s="324"/>
      <c r="H717" s="324"/>
      <c r="I717" s="208" t="s">
        <v>387</v>
      </c>
      <c r="J717" s="209"/>
      <c r="K717" s="208" t="s">
        <v>387</v>
      </c>
    </row>
    <row r="718" spans="1:11" x14ac:dyDescent="0.2">
      <c r="A718" s="319"/>
      <c r="B718" s="318"/>
      <c r="C718" s="94"/>
      <c r="D718" s="94"/>
      <c r="E718" s="326" t="s">
        <v>1658</v>
      </c>
      <c r="F718" s="324"/>
      <c r="G718" s="324"/>
      <c r="H718" s="324"/>
      <c r="I718" s="208"/>
      <c r="J718" s="209"/>
      <c r="K718" s="208"/>
    </row>
    <row r="719" spans="1:11" x14ac:dyDescent="0.2">
      <c r="A719" s="179"/>
      <c r="B719" s="324"/>
      <c r="C719" s="94"/>
      <c r="D719" s="94"/>
      <c r="E719" s="326" t="s">
        <v>1659</v>
      </c>
      <c r="F719" s="324"/>
      <c r="G719" s="324"/>
      <c r="H719" s="324"/>
      <c r="I719" s="208" t="s">
        <v>387</v>
      </c>
      <c r="J719" s="209"/>
      <c r="K719" s="208" t="s">
        <v>387</v>
      </c>
    </row>
    <row r="720" spans="1:11" x14ac:dyDescent="0.2">
      <c r="A720" s="319"/>
      <c r="B720" s="318"/>
      <c r="C720" s="94"/>
      <c r="D720" s="94"/>
      <c r="E720" s="326" t="s">
        <v>1660</v>
      </c>
      <c r="F720" s="324"/>
      <c r="G720" s="324"/>
      <c r="H720" s="324"/>
      <c r="I720" s="208"/>
      <c r="J720" s="209"/>
      <c r="K720" s="208"/>
    </row>
    <row r="721" spans="1:11" x14ac:dyDescent="0.2">
      <c r="A721" s="179"/>
      <c r="B721" s="324"/>
      <c r="C721" s="94"/>
      <c r="D721" s="94"/>
      <c r="E721" s="329" t="s">
        <v>1661</v>
      </c>
      <c r="F721" s="324"/>
      <c r="G721" s="324"/>
      <c r="H721" s="324"/>
      <c r="I721" s="208" t="s">
        <v>387</v>
      </c>
      <c r="J721" s="209"/>
      <c r="K721" s="208" t="s">
        <v>387</v>
      </c>
    </row>
    <row r="722" spans="1:11" x14ac:dyDescent="0.2">
      <c r="A722" s="319"/>
      <c r="B722" s="318"/>
      <c r="C722" s="94"/>
      <c r="D722" s="94"/>
      <c r="E722" s="326" t="s">
        <v>1662</v>
      </c>
      <c r="F722" s="324"/>
      <c r="G722" s="324"/>
      <c r="H722" s="324"/>
      <c r="I722" s="208"/>
      <c r="J722" s="209"/>
      <c r="K722" s="208"/>
    </row>
    <row r="723" spans="1:11" x14ac:dyDescent="0.2">
      <c r="A723" s="319"/>
      <c r="B723" s="318"/>
      <c r="C723" s="94"/>
      <c r="D723" s="94"/>
      <c r="E723" s="326"/>
      <c r="F723" s="324"/>
      <c r="G723" s="324"/>
      <c r="H723" s="324"/>
      <c r="I723" s="208"/>
      <c r="J723" s="209"/>
      <c r="K723" s="208"/>
    </row>
    <row r="724" spans="1:11" x14ac:dyDescent="0.2">
      <c r="A724" s="328" t="s">
        <v>1510</v>
      </c>
      <c r="B724" s="322" t="s">
        <v>671</v>
      </c>
      <c r="C724" s="298"/>
      <c r="D724" s="323" t="s">
        <v>328</v>
      </c>
      <c r="E724" s="326" t="s">
        <v>1001</v>
      </c>
      <c r="F724" s="324">
        <v>255</v>
      </c>
      <c r="G724" s="324">
        <v>0</v>
      </c>
      <c r="H724" s="324">
        <v>7</v>
      </c>
      <c r="I724" s="208" t="s">
        <v>387</v>
      </c>
      <c r="J724" s="209"/>
      <c r="K724" s="208" t="s">
        <v>387</v>
      </c>
    </row>
    <row r="725" spans="1:11" x14ac:dyDescent="0.2">
      <c r="A725" s="319"/>
      <c r="B725" s="318"/>
      <c r="C725" s="94"/>
      <c r="D725" s="94"/>
      <c r="E725" s="326" t="s">
        <v>1177</v>
      </c>
      <c r="F725" s="324"/>
      <c r="G725" s="324"/>
      <c r="H725" s="324"/>
      <c r="I725" s="208"/>
      <c r="J725" s="209"/>
      <c r="K725" s="208"/>
    </row>
    <row r="726" spans="1:11" x14ac:dyDescent="0.2">
      <c r="A726" s="179"/>
      <c r="B726" s="324"/>
      <c r="C726" s="94"/>
      <c r="D726" s="94"/>
      <c r="E726" s="326" t="s">
        <v>1646</v>
      </c>
      <c r="F726" s="324"/>
      <c r="G726" s="324"/>
      <c r="H726" s="324"/>
      <c r="I726" s="208" t="s">
        <v>387</v>
      </c>
      <c r="J726" s="209"/>
      <c r="K726" s="208" t="s">
        <v>387</v>
      </c>
    </row>
    <row r="727" spans="1:11" x14ac:dyDescent="0.2">
      <c r="A727" s="179"/>
      <c r="B727" s="324"/>
      <c r="C727" s="94"/>
      <c r="D727" s="94"/>
      <c r="E727" s="326" t="s">
        <v>1917</v>
      </c>
      <c r="F727" s="324"/>
      <c r="G727" s="324"/>
      <c r="H727" s="324"/>
      <c r="I727" s="208"/>
      <c r="J727" s="209"/>
      <c r="K727" s="208"/>
    </row>
    <row r="728" spans="1:11" x14ac:dyDescent="0.2">
      <c r="A728" s="319"/>
      <c r="B728" s="318"/>
      <c r="C728" s="94"/>
      <c r="D728" s="94"/>
      <c r="E728" s="326"/>
      <c r="F728" s="324">
        <v>0</v>
      </c>
      <c r="G728" s="324">
        <v>0</v>
      </c>
      <c r="H728" s="324">
        <v>255</v>
      </c>
      <c r="I728" s="208"/>
      <c r="J728" s="209"/>
      <c r="K728" s="208"/>
    </row>
    <row r="729" spans="1:11" x14ac:dyDescent="0.2">
      <c r="A729" s="328" t="s">
        <v>1663</v>
      </c>
      <c r="B729" s="322" t="s">
        <v>671</v>
      </c>
      <c r="C729" s="298"/>
      <c r="D729" s="323" t="s">
        <v>328</v>
      </c>
      <c r="E729" s="326" t="s">
        <v>1668</v>
      </c>
      <c r="F729" s="324"/>
      <c r="G729" s="324"/>
      <c r="H729" s="324"/>
      <c r="I729" s="208" t="s">
        <v>387</v>
      </c>
      <c r="J729" s="209"/>
      <c r="K729" s="208" t="s">
        <v>387</v>
      </c>
    </row>
    <row r="730" spans="1:11" x14ac:dyDescent="0.2">
      <c r="A730" s="319"/>
      <c r="B730" s="318"/>
      <c r="C730" s="94"/>
      <c r="D730" s="94"/>
      <c r="E730" s="326" t="s">
        <v>1669</v>
      </c>
      <c r="F730" s="324"/>
      <c r="G730" s="324"/>
      <c r="H730" s="324"/>
      <c r="I730" s="208"/>
      <c r="J730" s="209"/>
      <c r="K730" s="208"/>
    </row>
    <row r="731" spans="1:11" x14ac:dyDescent="0.2">
      <c r="A731" s="179"/>
      <c r="B731" s="324"/>
      <c r="C731" s="94"/>
      <c r="D731" s="94"/>
      <c r="E731" s="326" t="s">
        <v>1670</v>
      </c>
      <c r="F731" s="324"/>
      <c r="G731" s="324"/>
      <c r="H731" s="324"/>
      <c r="I731" s="208" t="s">
        <v>387</v>
      </c>
      <c r="J731" s="209"/>
      <c r="K731" s="208" t="s">
        <v>387</v>
      </c>
    </row>
    <row r="732" spans="1:11" x14ac:dyDescent="0.2">
      <c r="A732" s="319"/>
      <c r="B732" s="318"/>
      <c r="C732" s="94"/>
      <c r="D732" s="94"/>
      <c r="E732" s="326" t="s">
        <v>1671</v>
      </c>
      <c r="F732" s="324"/>
      <c r="G732" s="324"/>
      <c r="H732" s="324"/>
      <c r="I732" s="208"/>
      <c r="J732" s="209"/>
      <c r="K732" s="208"/>
    </row>
    <row r="733" spans="1:11" x14ac:dyDescent="0.2">
      <c r="A733" s="179"/>
      <c r="B733" s="324"/>
      <c r="C733" s="94"/>
      <c r="D733" s="94"/>
      <c r="E733" s="326" t="s">
        <v>1672</v>
      </c>
      <c r="F733" s="324"/>
      <c r="G733" s="324"/>
      <c r="H733" s="324"/>
      <c r="I733" s="208" t="s">
        <v>387</v>
      </c>
      <c r="J733" s="209"/>
      <c r="K733" s="208" t="s">
        <v>387</v>
      </c>
    </row>
    <row r="734" spans="1:11" x14ac:dyDescent="0.2">
      <c r="A734" s="179"/>
      <c r="B734" s="324"/>
      <c r="C734" s="94"/>
      <c r="D734" s="94"/>
      <c r="E734" s="1" t="s">
        <v>1916</v>
      </c>
      <c r="F734" s="324"/>
      <c r="G734" s="324"/>
      <c r="H734" s="324"/>
      <c r="I734" s="208"/>
      <c r="J734" s="209"/>
      <c r="K734" s="208"/>
    </row>
    <row r="735" spans="1:11" x14ac:dyDescent="0.2">
      <c r="A735" s="319"/>
      <c r="B735" s="318"/>
      <c r="C735" s="94"/>
      <c r="D735" s="94"/>
      <c r="E735" s="326" t="s">
        <v>1179</v>
      </c>
      <c r="F735" s="324"/>
      <c r="G735" s="324"/>
      <c r="H735" s="324"/>
      <c r="I735" s="208"/>
      <c r="J735" s="209"/>
      <c r="K735" s="208"/>
    </row>
    <row r="736" spans="1:11" x14ac:dyDescent="0.2">
      <c r="A736" s="179"/>
      <c r="B736" s="324"/>
      <c r="C736" s="94"/>
      <c r="D736" s="94"/>
      <c r="E736" s="326"/>
      <c r="F736" s="324"/>
      <c r="G736" s="324"/>
      <c r="H736" s="324"/>
      <c r="I736" s="208" t="s">
        <v>387</v>
      </c>
      <c r="J736" s="209"/>
      <c r="K736" s="208" t="s">
        <v>387</v>
      </c>
    </row>
    <row r="737" spans="1:11" x14ac:dyDescent="0.2">
      <c r="A737" s="321" t="s">
        <v>1637</v>
      </c>
      <c r="B737" s="322" t="s">
        <v>671</v>
      </c>
      <c r="C737" s="298"/>
      <c r="D737" s="323" t="s">
        <v>328</v>
      </c>
      <c r="E737" s="329" t="s">
        <v>1647</v>
      </c>
      <c r="F737" s="324"/>
      <c r="G737" s="324"/>
      <c r="H737" s="324"/>
      <c r="I737" s="208"/>
      <c r="J737" s="209"/>
      <c r="K737" s="208"/>
    </row>
    <row r="738" spans="1:11" x14ac:dyDescent="0.2">
      <c r="A738" s="179"/>
      <c r="B738" s="324"/>
      <c r="C738" s="94"/>
      <c r="D738" s="94"/>
      <c r="E738" s="326" t="s">
        <v>1648</v>
      </c>
      <c r="F738" s="324"/>
      <c r="G738" s="324"/>
      <c r="H738" s="324"/>
      <c r="I738" s="208" t="s">
        <v>387</v>
      </c>
      <c r="J738" s="209"/>
      <c r="K738" s="208" t="s">
        <v>387</v>
      </c>
    </row>
    <row r="739" spans="1:11" x14ac:dyDescent="0.2">
      <c r="A739" s="319"/>
      <c r="B739" s="318"/>
      <c r="C739" s="94"/>
      <c r="D739" s="94"/>
      <c r="E739" s="326" t="s">
        <v>1649</v>
      </c>
      <c r="F739" s="324"/>
      <c r="G739" s="324"/>
      <c r="H739" s="324"/>
      <c r="I739" s="208"/>
      <c r="J739" s="209"/>
      <c r="K739" s="208"/>
    </row>
    <row r="740" spans="1:11" x14ac:dyDescent="0.2">
      <c r="A740" s="179"/>
      <c r="B740" s="324"/>
      <c r="C740" s="94"/>
      <c r="D740" s="94"/>
      <c r="E740" s="326" t="s">
        <v>1650</v>
      </c>
      <c r="F740" s="324"/>
      <c r="G740" s="324"/>
      <c r="H740" s="324"/>
      <c r="I740" s="208" t="s">
        <v>387</v>
      </c>
      <c r="J740" s="209"/>
      <c r="K740" s="208" t="s">
        <v>387</v>
      </c>
    </row>
    <row r="741" spans="1:11" x14ac:dyDescent="0.2">
      <c r="A741" s="319"/>
      <c r="B741" s="318"/>
      <c r="C741" s="94"/>
      <c r="D741" s="94"/>
      <c r="E741" s="326" t="s">
        <v>1651</v>
      </c>
      <c r="F741" s="324"/>
      <c r="G741" s="324"/>
      <c r="H741" s="324"/>
      <c r="I741" s="208"/>
      <c r="J741" s="209"/>
      <c r="K741" s="208"/>
    </row>
    <row r="742" spans="1:11" x14ac:dyDescent="0.2">
      <c r="A742" s="179"/>
      <c r="B742" s="324"/>
      <c r="C742" s="94"/>
      <c r="D742" s="94"/>
      <c r="E742" s="326" t="s">
        <v>1652</v>
      </c>
      <c r="F742" s="324"/>
      <c r="G742" s="324"/>
      <c r="H742" s="324"/>
      <c r="I742" s="208" t="s">
        <v>387</v>
      </c>
      <c r="J742" s="209"/>
      <c r="K742" s="208" t="s">
        <v>387</v>
      </c>
    </row>
    <row r="743" spans="1:11" x14ac:dyDescent="0.2">
      <c r="A743" s="319"/>
      <c r="B743" s="318"/>
      <c r="C743" s="94"/>
      <c r="D743" s="94"/>
      <c r="E743" s="326" t="s">
        <v>1653</v>
      </c>
      <c r="F743" s="324"/>
      <c r="G743" s="324"/>
      <c r="H743" s="324"/>
      <c r="I743" s="208"/>
      <c r="J743" s="209"/>
      <c r="K743" s="208"/>
    </row>
    <row r="744" spans="1:11" x14ac:dyDescent="0.2">
      <c r="A744" s="179"/>
      <c r="B744" s="324"/>
      <c r="C744" s="94"/>
      <c r="D744" s="94"/>
      <c r="E744" s="326" t="s">
        <v>1654</v>
      </c>
      <c r="F744" s="324"/>
      <c r="G744" s="324"/>
      <c r="H744" s="324"/>
      <c r="I744" s="208" t="s">
        <v>387</v>
      </c>
      <c r="J744" s="209"/>
      <c r="K744" s="208" t="s">
        <v>387</v>
      </c>
    </row>
    <row r="745" spans="1:11" x14ac:dyDescent="0.2">
      <c r="A745" s="319"/>
      <c r="B745" s="318"/>
      <c r="C745" s="94"/>
      <c r="D745" s="94"/>
      <c r="E745" s="326" t="s">
        <v>1655</v>
      </c>
      <c r="F745" s="324"/>
      <c r="G745" s="324"/>
      <c r="H745" s="324"/>
      <c r="I745" s="208"/>
      <c r="J745" s="209"/>
      <c r="K745" s="208"/>
    </row>
    <row r="746" spans="1:11" x14ac:dyDescent="0.2">
      <c r="A746" s="179"/>
      <c r="B746" s="324"/>
      <c r="C746" s="94"/>
      <c r="D746" s="94"/>
      <c r="E746" s="326" t="s">
        <v>1656</v>
      </c>
      <c r="F746" s="324"/>
      <c r="G746" s="324"/>
      <c r="H746" s="324"/>
      <c r="I746" s="208" t="s">
        <v>387</v>
      </c>
      <c r="J746" s="209"/>
      <c r="K746" s="208" t="s">
        <v>387</v>
      </c>
    </row>
    <row r="747" spans="1:11" x14ac:dyDescent="0.2">
      <c r="A747" s="319"/>
      <c r="B747" s="318"/>
      <c r="C747" s="94"/>
      <c r="D747" s="94"/>
      <c r="E747" s="326" t="s">
        <v>1657</v>
      </c>
      <c r="F747" s="324"/>
      <c r="G747" s="324"/>
      <c r="H747" s="324"/>
      <c r="I747" s="208"/>
      <c r="J747" s="209"/>
      <c r="K747" s="208"/>
    </row>
    <row r="748" spans="1:11" x14ac:dyDescent="0.2">
      <c r="A748" s="179"/>
      <c r="B748" s="324"/>
      <c r="C748" s="94"/>
      <c r="D748" s="94"/>
      <c r="E748" s="326" t="s">
        <v>1658</v>
      </c>
      <c r="F748" s="324"/>
      <c r="G748" s="324"/>
      <c r="H748" s="324"/>
      <c r="I748" s="208" t="s">
        <v>387</v>
      </c>
      <c r="J748" s="209"/>
      <c r="K748" s="208" t="s">
        <v>387</v>
      </c>
    </row>
    <row r="749" spans="1:11" x14ac:dyDescent="0.2">
      <c r="A749" s="319"/>
      <c r="B749" s="318"/>
      <c r="C749" s="94"/>
      <c r="D749" s="94"/>
      <c r="E749" s="326" t="s">
        <v>1659</v>
      </c>
      <c r="F749" s="324"/>
      <c r="G749" s="324"/>
      <c r="H749" s="324"/>
      <c r="I749" s="208"/>
      <c r="J749" s="209"/>
      <c r="K749" s="208"/>
    </row>
    <row r="750" spans="1:11" x14ac:dyDescent="0.2">
      <c r="A750" s="179"/>
      <c r="B750" s="324"/>
      <c r="C750" s="94"/>
      <c r="D750" s="94"/>
      <c r="E750" s="326" t="s">
        <v>1660</v>
      </c>
      <c r="F750" s="324"/>
      <c r="G750" s="324"/>
      <c r="H750" s="324"/>
      <c r="I750" s="208" t="s">
        <v>387</v>
      </c>
      <c r="J750" s="209"/>
      <c r="K750" s="208" t="s">
        <v>387</v>
      </c>
    </row>
    <row r="751" spans="1:11" x14ac:dyDescent="0.2">
      <c r="A751" s="319"/>
      <c r="B751" s="318"/>
      <c r="C751" s="94"/>
      <c r="D751" s="94"/>
      <c r="E751" s="329" t="s">
        <v>1661</v>
      </c>
      <c r="F751" s="324"/>
      <c r="G751" s="324"/>
      <c r="H751" s="324"/>
      <c r="I751" s="208"/>
      <c r="J751" s="209"/>
      <c r="K751" s="208"/>
    </row>
    <row r="752" spans="1:11" x14ac:dyDescent="0.2">
      <c r="A752" s="179"/>
      <c r="B752" s="324"/>
      <c r="C752" s="94"/>
      <c r="D752" s="94"/>
      <c r="E752" s="326" t="s">
        <v>1662</v>
      </c>
      <c r="F752" s="324"/>
      <c r="G752" s="324"/>
      <c r="H752" s="324"/>
      <c r="I752" s="208" t="s">
        <v>387</v>
      </c>
      <c r="J752" s="209"/>
      <c r="K752" s="208" t="s">
        <v>387</v>
      </c>
    </row>
    <row r="753" spans="1:11" x14ac:dyDescent="0.2">
      <c r="A753" s="319"/>
      <c r="B753" s="318"/>
      <c r="C753" s="94"/>
      <c r="D753" s="94"/>
      <c r="E753" s="326"/>
      <c r="F753" s="324"/>
      <c r="G753" s="324"/>
      <c r="H753" s="324"/>
      <c r="I753" s="208"/>
      <c r="J753" s="209"/>
      <c r="K753" s="208"/>
    </row>
    <row r="754" spans="1:11" x14ac:dyDescent="0.2">
      <c r="A754" s="328" t="s">
        <v>1638</v>
      </c>
      <c r="B754" s="322" t="s">
        <v>671</v>
      </c>
      <c r="C754" s="298"/>
      <c r="D754" s="323" t="s">
        <v>328</v>
      </c>
      <c r="E754" s="326" t="s">
        <v>1648</v>
      </c>
      <c r="F754" s="324">
        <v>4</v>
      </c>
      <c r="G754" s="324">
        <v>600</v>
      </c>
      <c r="H754" s="324">
        <v>60</v>
      </c>
      <c r="I754" s="208" t="s">
        <v>387</v>
      </c>
      <c r="J754" s="209"/>
      <c r="K754" s="208" t="s">
        <v>387</v>
      </c>
    </row>
    <row r="755" spans="1:11" x14ac:dyDescent="0.2">
      <c r="A755" s="319"/>
      <c r="B755" s="318"/>
      <c r="C755" s="94"/>
      <c r="D755" s="94"/>
      <c r="E755" s="326" t="s">
        <v>1649</v>
      </c>
      <c r="F755" s="324"/>
      <c r="G755" s="324"/>
      <c r="H755" s="324"/>
      <c r="I755" s="208"/>
      <c r="J755" s="209"/>
      <c r="K755" s="208"/>
    </row>
    <row r="756" spans="1:11" x14ac:dyDescent="0.2">
      <c r="A756" s="179"/>
      <c r="B756" s="324"/>
      <c r="C756" s="94"/>
      <c r="D756" s="94"/>
      <c r="E756" s="326" t="s">
        <v>1650</v>
      </c>
      <c r="F756" s="324"/>
      <c r="G756" s="324"/>
      <c r="H756" s="324"/>
      <c r="I756" s="208" t="s">
        <v>387</v>
      </c>
      <c r="J756" s="209"/>
      <c r="K756" s="208" t="s">
        <v>387</v>
      </c>
    </row>
    <row r="757" spans="1:11" x14ac:dyDescent="0.2">
      <c r="A757" s="319"/>
      <c r="B757" s="318"/>
      <c r="C757" s="94"/>
      <c r="D757" s="94"/>
      <c r="E757" s="326" t="s">
        <v>1651</v>
      </c>
      <c r="F757" s="324"/>
      <c r="G757" s="324"/>
      <c r="H757" s="324"/>
      <c r="I757" s="208"/>
      <c r="J757" s="209"/>
      <c r="K757" s="208"/>
    </row>
    <row r="758" spans="1:11" x14ac:dyDescent="0.2">
      <c r="A758" s="179"/>
      <c r="B758" s="324"/>
      <c r="C758" s="94"/>
      <c r="D758" s="94"/>
      <c r="E758" s="326" t="s">
        <v>1652</v>
      </c>
      <c r="F758" s="324"/>
      <c r="G758" s="324"/>
      <c r="H758" s="324"/>
      <c r="I758" s="208" t="s">
        <v>387</v>
      </c>
      <c r="J758" s="209"/>
      <c r="K758" s="208" t="s">
        <v>387</v>
      </c>
    </row>
    <row r="759" spans="1:11" x14ac:dyDescent="0.2">
      <c r="A759" s="319"/>
      <c r="B759" s="318"/>
      <c r="C759" s="94"/>
      <c r="D759" s="94"/>
      <c r="E759" s="326" t="s">
        <v>1653</v>
      </c>
      <c r="F759" s="324"/>
      <c r="G759" s="324"/>
      <c r="H759" s="324"/>
      <c r="I759" s="208"/>
      <c r="J759" s="209"/>
      <c r="K759" s="208"/>
    </row>
    <row r="760" spans="1:11" x14ac:dyDescent="0.2">
      <c r="A760" s="179"/>
      <c r="B760" s="324"/>
      <c r="C760" s="94"/>
      <c r="D760" s="94"/>
      <c r="E760" s="326" t="s">
        <v>1654</v>
      </c>
      <c r="F760" s="324"/>
      <c r="G760" s="324"/>
      <c r="H760" s="324"/>
      <c r="I760" s="208" t="s">
        <v>387</v>
      </c>
      <c r="J760" s="209"/>
      <c r="K760" s="208" t="s">
        <v>387</v>
      </c>
    </row>
    <row r="761" spans="1:11" x14ac:dyDescent="0.2">
      <c r="A761" s="319"/>
      <c r="B761" s="318"/>
      <c r="C761" s="94"/>
      <c r="D761" s="94"/>
      <c r="E761" s="326" t="s">
        <v>1655</v>
      </c>
      <c r="F761" s="324"/>
      <c r="G761" s="324"/>
      <c r="H761" s="324"/>
      <c r="I761" s="208"/>
      <c r="J761" s="209"/>
      <c r="K761" s="208"/>
    </row>
    <row r="762" spans="1:11" x14ac:dyDescent="0.2">
      <c r="A762" s="179"/>
      <c r="B762" s="324"/>
      <c r="C762" s="94"/>
      <c r="D762" s="94"/>
      <c r="E762" s="326" t="s">
        <v>1656</v>
      </c>
      <c r="F762" s="324"/>
      <c r="G762" s="324"/>
      <c r="H762" s="324"/>
      <c r="I762" s="208" t="s">
        <v>387</v>
      </c>
      <c r="J762" s="209"/>
      <c r="K762" s="208" t="s">
        <v>387</v>
      </c>
    </row>
    <row r="763" spans="1:11" x14ac:dyDescent="0.2">
      <c r="A763" s="319"/>
      <c r="B763" s="318"/>
      <c r="C763" s="94"/>
      <c r="D763" s="94"/>
      <c r="E763" s="326" t="s">
        <v>1657</v>
      </c>
      <c r="F763" s="324"/>
      <c r="G763" s="324"/>
      <c r="H763" s="324"/>
      <c r="I763" s="208"/>
      <c r="J763" s="209"/>
      <c r="K763" s="208"/>
    </row>
    <row r="764" spans="1:11" x14ac:dyDescent="0.2">
      <c r="A764" s="179"/>
      <c r="B764" s="324"/>
      <c r="C764" s="94"/>
      <c r="D764" s="94"/>
      <c r="E764" s="326" t="s">
        <v>1658</v>
      </c>
      <c r="F764" s="324"/>
      <c r="G764" s="324"/>
      <c r="H764" s="324"/>
      <c r="I764" s="208" t="s">
        <v>387</v>
      </c>
      <c r="J764" s="209"/>
      <c r="K764" s="208" t="s">
        <v>387</v>
      </c>
    </row>
    <row r="765" spans="1:11" x14ac:dyDescent="0.2">
      <c r="A765" s="319"/>
      <c r="B765" s="318"/>
      <c r="C765" s="94"/>
      <c r="D765" s="94"/>
      <c r="E765" s="326" t="s">
        <v>1659</v>
      </c>
      <c r="F765" s="324"/>
      <c r="G765" s="324"/>
      <c r="H765" s="324"/>
      <c r="I765" s="208"/>
      <c r="J765" s="209"/>
      <c r="K765" s="208"/>
    </row>
    <row r="766" spans="1:11" x14ac:dyDescent="0.2">
      <c r="A766" s="179"/>
      <c r="B766" s="324"/>
      <c r="C766" s="94"/>
      <c r="D766" s="94"/>
      <c r="E766" s="326" t="s">
        <v>1660</v>
      </c>
      <c r="F766" s="324"/>
      <c r="G766" s="324"/>
      <c r="H766" s="324"/>
      <c r="I766" s="208" t="s">
        <v>387</v>
      </c>
      <c r="J766" s="209"/>
      <c r="K766" s="208" t="s">
        <v>387</v>
      </c>
    </row>
    <row r="767" spans="1:11" x14ac:dyDescent="0.2">
      <c r="A767" s="179"/>
      <c r="B767" s="324"/>
      <c r="C767" s="94"/>
      <c r="D767" s="94"/>
      <c r="E767" s="325"/>
      <c r="F767" s="324"/>
      <c r="G767" s="324"/>
      <c r="H767" s="324"/>
      <c r="I767" s="208" t="s">
        <v>387</v>
      </c>
      <c r="J767" s="209"/>
      <c r="K767" s="208" t="s">
        <v>387</v>
      </c>
    </row>
    <row r="768" spans="1:11" x14ac:dyDescent="0.2">
      <c r="A768" s="107" t="s">
        <v>511</v>
      </c>
      <c r="B768" s="96"/>
      <c r="C768" s="95"/>
      <c r="D768" s="95"/>
      <c r="E768" s="97"/>
      <c r="F768" s="70"/>
      <c r="G768" s="70"/>
      <c r="H768" s="70"/>
      <c r="I768" s="208" t="s">
        <v>387</v>
      </c>
      <c r="J768" s="209"/>
      <c r="K768" s="208" t="s">
        <v>387</v>
      </c>
    </row>
    <row r="769" spans="1:11" x14ac:dyDescent="0.2">
      <c r="A769" s="113" t="s">
        <v>714</v>
      </c>
      <c r="B769" s="59" t="s">
        <v>671</v>
      </c>
      <c r="C769" s="83"/>
      <c r="D769" s="58" t="s">
        <v>514</v>
      </c>
      <c r="E769" s="58" t="s">
        <v>517</v>
      </c>
      <c r="I769" s="208" t="s">
        <v>387</v>
      </c>
      <c r="J769" s="209"/>
      <c r="K769" s="208" t="s">
        <v>387</v>
      </c>
    </row>
    <row r="770" spans="1:11" x14ac:dyDescent="0.2">
      <c r="A770" s="132" t="s">
        <v>715</v>
      </c>
      <c r="B770" s="59" t="s">
        <v>671</v>
      </c>
      <c r="C770" s="83"/>
      <c r="D770" s="58" t="s">
        <v>513</v>
      </c>
      <c r="E770" s="58" t="s">
        <v>515</v>
      </c>
      <c r="I770" s="208" t="s">
        <v>387</v>
      </c>
      <c r="J770" s="209"/>
      <c r="K770" s="208" t="s">
        <v>387</v>
      </c>
    </row>
    <row r="771" spans="1:11" x14ac:dyDescent="0.2">
      <c r="A771" s="113" t="s">
        <v>716</v>
      </c>
      <c r="B771" s="59" t="s">
        <v>671</v>
      </c>
      <c r="C771" s="83"/>
      <c r="D771" s="58" t="s">
        <v>513</v>
      </c>
      <c r="E771" s="166" t="s">
        <v>516</v>
      </c>
      <c r="I771" s="208" t="s">
        <v>387</v>
      </c>
      <c r="J771" s="209"/>
      <c r="K771" s="208" t="s">
        <v>387</v>
      </c>
    </row>
    <row r="772" spans="1:11" x14ac:dyDescent="0.2">
      <c r="A772" s="113" t="s">
        <v>670</v>
      </c>
      <c r="B772" s="59" t="s">
        <v>671</v>
      </c>
      <c r="C772" s="83"/>
      <c r="D772" s="58" t="s">
        <v>513</v>
      </c>
      <c r="E772" s="10" t="s">
        <v>504</v>
      </c>
      <c r="I772" s="208" t="s">
        <v>387</v>
      </c>
      <c r="J772" s="209"/>
      <c r="K772" s="208" t="s">
        <v>387</v>
      </c>
    </row>
    <row r="773" spans="1:11" x14ac:dyDescent="0.2">
      <c r="A773" s="113" t="s">
        <v>717</v>
      </c>
      <c r="B773" s="59" t="s">
        <v>671</v>
      </c>
      <c r="C773" s="83"/>
      <c r="D773" s="58" t="s">
        <v>513</v>
      </c>
      <c r="E773" s="165" t="s">
        <v>505</v>
      </c>
      <c r="I773" s="208" t="s">
        <v>387</v>
      </c>
      <c r="J773" s="209"/>
      <c r="K773" s="208" t="s">
        <v>387</v>
      </c>
    </row>
    <row r="774" spans="1:11" x14ac:dyDescent="0.2">
      <c r="A774" s="113" t="s">
        <v>659</v>
      </c>
      <c r="B774" s="59" t="s">
        <v>671</v>
      </c>
      <c r="C774" s="83"/>
      <c r="D774" s="58" t="s">
        <v>512</v>
      </c>
      <c r="E774" s="10" t="s">
        <v>506</v>
      </c>
      <c r="I774" s="208" t="s">
        <v>387</v>
      </c>
      <c r="J774" s="209"/>
      <c r="K774" s="208" t="s">
        <v>387</v>
      </c>
    </row>
    <row r="775" spans="1:11" x14ac:dyDescent="0.2">
      <c r="A775" s="113" t="s">
        <v>660</v>
      </c>
      <c r="B775" s="59" t="s">
        <v>671</v>
      </c>
      <c r="C775" s="83"/>
      <c r="D775" s="58" t="s">
        <v>512</v>
      </c>
      <c r="E775" s="10" t="s">
        <v>506</v>
      </c>
      <c r="I775" s="208" t="s">
        <v>387</v>
      </c>
      <c r="J775" s="209"/>
      <c r="K775" s="208" t="s">
        <v>387</v>
      </c>
    </row>
    <row r="776" spans="1:11" x14ac:dyDescent="0.2">
      <c r="A776" s="113" t="s">
        <v>661</v>
      </c>
      <c r="B776" s="59" t="s">
        <v>671</v>
      </c>
      <c r="C776" s="83"/>
      <c r="D776" s="58" t="s">
        <v>512</v>
      </c>
      <c r="E776" s="10" t="s">
        <v>510</v>
      </c>
      <c r="I776" s="208" t="s">
        <v>387</v>
      </c>
      <c r="J776" s="209"/>
      <c r="K776" s="208" t="s">
        <v>387</v>
      </c>
    </row>
    <row r="777" spans="1:11" x14ac:dyDescent="0.2">
      <c r="A777" s="113" t="s">
        <v>662</v>
      </c>
      <c r="B777" s="59" t="s">
        <v>671</v>
      </c>
      <c r="C777" s="83"/>
      <c r="D777" s="58" t="s">
        <v>512</v>
      </c>
      <c r="E777" s="10" t="s">
        <v>507</v>
      </c>
      <c r="I777" s="208" t="s">
        <v>387</v>
      </c>
      <c r="J777" s="209"/>
      <c r="K777" s="208" t="s">
        <v>387</v>
      </c>
    </row>
    <row r="778" spans="1:11" x14ac:dyDescent="0.2">
      <c r="A778" s="113" t="s">
        <v>663</v>
      </c>
      <c r="B778" s="59" t="s">
        <v>671</v>
      </c>
      <c r="C778" s="83"/>
      <c r="D778" s="58" t="s">
        <v>512</v>
      </c>
      <c r="E778" s="10" t="s">
        <v>508</v>
      </c>
      <c r="I778" s="208" t="s">
        <v>387</v>
      </c>
      <c r="J778" s="209"/>
      <c r="K778" s="208" t="s">
        <v>387</v>
      </c>
    </row>
    <row r="779" spans="1:11" x14ac:dyDescent="0.2">
      <c r="A779" s="113" t="s">
        <v>664</v>
      </c>
      <c r="B779" s="59" t="s">
        <v>671</v>
      </c>
      <c r="C779" s="83"/>
      <c r="D779" s="58" t="s">
        <v>512</v>
      </c>
      <c r="E779" s="10" t="s">
        <v>508</v>
      </c>
      <c r="I779" s="208" t="s">
        <v>387</v>
      </c>
      <c r="J779" s="209"/>
      <c r="K779" s="208" t="s">
        <v>387</v>
      </c>
    </row>
    <row r="780" spans="1:11" x14ac:dyDescent="0.2">
      <c r="A780" s="113" t="s">
        <v>665</v>
      </c>
      <c r="B780" s="59" t="s">
        <v>671</v>
      </c>
      <c r="C780" s="83"/>
      <c r="D780" s="58" t="s">
        <v>512</v>
      </c>
      <c r="E780" s="10" t="s">
        <v>509</v>
      </c>
      <c r="I780" s="208" t="s">
        <v>387</v>
      </c>
      <c r="J780" s="209"/>
      <c r="K780" s="208" t="s">
        <v>387</v>
      </c>
    </row>
    <row r="781" spans="1:11" ht="67.5" x14ac:dyDescent="0.2">
      <c r="A781" s="113" t="s">
        <v>666</v>
      </c>
      <c r="B781" s="59" t="s">
        <v>671</v>
      </c>
      <c r="C781" s="83"/>
      <c r="D781" s="58" t="s">
        <v>512</v>
      </c>
      <c r="E781" s="10" t="s">
        <v>381</v>
      </c>
      <c r="I781" s="208" t="s">
        <v>387</v>
      </c>
      <c r="J781" s="209"/>
      <c r="K781" s="208" t="s">
        <v>387</v>
      </c>
    </row>
    <row r="782" spans="1:11" ht="12.75" x14ac:dyDescent="0.2">
      <c r="A782" s="89"/>
      <c r="B782" s="60"/>
      <c r="C782" s="61"/>
      <c r="D782" s="61"/>
      <c r="E782" s="58"/>
      <c r="I782" s="208" t="s">
        <v>387</v>
      </c>
      <c r="J782" s="209"/>
      <c r="K782" s="208" t="s">
        <v>387</v>
      </c>
    </row>
    <row r="783" spans="1:11" ht="12.75" x14ac:dyDescent="0.2">
      <c r="A783" s="89"/>
      <c r="B783" s="60"/>
      <c r="C783" s="61"/>
      <c r="D783" s="61"/>
      <c r="E783" s="58"/>
      <c r="I783" s="208" t="s">
        <v>387</v>
      </c>
      <c r="J783" s="209"/>
      <c r="K783" s="208" t="s">
        <v>387</v>
      </c>
    </row>
    <row r="784" spans="1:11" ht="12.75" x14ac:dyDescent="0.2">
      <c r="A784" s="89"/>
      <c r="B784" s="60"/>
      <c r="C784" s="61"/>
      <c r="D784" s="61"/>
      <c r="E784" s="58"/>
      <c r="I784" s="208" t="s">
        <v>387</v>
      </c>
      <c r="J784" s="209"/>
      <c r="K784" s="208" t="s">
        <v>387</v>
      </c>
    </row>
    <row r="785" spans="1:11" x14ac:dyDescent="0.2">
      <c r="A785" s="100" t="s">
        <v>591</v>
      </c>
      <c r="B785" s="96"/>
      <c r="C785" s="95"/>
      <c r="D785" s="95"/>
      <c r="E785" s="97"/>
      <c r="F785" s="70"/>
      <c r="G785" s="70"/>
      <c r="H785" s="70"/>
      <c r="I785" s="208" t="s">
        <v>387</v>
      </c>
      <c r="J785" s="209"/>
      <c r="K785" s="208" t="s">
        <v>387</v>
      </c>
    </row>
    <row r="786" spans="1:11" x14ac:dyDescent="0.2">
      <c r="A786" s="3" t="s">
        <v>771</v>
      </c>
      <c r="B786" s="67" t="s">
        <v>672</v>
      </c>
      <c r="D786" s="66">
        <v>1</v>
      </c>
      <c r="I786" s="208" t="s">
        <v>387</v>
      </c>
      <c r="J786" s="209"/>
      <c r="K786" s="208" t="s">
        <v>387</v>
      </c>
    </row>
    <row r="787" spans="1:11" x14ac:dyDescent="0.2">
      <c r="A787" s="8" t="s">
        <v>804</v>
      </c>
      <c r="E787" s="1"/>
      <c r="I787" s="208" t="s">
        <v>387</v>
      </c>
      <c r="J787" s="209"/>
      <c r="K787" s="208" t="s">
        <v>387</v>
      </c>
    </row>
    <row r="788" spans="1:11" x14ac:dyDescent="0.2">
      <c r="A788" s="4" t="s">
        <v>856</v>
      </c>
      <c r="B788" s="67" t="s">
        <v>672</v>
      </c>
      <c r="D788" s="66">
        <v>1</v>
      </c>
      <c r="E788" s="73" t="s">
        <v>814</v>
      </c>
      <c r="I788" s="208" t="s">
        <v>387</v>
      </c>
      <c r="J788" s="209"/>
      <c r="K788" s="208" t="s">
        <v>387</v>
      </c>
    </row>
    <row r="789" spans="1:11" x14ac:dyDescent="0.2">
      <c r="A789" s="4"/>
      <c r="E789" s="105" t="s">
        <v>823</v>
      </c>
      <c r="I789" s="208" t="s">
        <v>387</v>
      </c>
      <c r="J789" s="209"/>
      <c r="K789" s="208" t="s">
        <v>387</v>
      </c>
    </row>
    <row r="790" spans="1:11" x14ac:dyDescent="0.2">
      <c r="A790" s="4"/>
      <c r="E790" s="104" t="s">
        <v>817</v>
      </c>
      <c r="I790" s="208" t="s">
        <v>387</v>
      </c>
      <c r="J790" s="209"/>
      <c r="K790" s="208" t="s">
        <v>387</v>
      </c>
    </row>
    <row r="791" spans="1:11" x14ac:dyDescent="0.2">
      <c r="A791" s="4"/>
      <c r="E791" s="104" t="s">
        <v>816</v>
      </c>
      <c r="I791" s="208" t="s">
        <v>387</v>
      </c>
      <c r="J791" s="209"/>
      <c r="K791" s="208" t="s">
        <v>387</v>
      </c>
    </row>
    <row r="792" spans="1:11" x14ac:dyDescent="0.2">
      <c r="A792" s="4"/>
      <c r="E792" s="104" t="s">
        <v>815</v>
      </c>
      <c r="I792" s="208" t="s">
        <v>387</v>
      </c>
      <c r="J792" s="209"/>
      <c r="K792" s="208" t="s">
        <v>387</v>
      </c>
    </row>
    <row r="793" spans="1:11" x14ac:dyDescent="0.2">
      <c r="A793" s="4"/>
      <c r="E793" s="104" t="s">
        <v>329</v>
      </c>
      <c r="I793" s="208" t="s">
        <v>387</v>
      </c>
      <c r="J793" s="209"/>
      <c r="K793" s="208" t="s">
        <v>387</v>
      </c>
    </row>
    <row r="794" spans="1:11" x14ac:dyDescent="0.2">
      <c r="A794" s="4"/>
      <c r="E794" s="104" t="s">
        <v>330</v>
      </c>
      <c r="I794" s="208" t="s">
        <v>387</v>
      </c>
      <c r="J794" s="209"/>
      <c r="K794" s="208" t="s">
        <v>387</v>
      </c>
    </row>
    <row r="795" spans="1:11" x14ac:dyDescent="0.2">
      <c r="A795" s="4"/>
      <c r="E795" s="104" t="s">
        <v>818</v>
      </c>
      <c r="I795" s="208" t="s">
        <v>387</v>
      </c>
      <c r="J795" s="209"/>
      <c r="K795" s="208" t="s">
        <v>387</v>
      </c>
    </row>
    <row r="796" spans="1:11" x14ac:dyDescent="0.2">
      <c r="A796" s="4"/>
      <c r="E796" s="104" t="s">
        <v>210</v>
      </c>
      <c r="I796" s="208" t="s">
        <v>387</v>
      </c>
      <c r="J796" s="209"/>
      <c r="K796" s="208" t="s">
        <v>387</v>
      </c>
    </row>
    <row r="797" spans="1:11" x14ac:dyDescent="0.2">
      <c r="A797" s="4"/>
      <c r="E797" s="103" t="s">
        <v>824</v>
      </c>
      <c r="I797" s="208" t="s">
        <v>387</v>
      </c>
      <c r="J797" s="209"/>
      <c r="K797" s="208" t="s">
        <v>387</v>
      </c>
    </row>
    <row r="798" spans="1:11" x14ac:dyDescent="0.2">
      <c r="A798" s="4"/>
      <c r="E798" s="103" t="s">
        <v>819</v>
      </c>
      <c r="I798" s="208" t="s">
        <v>387</v>
      </c>
      <c r="J798" s="209"/>
      <c r="K798" s="208" t="s">
        <v>387</v>
      </c>
    </row>
    <row r="799" spans="1:11" x14ac:dyDescent="0.2">
      <c r="A799" s="4"/>
      <c r="E799" s="104" t="s">
        <v>820</v>
      </c>
      <c r="I799" s="208" t="s">
        <v>387</v>
      </c>
      <c r="J799" s="209"/>
      <c r="K799" s="208" t="s">
        <v>387</v>
      </c>
    </row>
    <row r="800" spans="1:11" x14ac:dyDescent="0.2">
      <c r="A800" s="4"/>
      <c r="E800" s="104" t="s">
        <v>821</v>
      </c>
      <c r="I800" s="208" t="s">
        <v>387</v>
      </c>
      <c r="J800" s="209"/>
      <c r="K800" s="208" t="s">
        <v>387</v>
      </c>
    </row>
    <row r="801" spans="1:11" x14ac:dyDescent="0.2">
      <c r="A801" s="4"/>
      <c r="E801" s="104" t="s">
        <v>822</v>
      </c>
      <c r="I801" s="208" t="s">
        <v>387</v>
      </c>
      <c r="J801" s="209"/>
      <c r="K801" s="208" t="s">
        <v>387</v>
      </c>
    </row>
    <row r="802" spans="1:11" x14ac:dyDescent="0.2">
      <c r="A802" s="4"/>
      <c r="E802" s="104" t="s">
        <v>211</v>
      </c>
      <c r="I802" s="208" t="s">
        <v>387</v>
      </c>
      <c r="J802" s="209"/>
      <c r="K802" s="208" t="s">
        <v>387</v>
      </c>
    </row>
    <row r="803" spans="1:11" x14ac:dyDescent="0.2">
      <c r="A803" s="4"/>
      <c r="E803" s="104" t="s">
        <v>232</v>
      </c>
      <c r="I803" s="208" t="s">
        <v>387</v>
      </c>
      <c r="J803" s="209"/>
      <c r="K803" s="208" t="s">
        <v>387</v>
      </c>
    </row>
    <row r="804" spans="1:11" x14ac:dyDescent="0.2">
      <c r="A804" s="4"/>
      <c r="E804" s="105" t="s">
        <v>825</v>
      </c>
      <c r="I804" s="208" t="s">
        <v>387</v>
      </c>
      <c r="J804" s="209"/>
      <c r="K804" s="208" t="s">
        <v>387</v>
      </c>
    </row>
    <row r="805" spans="1:11" x14ac:dyDescent="0.2">
      <c r="A805" s="4"/>
      <c r="E805" s="73"/>
      <c r="I805" s="208" t="s">
        <v>387</v>
      </c>
      <c r="J805" s="209"/>
      <c r="K805" s="208" t="s">
        <v>387</v>
      </c>
    </row>
    <row r="806" spans="1:11" x14ac:dyDescent="0.2">
      <c r="A806" s="4"/>
      <c r="E806" s="73"/>
      <c r="I806" s="208" t="s">
        <v>387</v>
      </c>
      <c r="J806" s="209"/>
      <c r="K806" s="208" t="s">
        <v>387</v>
      </c>
    </row>
    <row r="807" spans="1:11" x14ac:dyDescent="0.2">
      <c r="A807" s="101" t="s">
        <v>531</v>
      </c>
      <c r="B807" s="67" t="s">
        <v>672</v>
      </c>
      <c r="D807" s="66">
        <v>0.5</v>
      </c>
      <c r="E807" s="79" t="s">
        <v>857</v>
      </c>
      <c r="I807" s="208" t="s">
        <v>387</v>
      </c>
      <c r="J807" s="209"/>
      <c r="K807" s="208" t="s">
        <v>387</v>
      </c>
    </row>
    <row r="808" spans="1:11" x14ac:dyDescent="0.2">
      <c r="A808" s="101"/>
      <c r="E808" s="79" t="s">
        <v>812</v>
      </c>
      <c r="I808" s="208" t="s">
        <v>387</v>
      </c>
      <c r="J808" s="209"/>
      <c r="K808" s="208" t="s">
        <v>387</v>
      </c>
    </row>
    <row r="809" spans="1:11" x14ac:dyDescent="0.2">
      <c r="A809" s="101" t="s">
        <v>771</v>
      </c>
      <c r="B809" s="67" t="s">
        <v>672</v>
      </c>
      <c r="D809" s="66">
        <v>0.5</v>
      </c>
      <c r="E809" s="79"/>
      <c r="I809" s="208" t="s">
        <v>387</v>
      </c>
      <c r="J809" s="209"/>
      <c r="K809" s="208" t="s">
        <v>387</v>
      </c>
    </row>
    <row r="810" spans="1:11" x14ac:dyDescent="0.2">
      <c r="A810" s="1"/>
      <c r="E810" s="79"/>
      <c r="I810" s="208" t="s">
        <v>387</v>
      </c>
      <c r="J810" s="209"/>
      <c r="K810" s="208" t="s">
        <v>387</v>
      </c>
    </row>
    <row r="811" spans="1:11" x14ac:dyDescent="0.2">
      <c r="A811" s="8" t="s">
        <v>805</v>
      </c>
      <c r="B811" s="67" t="s">
        <v>672</v>
      </c>
      <c r="D811" s="66">
        <v>1</v>
      </c>
      <c r="E811" s="79" t="s">
        <v>813</v>
      </c>
      <c r="I811" s="208" t="s">
        <v>387</v>
      </c>
      <c r="J811" s="209"/>
      <c r="K811" s="208" t="s">
        <v>387</v>
      </c>
    </row>
    <row r="812" spans="1:11" x14ac:dyDescent="0.2">
      <c r="A812" s="8" t="s">
        <v>771</v>
      </c>
      <c r="B812" s="67" t="s">
        <v>672</v>
      </c>
      <c r="D812" s="66">
        <v>1</v>
      </c>
      <c r="E812" s="79"/>
      <c r="I812" s="208" t="s">
        <v>387</v>
      </c>
      <c r="J812" s="209"/>
      <c r="K812" s="208" t="s">
        <v>387</v>
      </c>
    </row>
    <row r="813" spans="1:11" x14ac:dyDescent="0.2">
      <c r="A813" s="8" t="s">
        <v>806</v>
      </c>
      <c r="B813" s="67" t="s">
        <v>672</v>
      </c>
      <c r="D813" s="66">
        <v>4</v>
      </c>
      <c r="E813" s="102" t="s">
        <v>855</v>
      </c>
      <c r="I813" s="208" t="s">
        <v>387</v>
      </c>
      <c r="J813" s="209"/>
      <c r="K813" s="208" t="s">
        <v>387</v>
      </c>
    </row>
    <row r="814" spans="1:11" x14ac:dyDescent="0.2">
      <c r="A814" s="8" t="s">
        <v>808</v>
      </c>
      <c r="B814" s="67" t="s">
        <v>672</v>
      </c>
      <c r="I814" s="208" t="s">
        <v>387</v>
      </c>
      <c r="J814" s="209"/>
      <c r="K814" s="208" t="s">
        <v>387</v>
      </c>
    </row>
    <row r="815" spans="1:11" x14ac:dyDescent="0.2">
      <c r="A815" s="8"/>
      <c r="I815" s="208" t="s">
        <v>387</v>
      </c>
      <c r="J815" s="209"/>
      <c r="K815" s="208" t="s">
        <v>387</v>
      </c>
    </row>
    <row r="816" spans="1:11" x14ac:dyDescent="0.2">
      <c r="A816" s="100" t="s">
        <v>592</v>
      </c>
      <c r="B816" s="96"/>
      <c r="C816" s="95"/>
      <c r="D816" s="95"/>
      <c r="E816" s="97"/>
      <c r="F816" s="70"/>
      <c r="G816" s="70"/>
      <c r="H816" s="70"/>
      <c r="I816" s="208" t="s">
        <v>387</v>
      </c>
      <c r="J816" s="209"/>
      <c r="K816" s="208" t="s">
        <v>387</v>
      </c>
    </row>
    <row r="817" spans="1:11" x14ac:dyDescent="0.2">
      <c r="A817" s="2"/>
      <c r="I817" s="208" t="s">
        <v>387</v>
      </c>
      <c r="J817" s="209"/>
      <c r="K817" s="208" t="s">
        <v>387</v>
      </c>
    </row>
    <row r="818" spans="1:11" x14ac:dyDescent="0.2">
      <c r="A818" s="8" t="s">
        <v>531</v>
      </c>
      <c r="B818" s="67" t="s">
        <v>671</v>
      </c>
      <c r="D818" s="66">
        <v>0.5</v>
      </c>
      <c r="E818" s="79" t="s">
        <v>857</v>
      </c>
      <c r="I818" s="208" t="s">
        <v>387</v>
      </c>
      <c r="J818" s="209"/>
      <c r="K818" s="208" t="s">
        <v>387</v>
      </c>
    </row>
    <row r="819" spans="1:11" x14ac:dyDescent="0.2">
      <c r="A819" s="3"/>
      <c r="E819" s="79" t="s">
        <v>812</v>
      </c>
      <c r="I819" s="208" t="s">
        <v>387</v>
      </c>
      <c r="J819" s="209"/>
      <c r="K819" s="208" t="s">
        <v>387</v>
      </c>
    </row>
    <row r="820" spans="1:11" x14ac:dyDescent="0.2">
      <c r="A820" s="3"/>
      <c r="E820" s="79" t="s">
        <v>826</v>
      </c>
      <c r="I820" s="208" t="s">
        <v>387</v>
      </c>
      <c r="J820" s="209"/>
      <c r="K820" s="208" t="s">
        <v>387</v>
      </c>
    </row>
    <row r="821" spans="1:11" x14ac:dyDescent="0.2">
      <c r="A821" s="3"/>
      <c r="E821" s="79" t="s">
        <v>827</v>
      </c>
      <c r="I821" s="208" t="s">
        <v>387</v>
      </c>
      <c r="J821" s="209"/>
      <c r="K821" s="208" t="s">
        <v>387</v>
      </c>
    </row>
    <row r="822" spans="1:11" x14ac:dyDescent="0.2">
      <c r="A822" s="8" t="s">
        <v>532</v>
      </c>
      <c r="B822" s="67" t="s">
        <v>671</v>
      </c>
      <c r="D822" s="66">
        <v>0.5</v>
      </c>
      <c r="E822" s="79" t="s">
        <v>828</v>
      </c>
      <c r="I822" s="208" t="s">
        <v>387</v>
      </c>
      <c r="J822" s="209"/>
      <c r="K822" s="208" t="s">
        <v>387</v>
      </c>
    </row>
    <row r="823" spans="1:11" x14ac:dyDescent="0.2">
      <c r="A823" s="8" t="s">
        <v>830</v>
      </c>
      <c r="B823" s="67" t="s">
        <v>671</v>
      </c>
      <c r="D823" s="66">
        <v>0.5</v>
      </c>
      <c r="E823" s="79" t="s">
        <v>392</v>
      </c>
      <c r="I823" s="208" t="s">
        <v>387</v>
      </c>
      <c r="J823" s="209"/>
      <c r="K823" s="208" t="s">
        <v>387</v>
      </c>
    </row>
    <row r="824" spans="1:11" x14ac:dyDescent="0.2">
      <c r="A824" s="3" t="s">
        <v>831</v>
      </c>
      <c r="B824" s="67" t="s">
        <v>671</v>
      </c>
      <c r="D824" s="66">
        <v>0.5</v>
      </c>
      <c r="E824" s="79" t="s">
        <v>829</v>
      </c>
      <c r="I824" s="208" t="s">
        <v>387</v>
      </c>
      <c r="J824" s="209"/>
      <c r="K824" s="208" t="s">
        <v>387</v>
      </c>
    </row>
    <row r="825" spans="1:11" x14ac:dyDescent="0.2">
      <c r="A825" s="3" t="s">
        <v>832</v>
      </c>
      <c r="B825" s="67" t="s">
        <v>671</v>
      </c>
      <c r="D825" s="66">
        <v>8</v>
      </c>
      <c r="E825" s="79" t="s">
        <v>208</v>
      </c>
      <c r="I825" s="208" t="s">
        <v>387</v>
      </c>
      <c r="J825" s="209"/>
      <c r="K825" s="208" t="s">
        <v>387</v>
      </c>
    </row>
    <row r="826" spans="1:11" x14ac:dyDescent="0.2">
      <c r="A826" s="8" t="s">
        <v>533</v>
      </c>
      <c r="B826" s="67" t="s">
        <v>671</v>
      </c>
      <c r="D826" s="66">
        <v>1</v>
      </c>
      <c r="E826" s="79" t="s">
        <v>833</v>
      </c>
      <c r="I826" s="208" t="s">
        <v>387</v>
      </c>
      <c r="J826" s="209"/>
      <c r="K826" s="208" t="s">
        <v>387</v>
      </c>
    </row>
    <row r="827" spans="1:11" x14ac:dyDescent="0.2">
      <c r="A827" s="8" t="s">
        <v>534</v>
      </c>
      <c r="B827" s="67" t="s">
        <v>671</v>
      </c>
      <c r="D827" s="66">
        <v>1</v>
      </c>
      <c r="E827" s="79" t="s">
        <v>585</v>
      </c>
      <c r="I827" s="208" t="s">
        <v>387</v>
      </c>
      <c r="J827" s="209"/>
      <c r="K827" s="208" t="s">
        <v>387</v>
      </c>
    </row>
    <row r="828" spans="1:11" x14ac:dyDescent="0.2">
      <c r="A828" s="2"/>
      <c r="I828" s="208" t="s">
        <v>387</v>
      </c>
      <c r="J828" s="209"/>
      <c r="K828" s="208" t="s">
        <v>387</v>
      </c>
    </row>
    <row r="829" spans="1:11" x14ac:dyDescent="0.2">
      <c r="A829" s="100" t="s">
        <v>593</v>
      </c>
      <c r="B829" s="96"/>
      <c r="C829" s="95"/>
      <c r="D829" s="95"/>
      <c r="E829" s="97"/>
      <c r="F829" s="70"/>
      <c r="G829" s="70"/>
      <c r="H829" s="70"/>
      <c r="I829" s="208" t="s">
        <v>387</v>
      </c>
      <c r="J829" s="209"/>
      <c r="K829" s="208" t="s">
        <v>387</v>
      </c>
    </row>
    <row r="830" spans="1:11" x14ac:dyDescent="0.2">
      <c r="A830" s="2"/>
      <c r="I830" s="208" t="s">
        <v>387</v>
      </c>
      <c r="J830" s="209"/>
      <c r="K830" s="208" t="s">
        <v>387</v>
      </c>
    </row>
    <row r="831" spans="1:11" x14ac:dyDescent="0.2">
      <c r="A831" s="3" t="s">
        <v>771</v>
      </c>
      <c r="B831" s="67" t="s">
        <v>672</v>
      </c>
      <c r="D831" s="66">
        <v>1</v>
      </c>
      <c r="I831" s="208" t="s">
        <v>387</v>
      </c>
      <c r="J831" s="209"/>
      <c r="K831" s="208" t="s">
        <v>387</v>
      </c>
    </row>
    <row r="832" spans="1:11" x14ac:dyDescent="0.2">
      <c r="A832" s="8" t="s">
        <v>804</v>
      </c>
      <c r="E832" s="1"/>
      <c r="I832" s="208" t="s">
        <v>387</v>
      </c>
      <c r="J832" s="209"/>
      <c r="K832" s="208" t="s">
        <v>387</v>
      </c>
    </row>
    <row r="833" spans="1:11" x14ac:dyDescent="0.2">
      <c r="A833" s="21" t="s">
        <v>530</v>
      </c>
      <c r="B833" s="67" t="s">
        <v>672</v>
      </c>
      <c r="D833" s="66">
        <v>1</v>
      </c>
      <c r="E833" s="73"/>
      <c r="I833" s="208" t="s">
        <v>387</v>
      </c>
      <c r="J833" s="209"/>
      <c r="K833" s="208" t="s">
        <v>387</v>
      </c>
    </row>
    <row r="834" spans="1:11" x14ac:dyDescent="0.2">
      <c r="A834" s="101" t="s">
        <v>531</v>
      </c>
      <c r="B834" s="67" t="s">
        <v>672</v>
      </c>
      <c r="D834" s="66">
        <v>0.5</v>
      </c>
      <c r="E834" s="79" t="s">
        <v>857</v>
      </c>
      <c r="I834" s="208" t="s">
        <v>387</v>
      </c>
      <c r="J834" s="209"/>
      <c r="K834" s="208" t="s">
        <v>387</v>
      </c>
    </row>
    <row r="835" spans="1:11" x14ac:dyDescent="0.2">
      <c r="A835" s="101"/>
      <c r="E835" s="79" t="s">
        <v>812</v>
      </c>
      <c r="I835" s="208" t="s">
        <v>387</v>
      </c>
      <c r="J835" s="209"/>
      <c r="K835" s="208" t="s">
        <v>387</v>
      </c>
    </row>
    <row r="836" spans="1:11" x14ac:dyDescent="0.2">
      <c r="A836" s="101"/>
      <c r="E836" s="79" t="s">
        <v>826</v>
      </c>
      <c r="I836" s="208" t="s">
        <v>387</v>
      </c>
      <c r="J836" s="209"/>
      <c r="K836" s="208" t="s">
        <v>387</v>
      </c>
    </row>
    <row r="837" spans="1:11" x14ac:dyDescent="0.2">
      <c r="A837" s="101"/>
      <c r="E837" s="79" t="s">
        <v>827</v>
      </c>
      <c r="I837" s="208" t="s">
        <v>387</v>
      </c>
      <c r="J837" s="209"/>
      <c r="K837" s="208" t="s">
        <v>387</v>
      </c>
    </row>
    <row r="838" spans="1:11" x14ac:dyDescent="0.2">
      <c r="A838" s="101" t="s">
        <v>532</v>
      </c>
      <c r="B838" s="67" t="s">
        <v>672</v>
      </c>
      <c r="D838" s="66">
        <v>0.5</v>
      </c>
      <c r="E838" s="79" t="s">
        <v>828</v>
      </c>
      <c r="I838" s="208" t="s">
        <v>387</v>
      </c>
      <c r="J838" s="209"/>
      <c r="K838" s="208" t="s">
        <v>387</v>
      </c>
    </row>
    <row r="839" spans="1:11" x14ac:dyDescent="0.2">
      <c r="A839" s="1"/>
      <c r="E839" s="79"/>
      <c r="I839" s="208" t="s">
        <v>387</v>
      </c>
      <c r="J839" s="209"/>
      <c r="K839" s="208" t="s">
        <v>387</v>
      </c>
    </row>
    <row r="840" spans="1:11" x14ac:dyDescent="0.2">
      <c r="A840" s="8" t="s">
        <v>805</v>
      </c>
      <c r="B840" s="67" t="s">
        <v>672</v>
      </c>
      <c r="D840" s="66">
        <v>1</v>
      </c>
      <c r="E840" s="79" t="s">
        <v>586</v>
      </c>
      <c r="I840" s="208" t="s">
        <v>387</v>
      </c>
      <c r="J840" s="209"/>
      <c r="K840" s="208" t="s">
        <v>387</v>
      </c>
    </row>
    <row r="841" spans="1:11" x14ac:dyDescent="0.2">
      <c r="A841" s="8"/>
      <c r="E841" s="79" t="s">
        <v>587</v>
      </c>
      <c r="I841" s="208" t="s">
        <v>387</v>
      </c>
      <c r="J841" s="209"/>
      <c r="K841" s="208" t="s">
        <v>387</v>
      </c>
    </row>
    <row r="842" spans="1:11" x14ac:dyDescent="0.2">
      <c r="A842" s="8"/>
      <c r="E842" s="79" t="s">
        <v>588</v>
      </c>
      <c r="I842" s="208" t="s">
        <v>387</v>
      </c>
      <c r="J842" s="209"/>
      <c r="K842" s="208" t="s">
        <v>387</v>
      </c>
    </row>
    <row r="843" spans="1:11" x14ac:dyDescent="0.2">
      <c r="A843" s="8"/>
      <c r="E843" s="79" t="s">
        <v>589</v>
      </c>
      <c r="I843" s="208" t="s">
        <v>387</v>
      </c>
      <c r="J843" s="209"/>
      <c r="K843" s="208" t="s">
        <v>387</v>
      </c>
    </row>
    <row r="844" spans="1:11" x14ac:dyDescent="0.2">
      <c r="A844" s="8" t="s">
        <v>771</v>
      </c>
      <c r="B844" s="67" t="s">
        <v>672</v>
      </c>
      <c r="D844" s="66">
        <v>1</v>
      </c>
      <c r="E844" s="79"/>
      <c r="I844" s="208" t="s">
        <v>387</v>
      </c>
      <c r="J844" s="209"/>
      <c r="K844" s="208" t="s">
        <v>387</v>
      </c>
    </row>
    <row r="845" spans="1:11" x14ac:dyDescent="0.2">
      <c r="A845" s="8" t="s">
        <v>806</v>
      </c>
      <c r="B845" s="67" t="s">
        <v>672</v>
      </c>
      <c r="D845" s="66">
        <v>4</v>
      </c>
      <c r="E845" s="102" t="s">
        <v>855</v>
      </c>
      <c r="I845" s="208" t="s">
        <v>387</v>
      </c>
      <c r="J845" s="209"/>
      <c r="K845" s="208" t="s">
        <v>387</v>
      </c>
    </row>
    <row r="846" spans="1:11" x14ac:dyDescent="0.2">
      <c r="A846" s="8" t="s">
        <v>771</v>
      </c>
      <c r="B846" s="67" t="s">
        <v>672</v>
      </c>
      <c r="D846" s="66">
        <v>2</v>
      </c>
      <c r="E846" s="102"/>
      <c r="I846" s="208" t="s">
        <v>387</v>
      </c>
      <c r="J846" s="209"/>
      <c r="K846" s="208" t="s">
        <v>387</v>
      </c>
    </row>
    <row r="847" spans="1:11" x14ac:dyDescent="0.2">
      <c r="A847" s="8" t="s">
        <v>808</v>
      </c>
      <c r="B847" s="67" t="s">
        <v>672</v>
      </c>
      <c r="D847" s="66">
        <v>1</v>
      </c>
      <c r="I847" s="208" t="s">
        <v>387</v>
      </c>
      <c r="J847" s="209"/>
      <c r="K847" s="208" t="s">
        <v>387</v>
      </c>
    </row>
    <row r="848" spans="1:11" ht="12" thickBot="1" x14ac:dyDescent="0.25">
      <c r="A848" s="2"/>
      <c r="E848" s="79"/>
      <c r="I848" s="208" t="s">
        <v>387</v>
      </c>
      <c r="J848" s="209"/>
      <c r="K848" s="208" t="s">
        <v>387</v>
      </c>
    </row>
    <row r="849" spans="1:11" x14ac:dyDescent="0.2">
      <c r="A849" s="262" t="s">
        <v>1150</v>
      </c>
      <c r="B849" s="263" t="s">
        <v>1128</v>
      </c>
      <c r="C849" s="95"/>
      <c r="D849" s="95"/>
      <c r="E849" s="106"/>
      <c r="F849" s="70"/>
      <c r="G849" s="70"/>
      <c r="H849" s="70"/>
      <c r="I849" s="208" t="s">
        <v>387</v>
      </c>
      <c r="J849" s="209"/>
      <c r="K849" s="208" t="s">
        <v>387</v>
      </c>
    </row>
    <row r="850" spans="1:11" ht="12.75" x14ac:dyDescent="0.2">
      <c r="A850" s="55" t="s">
        <v>1150</v>
      </c>
      <c r="B850" s="264"/>
      <c r="F850" s="87"/>
      <c r="G850" s="87"/>
      <c r="H850" s="86"/>
      <c r="I850" s="208" t="s">
        <v>387</v>
      </c>
      <c r="J850" s="209"/>
      <c r="K850" s="208" t="s">
        <v>387</v>
      </c>
    </row>
    <row r="851" spans="1:11" ht="12.75" x14ac:dyDescent="0.2">
      <c r="A851" s="297" t="s">
        <v>1129</v>
      </c>
      <c r="B851" s="265">
        <v>0</v>
      </c>
      <c r="F851" s="87"/>
      <c r="G851" s="87"/>
      <c r="H851" s="86"/>
      <c r="I851" s="208" t="s">
        <v>387</v>
      </c>
      <c r="J851" s="209"/>
      <c r="K851" s="208" t="s">
        <v>387</v>
      </c>
    </row>
    <row r="852" spans="1:11" ht="12.75" x14ac:dyDescent="0.2">
      <c r="A852" s="297" t="s">
        <v>1130</v>
      </c>
      <c r="B852" s="265">
        <v>14</v>
      </c>
      <c r="F852" s="87"/>
      <c r="G852" s="87"/>
      <c r="H852" s="86"/>
      <c r="I852" s="208" t="s">
        <v>387</v>
      </c>
      <c r="J852" s="209"/>
      <c r="K852" s="208" t="s">
        <v>387</v>
      </c>
    </row>
    <row r="853" spans="1:11" ht="12.75" x14ac:dyDescent="0.2">
      <c r="A853" s="297" t="s">
        <v>1131</v>
      </c>
      <c r="B853" s="265">
        <v>15</v>
      </c>
      <c r="F853" s="87"/>
      <c r="G853" s="87"/>
      <c r="H853" s="86"/>
      <c r="I853" s="208" t="s">
        <v>387</v>
      </c>
      <c r="J853" s="209"/>
      <c r="K853" s="208" t="s">
        <v>387</v>
      </c>
    </row>
    <row r="854" spans="1:11" x14ac:dyDescent="0.2">
      <c r="A854" s="297" t="s">
        <v>1132</v>
      </c>
      <c r="B854" s="265">
        <v>16</v>
      </c>
      <c r="F854" s="85"/>
      <c r="G854" s="85"/>
      <c r="H854" s="85"/>
      <c r="I854" s="208" t="s">
        <v>387</v>
      </c>
      <c r="J854" s="209"/>
      <c r="K854" s="208" t="s">
        <v>387</v>
      </c>
    </row>
    <row r="855" spans="1:11" x14ac:dyDescent="0.2">
      <c r="A855" s="297" t="s">
        <v>1133</v>
      </c>
      <c r="B855" s="265">
        <v>17</v>
      </c>
      <c r="F855" s="85"/>
      <c r="G855" s="85"/>
      <c r="H855" s="85"/>
      <c r="I855" s="208" t="s">
        <v>387</v>
      </c>
      <c r="J855" s="209"/>
      <c r="K855" s="208" t="s">
        <v>387</v>
      </c>
    </row>
    <row r="856" spans="1:11" x14ac:dyDescent="0.2">
      <c r="A856" s="297" t="s">
        <v>1134</v>
      </c>
      <c r="B856" s="265">
        <v>42</v>
      </c>
      <c r="F856" s="85"/>
      <c r="G856" s="85"/>
      <c r="H856" s="85"/>
      <c r="I856" s="208" t="s">
        <v>387</v>
      </c>
      <c r="J856" s="209"/>
      <c r="K856" s="208" t="s">
        <v>387</v>
      </c>
    </row>
    <row r="857" spans="1:11" x14ac:dyDescent="0.2">
      <c r="A857" s="297" t="s">
        <v>1135</v>
      </c>
      <c r="B857" s="265">
        <v>81</v>
      </c>
      <c r="F857" s="85"/>
      <c r="G857" s="85"/>
      <c r="H857" s="85"/>
      <c r="I857" s="208" t="s">
        <v>387</v>
      </c>
      <c r="J857" s="209"/>
      <c r="K857" s="208" t="s">
        <v>387</v>
      </c>
    </row>
    <row r="858" spans="1:11" x14ac:dyDescent="0.2">
      <c r="A858" s="297" t="s">
        <v>1136</v>
      </c>
      <c r="B858" s="265">
        <v>82</v>
      </c>
      <c r="F858" s="85"/>
      <c r="G858" s="85"/>
      <c r="H858" s="85"/>
      <c r="I858" s="208" t="s">
        <v>387</v>
      </c>
      <c r="J858" s="209"/>
      <c r="K858" s="208" t="s">
        <v>387</v>
      </c>
    </row>
    <row r="859" spans="1:11" x14ac:dyDescent="0.2">
      <c r="A859" s="297" t="s">
        <v>1137</v>
      </c>
      <c r="B859" s="265">
        <v>107</v>
      </c>
      <c r="F859" s="85"/>
      <c r="G859" s="85"/>
      <c r="H859" s="85"/>
      <c r="I859" s="208" t="s">
        <v>387</v>
      </c>
      <c r="J859" s="209"/>
      <c r="K859" s="208" t="s">
        <v>387</v>
      </c>
    </row>
    <row r="860" spans="1:11" x14ac:dyDescent="0.2">
      <c r="A860" s="297" t="s">
        <v>1138</v>
      </c>
      <c r="B860" s="265">
        <v>125</v>
      </c>
      <c r="F860" s="85"/>
      <c r="G860" s="85"/>
      <c r="H860" s="85"/>
      <c r="I860" s="208" t="s">
        <v>387</v>
      </c>
      <c r="J860" s="209"/>
      <c r="K860" s="208" t="s">
        <v>387</v>
      </c>
    </row>
    <row r="861" spans="1:11" x14ac:dyDescent="0.2">
      <c r="A861" s="297" t="s">
        <v>1139</v>
      </c>
      <c r="B861" s="265">
        <v>200</v>
      </c>
      <c r="F861" s="85"/>
      <c r="G861" s="85"/>
      <c r="H861" s="85"/>
      <c r="I861" s="208" t="s">
        <v>387</v>
      </c>
      <c r="J861" s="209"/>
      <c r="K861" s="208" t="s">
        <v>387</v>
      </c>
    </row>
    <row r="862" spans="1:11" x14ac:dyDescent="0.2">
      <c r="A862" s="297" t="s">
        <v>1140</v>
      </c>
      <c r="B862" s="265">
        <v>201</v>
      </c>
      <c r="F862" s="85"/>
      <c r="G862" s="85"/>
      <c r="H862" s="85"/>
      <c r="I862" s="208" t="s">
        <v>387</v>
      </c>
      <c r="J862" s="209"/>
      <c r="K862" s="208" t="s">
        <v>387</v>
      </c>
    </row>
    <row r="863" spans="1:11" x14ac:dyDescent="0.2">
      <c r="A863" s="297" t="s">
        <v>1141</v>
      </c>
      <c r="B863" s="265">
        <v>202</v>
      </c>
      <c r="F863" s="85"/>
      <c r="G863" s="85"/>
      <c r="H863" s="85"/>
      <c r="I863" s="208" t="s">
        <v>387</v>
      </c>
      <c r="J863" s="209"/>
      <c r="K863" s="208" t="s">
        <v>387</v>
      </c>
    </row>
    <row r="864" spans="1:11" x14ac:dyDescent="0.2">
      <c r="A864" s="297" t="s">
        <v>1142</v>
      </c>
      <c r="B864" s="265">
        <v>204</v>
      </c>
      <c r="F864" s="85"/>
      <c r="G864" s="85"/>
      <c r="H864" s="85"/>
      <c r="I864" s="208" t="s">
        <v>387</v>
      </c>
      <c r="J864" s="209"/>
      <c r="K864" s="208" t="s">
        <v>387</v>
      </c>
    </row>
    <row r="865" spans="1:11" x14ac:dyDescent="0.2">
      <c r="A865" s="297" t="s">
        <v>1143</v>
      </c>
      <c r="B865" s="265">
        <v>205</v>
      </c>
      <c r="F865" s="85"/>
      <c r="G865" s="85"/>
      <c r="H865" s="85"/>
      <c r="I865" s="208" t="s">
        <v>387</v>
      </c>
      <c r="J865" s="209"/>
      <c r="K865" s="208" t="s">
        <v>387</v>
      </c>
    </row>
    <row r="866" spans="1:11" x14ac:dyDescent="0.2">
      <c r="A866" s="297" t="s">
        <v>1148</v>
      </c>
      <c r="B866" s="265">
        <v>1001</v>
      </c>
      <c r="F866" s="85"/>
      <c r="G866" s="85"/>
      <c r="H866" s="85"/>
      <c r="I866" s="208" t="s">
        <v>387</v>
      </c>
      <c r="J866" s="209"/>
      <c r="K866" s="208" t="s">
        <v>387</v>
      </c>
    </row>
    <row r="867" spans="1:11" x14ac:dyDescent="0.2">
      <c r="A867" s="297" t="s">
        <v>1144</v>
      </c>
      <c r="B867" s="265">
        <v>1002</v>
      </c>
      <c r="I867" s="208" t="s">
        <v>387</v>
      </c>
      <c r="J867" s="209"/>
      <c r="K867" s="208" t="s">
        <v>387</v>
      </c>
    </row>
    <row r="868" spans="1:11" x14ac:dyDescent="0.2">
      <c r="A868" s="297" t="s">
        <v>1545</v>
      </c>
      <c r="B868" s="265">
        <v>1003</v>
      </c>
      <c r="I868" s="208" t="s">
        <v>387</v>
      </c>
      <c r="J868" s="209"/>
      <c r="K868" s="208" t="s">
        <v>387</v>
      </c>
    </row>
    <row r="869" spans="1:11" x14ac:dyDescent="0.2">
      <c r="A869" s="297" t="s">
        <v>1145</v>
      </c>
      <c r="B869" s="265">
        <v>1004</v>
      </c>
      <c r="I869" s="208" t="s">
        <v>387</v>
      </c>
      <c r="J869" s="209"/>
      <c r="K869" s="208" t="s">
        <v>387</v>
      </c>
    </row>
    <row r="870" spans="1:11" x14ac:dyDescent="0.2">
      <c r="A870" s="297" t="s">
        <v>1149</v>
      </c>
      <c r="B870" s="265">
        <v>1005</v>
      </c>
      <c r="I870" s="208" t="s">
        <v>387</v>
      </c>
      <c r="J870" s="209"/>
      <c r="K870" s="208" t="s">
        <v>387</v>
      </c>
    </row>
    <row r="871" spans="1:11" x14ac:dyDescent="0.2">
      <c r="A871" s="297" t="s">
        <v>1546</v>
      </c>
      <c r="B871" s="265">
        <v>1006</v>
      </c>
      <c r="I871" s="208" t="s">
        <v>387</v>
      </c>
      <c r="J871" s="209"/>
      <c r="K871" s="208" t="s">
        <v>387</v>
      </c>
    </row>
    <row r="872" spans="1:11" x14ac:dyDescent="0.2">
      <c r="A872" s="297" t="s">
        <v>1543</v>
      </c>
      <c r="B872" s="265">
        <v>1007</v>
      </c>
      <c r="I872" s="208" t="s">
        <v>387</v>
      </c>
      <c r="J872" s="209"/>
      <c r="K872" s="208" t="s">
        <v>387</v>
      </c>
    </row>
    <row r="873" spans="1:11" x14ac:dyDescent="0.2">
      <c r="A873" s="297" t="s">
        <v>1547</v>
      </c>
      <c r="B873" s="265">
        <v>1008</v>
      </c>
      <c r="I873" s="208" t="s">
        <v>387</v>
      </c>
      <c r="J873" s="209"/>
      <c r="K873" s="208" t="s">
        <v>387</v>
      </c>
    </row>
    <row r="874" spans="1:11" x14ac:dyDescent="0.2">
      <c r="A874" s="297" t="s">
        <v>1922</v>
      </c>
      <c r="B874" s="265">
        <v>1009</v>
      </c>
      <c r="I874" s="208" t="s">
        <v>387</v>
      </c>
      <c r="J874" s="209"/>
      <c r="K874" s="208" t="s">
        <v>387</v>
      </c>
    </row>
    <row r="875" spans="1:11" x14ac:dyDescent="0.2">
      <c r="A875" s="297" t="s">
        <v>1544</v>
      </c>
      <c r="B875" s="265">
        <v>1010</v>
      </c>
      <c r="I875" s="208" t="s">
        <v>387</v>
      </c>
      <c r="J875" s="209"/>
      <c r="K875" s="208" t="s">
        <v>387</v>
      </c>
    </row>
    <row r="876" spans="1:11" x14ac:dyDescent="0.2">
      <c r="A876" s="297" t="s">
        <v>1544</v>
      </c>
      <c r="B876" s="265">
        <v>1011</v>
      </c>
      <c r="I876" s="208" t="s">
        <v>387</v>
      </c>
      <c r="J876" s="209"/>
      <c r="K876" s="208" t="s">
        <v>387</v>
      </c>
    </row>
    <row r="877" spans="1:11" x14ac:dyDescent="0.2">
      <c r="A877" s="297" t="s">
        <v>1548</v>
      </c>
      <c r="B877" s="265">
        <v>1012</v>
      </c>
      <c r="I877" s="208" t="s">
        <v>387</v>
      </c>
      <c r="J877" s="209"/>
      <c r="K877" s="208" t="s">
        <v>387</v>
      </c>
    </row>
    <row r="878" spans="1:11" x14ac:dyDescent="0.2">
      <c r="A878" s="297" t="s">
        <v>1544</v>
      </c>
      <c r="B878" s="265">
        <v>1013</v>
      </c>
      <c r="I878" s="208" t="s">
        <v>387</v>
      </c>
      <c r="J878" s="209"/>
      <c r="K878" s="208" t="s">
        <v>387</v>
      </c>
    </row>
    <row r="879" spans="1:11" x14ac:dyDescent="0.2">
      <c r="A879" s="297" t="s">
        <v>1146</v>
      </c>
      <c r="B879" s="265">
        <v>1014</v>
      </c>
      <c r="I879" s="208" t="s">
        <v>387</v>
      </c>
      <c r="J879" s="209"/>
      <c r="K879" s="208" t="s">
        <v>387</v>
      </c>
    </row>
    <row r="880" spans="1:11" x14ac:dyDescent="0.2">
      <c r="A880" s="3" t="s">
        <v>1549</v>
      </c>
      <c r="B880" s="264">
        <v>1015</v>
      </c>
      <c r="I880" s="208" t="s">
        <v>387</v>
      </c>
      <c r="J880" s="209"/>
      <c r="K880" s="208" t="s">
        <v>387</v>
      </c>
    </row>
    <row r="881" spans="1:11" x14ac:dyDescent="0.2">
      <c r="A881" s="3" t="s">
        <v>1147</v>
      </c>
      <c r="B881" s="264">
        <v>1016</v>
      </c>
      <c r="I881" s="208" t="s">
        <v>387</v>
      </c>
      <c r="J881" s="209"/>
      <c r="K881" s="208" t="s">
        <v>387</v>
      </c>
    </row>
    <row r="882" spans="1:11" x14ac:dyDescent="0.2">
      <c r="A882" s="73"/>
      <c r="B882" s="264"/>
      <c r="I882" s="208" t="s">
        <v>387</v>
      </c>
      <c r="J882" s="209"/>
      <c r="K882" s="208" t="s">
        <v>387</v>
      </c>
    </row>
    <row r="883" spans="1:11" ht="12" thickBot="1" x14ac:dyDescent="0.25">
      <c r="A883" s="73"/>
      <c r="B883" s="264"/>
      <c r="I883" s="208" t="s">
        <v>387</v>
      </c>
      <c r="J883" s="209"/>
      <c r="K883" s="208" t="s">
        <v>387</v>
      </c>
    </row>
    <row r="884" spans="1:11" x14ac:dyDescent="0.2">
      <c r="A884" s="382" t="s">
        <v>1904</v>
      </c>
      <c r="B884" s="263"/>
      <c r="C884" s="95"/>
      <c r="D884" s="95"/>
      <c r="E884" s="106"/>
      <c r="F884" s="70"/>
      <c r="G884" s="70"/>
      <c r="H884" s="70"/>
      <c r="I884" s="208" t="s">
        <v>387</v>
      </c>
      <c r="J884" s="209"/>
      <c r="K884" s="208" t="s">
        <v>387</v>
      </c>
    </row>
    <row r="885" spans="1:11" x14ac:dyDescent="0.2">
      <c r="A885" s="1" t="s">
        <v>1982</v>
      </c>
      <c r="B885" s="67">
        <v>0</v>
      </c>
      <c r="C885" s="1" t="s">
        <v>1981</v>
      </c>
      <c r="I885" s="208" t="s">
        <v>387</v>
      </c>
      <c r="J885" s="209"/>
      <c r="K885" s="208" t="s">
        <v>387</v>
      </c>
    </row>
    <row r="886" spans="1:11" x14ac:dyDescent="0.2">
      <c r="A886" s="308" t="s">
        <v>1905</v>
      </c>
      <c r="B886" s="67">
        <v>1</v>
      </c>
      <c r="I886" s="208" t="s">
        <v>387</v>
      </c>
      <c r="J886" s="209"/>
      <c r="K886" s="208" t="s">
        <v>387</v>
      </c>
    </row>
    <row r="887" spans="1:11" x14ac:dyDescent="0.2">
      <c r="A887" s="308" t="s">
        <v>1906</v>
      </c>
      <c r="B887" s="67">
        <v>2</v>
      </c>
      <c r="I887" s="208" t="s">
        <v>387</v>
      </c>
      <c r="J887" s="209"/>
      <c r="K887" s="208" t="s">
        <v>387</v>
      </c>
    </row>
    <row r="888" spans="1:11" x14ac:dyDescent="0.2">
      <c r="A888" s="308" t="s">
        <v>1907</v>
      </c>
      <c r="B888" s="67">
        <v>3</v>
      </c>
      <c r="I888" s="208" t="s">
        <v>387</v>
      </c>
      <c r="J888" s="209"/>
      <c r="K888" s="208" t="s">
        <v>387</v>
      </c>
    </row>
    <row r="889" spans="1:11" x14ac:dyDescent="0.2">
      <c r="A889" s="308" t="s">
        <v>1908</v>
      </c>
      <c r="B889" s="67">
        <v>4</v>
      </c>
      <c r="I889" s="208" t="s">
        <v>387</v>
      </c>
      <c r="J889" s="209"/>
      <c r="K889" s="208" t="s">
        <v>387</v>
      </c>
    </row>
    <row r="890" spans="1:11" x14ac:dyDescent="0.2">
      <c r="A890" s="308" t="s">
        <v>1913</v>
      </c>
      <c r="B890" s="67">
        <v>5</v>
      </c>
      <c r="I890" s="208" t="s">
        <v>387</v>
      </c>
      <c r="J890" s="209"/>
      <c r="K890" s="208" t="s">
        <v>387</v>
      </c>
    </row>
    <row r="891" spans="1:11" x14ac:dyDescent="0.2">
      <c r="A891" s="308" t="s">
        <v>1979</v>
      </c>
      <c r="B891" s="67">
        <v>6</v>
      </c>
      <c r="I891" s="208" t="s">
        <v>387</v>
      </c>
      <c r="J891" s="209"/>
      <c r="K891" s="208" t="s">
        <v>387</v>
      </c>
    </row>
    <row r="892" spans="1:11" x14ac:dyDescent="0.2">
      <c r="A892" s="308" t="s">
        <v>1911</v>
      </c>
      <c r="B892" s="67">
        <v>7</v>
      </c>
      <c r="I892" s="208" t="s">
        <v>387</v>
      </c>
      <c r="J892" s="209"/>
      <c r="K892" s="208" t="s">
        <v>387</v>
      </c>
    </row>
    <row r="893" spans="1:11" x14ac:dyDescent="0.2">
      <c r="A893" s="308" t="s">
        <v>1912</v>
      </c>
      <c r="B893" s="67">
        <v>8</v>
      </c>
    </row>
    <row r="894" spans="1:11" x14ac:dyDescent="0.2">
      <c r="A894" s="308" t="s">
        <v>1909</v>
      </c>
      <c r="B894" s="67">
        <v>9</v>
      </c>
    </row>
    <row r="895" spans="1:11" x14ac:dyDescent="0.2">
      <c r="A895" s="308" t="s">
        <v>1910</v>
      </c>
      <c r="B895" s="67">
        <v>10</v>
      </c>
    </row>
  </sheetData>
  <customSheetViews>
    <customSheetView guid="{88E4F3D0-3DE8-11D4-B8C2-005004993F5D}" fitToPage="1" showRuler="0">
      <selection activeCell="A15" sqref="A15"/>
      <pageMargins left="0.75" right="0.75" top="1" bottom="1" header="0.5" footer="0.5"/>
      <pageSetup scale="68" fitToHeight="17" orientation="landscape" verticalDpi="300" r:id="rId1"/>
      <headerFooter alignWithMargins="0"/>
    </customSheetView>
  </customSheetViews>
  <mergeCells count="1">
    <mergeCell ref="A667:H667"/>
  </mergeCells>
  <phoneticPr fontId="0" type="noConversion"/>
  <hyperlinks>
    <hyperlink ref="A132" location="Bus_0_Model" display="Bus Model Number" xr:uid="{00000000-0004-0000-0100-000000000000}"/>
    <hyperlink ref="A127" location="Time_Period_Status_Period" display="Time Period Status" xr:uid="{00000000-0004-0000-0100-000001000000}"/>
    <hyperlink ref="A511" location="External_Source_Default_Active" display="External Source Default Active" xr:uid="{00000000-0004-0000-0100-000002000000}"/>
    <hyperlink ref="A513" location="External_Source_Service_State" display="External Source Service State" xr:uid="{00000000-0004-0000-0100-000003000000}"/>
    <hyperlink ref="A379" location="Calculated_Day_of_the_Week" display="Calculated Day of Week" xr:uid="{00000000-0004-0000-0100-000004000000}"/>
    <hyperlink ref="A516" location="External_Source_Default_Timeout_Value" display="External Source Default Time-Out Value" xr:uid="{00000000-0004-0000-0100-000005000000}"/>
    <hyperlink ref="A39" location="Input_Timer_Type" display="Input Timer Type " xr:uid="{00000000-0004-0000-0100-000006000000}"/>
    <hyperlink ref="A307" location="Blink_Pulse_Duration" display="Blink Pulse Duration " xr:uid="{00000000-0004-0000-0100-000007000000}"/>
    <hyperlink ref="A311" location="Blink_to_Off" display="Blink-to-OFF Delay " xr:uid="{00000000-0004-0000-0100-000008000000}"/>
    <hyperlink ref="A467" location="Port_2_Baud_Rate" display="RS232 Baud Rate" xr:uid="{00000000-0004-0000-0100-000009000000}"/>
    <hyperlink ref="A407" location="Compressed_Local_Date_Time" display="Compressed Local Date/Time" xr:uid="{00000000-0004-0000-0100-00000A000000}"/>
    <hyperlink ref="A414" location="Expanded_Local_Date_Time" display="Expanded Local Date/Time" xr:uid="{00000000-0004-0000-0100-00000B000000}"/>
    <hyperlink ref="A421" location="Display_Time_Format__12_24" display="Display Time 12/24 Format" xr:uid="{00000000-0004-0000-0100-00000C000000}"/>
    <hyperlink ref="A457" location="Latitude" display="Latitude (North-South)" xr:uid="{00000000-0004-0000-0100-00000D000000}"/>
    <hyperlink ref="A462" location="Longitude" display="Longitude (East-West)" xr:uid="{00000000-0004-0000-0100-00000E000000}"/>
    <hyperlink ref="A424" location="Time_Zone_Reference" display="Time Zone Reference" xr:uid="{00000000-0004-0000-0100-00000F000000}"/>
    <hyperlink ref="A520" location="External_Reference_IP_Address_Table" display="External Source xx IP Address Table" xr:uid="{00000000-0004-0000-0100-000010000000}"/>
    <hyperlink ref="A527" location="External_Reference_Register_Selector" display="External Reference xx Register Selector" xr:uid="{00000000-0004-0000-0100-000011000000}"/>
    <hyperlink ref="A532" location="External_Source_Default_Value" display="External Source Default Value" xr:uid="{00000000-0004-0000-0100-000012000000}"/>
    <hyperlink ref="A537" location="External_Source_Number_of_Time_outs" display="External Source Number of Time-Outs" xr:uid="{00000000-0004-0000-0100-000013000000}"/>
    <hyperlink ref="A540" location="External_Source_Number_of_Retries" display="External Source Number of Retries" xr:uid="{00000000-0004-0000-0100-000014000000}"/>
    <hyperlink ref="A543" location="External_Source_Number_of_Errors" display="External Source Number of Errors" xr:uid="{00000000-0004-0000-0100-000015000000}"/>
    <hyperlink ref="A322" location="Manufacturing_Information" display="Manufacturing Information" xr:uid="{00000000-0004-0000-0100-000016000000}"/>
    <hyperlink ref="A120" location="Scheduler_Output_Status" display="Schedule Status" xr:uid="{00000000-0004-0000-0100-000017000000}"/>
    <hyperlink ref="A148" location="Bus_0_Firmware_Version" display="Bus Firmware Version" xr:uid="{00000000-0004-0000-0100-000018000000}"/>
    <hyperlink ref="A389" location="Calculated_Week_of_the_Month" display="Calculated Week of Month" xr:uid="{00000000-0004-0000-0100-000019000000}"/>
    <hyperlink ref="A399" location="Calculated_DST_Begin_Month" display="Calculated DST Month" xr:uid="{00000000-0004-0000-0100-00001A000000}"/>
    <hyperlink ref="A403" location="Calculated_Sunrise_Time" display="Calculated Sunrise Time (Today)" xr:uid="{00000000-0004-0000-0100-00001B000000}"/>
    <hyperlink ref="A405" location="Calculated_Sunrise_Time__Minutes" display="Calculated Sunrise/Sunset Time Minutes (Today)" xr:uid="{00000000-0004-0000-0100-00001C000000}"/>
    <hyperlink ref="A546" location="External_Source_Default_Timeout_Duration" display="External Source Default Time-Out Duration" xr:uid="{00000000-0004-0000-0100-00001D000000}"/>
    <hyperlink ref="A123" location="Scheduler_Manual_Flag" display="Schedule Manual" xr:uid="{00000000-0004-0000-0100-00001E000000}"/>
    <hyperlink ref="A324" location="Front_Panel_Password" display="Front Panel Password" xr:uid="{00000000-0004-0000-0100-00001F000000}"/>
    <hyperlink ref="A318" location="Breaker_Verification" display="Breaker Verification Delay" xr:uid="{00000000-0004-0000-0100-000020000000}"/>
    <hyperlink ref="A314" location="Stagger_Delay" display="Stagger Delay" xr:uid="{00000000-0004-0000-0100-000021000000}"/>
    <hyperlink ref="A599" location="special_repeat_type" display="Special Day x: Repeat Type" xr:uid="{00000000-0004-0000-0100-000022000000}"/>
    <hyperlink ref="A615" location="special_start_month" display="Special Day x: Start Month" xr:uid="{00000000-0004-0000-0100-000023000000}"/>
    <hyperlink ref="A617" location="special_start_year" display="Special Day x: Start Year" xr:uid="{00000000-0004-0000-0100-000024000000}"/>
    <hyperlink ref="A619" location="special_end_day" display="Special Day x: End Day" xr:uid="{00000000-0004-0000-0100-000025000000}"/>
    <hyperlink ref="A621" location="special_end_month" display="Special Day x: End Month" xr:uid="{00000000-0004-0000-0100-000026000000}"/>
    <hyperlink ref="A623" location="special_end_year" display="Special Day x: End Year" xr:uid="{00000000-0004-0000-0100-000027000000}"/>
    <hyperlink ref="A625" location="special_day_of_week" display="Special Day x: Day of Week" xr:uid="{00000000-0004-0000-0100-000028000000}"/>
    <hyperlink ref="A627" location="special_week_of_month" display="Special Day x: Week of Month" xr:uid="{00000000-0004-0000-0100-000029000000}"/>
    <hyperlink ref="A634" location="special_month_of_year" display="Special Day x: Month of Year" xr:uid="{00000000-0004-0000-0100-00002A000000}"/>
    <hyperlink ref="A636" location="'Data Formats'!A1" display="Special Day x: Day of Month" xr:uid="{00000000-0004-0000-0100-00002B000000}"/>
    <hyperlink ref="A638" location="special_through_month" display="Special Day x: Thru_Month" xr:uid="{00000000-0004-0000-0100-00002C000000}"/>
    <hyperlink ref="A640" location="special_through_day" display="Special Day x: Thru_Day" xr:uid="{00000000-0004-0000-0100-00002D000000}"/>
    <hyperlink ref="A649" location="special_repeat_interval" display="Special Day x: Repeat Interval" xr:uid="{00000000-0004-0000-0100-00002E000000}"/>
    <hyperlink ref="E813" location="Compressed_Local_Date_Time_val" display="time/date" xr:uid="{00000000-0004-0000-0100-00002F000000}"/>
    <hyperlink ref="E789" location="Scheduler_Output_Status" display="Schedule Object State" xr:uid="{00000000-0004-0000-0100-000030000000}"/>
    <hyperlink ref="E790" location="Input_Object_State" display="Input Object State" xr:uid="{00000000-0004-0000-0100-000031000000}"/>
    <hyperlink ref="E791" location="Latched_Input_State" display="Latched Input State " xr:uid="{00000000-0004-0000-0100-000032000000}"/>
    <hyperlink ref="E792" location="Group_State__Groups" display="Group State " xr:uid="{00000000-0004-0000-0100-000033000000}"/>
    <hyperlink ref="E793" location="Group_Override_Enable" display="Group Override Enable" xr:uid="{00000000-0004-0000-0100-000034000000}"/>
    <hyperlink ref="E794" location="Group_Override_Type" display="Group Override Type" xr:uid="{00000000-0004-0000-0100-000035000000}"/>
    <hyperlink ref="E795" location="Breaker_Non_Responding" display="Non-Responding Breaker State" xr:uid="{00000000-0004-0000-0100-000036000000}"/>
    <hyperlink ref="E796" location="Breaker_Present" display="Breaker Present" xr:uid="{00000000-0004-0000-0100-000037000000}"/>
    <hyperlink ref="E799" location="Learn_Mode_Enable" display="Learn Mode " xr:uid="{00000000-0004-0000-0100-000038000000}"/>
    <hyperlink ref="E800" location="Halt_Mode_Enable" display="Halt Mode " xr:uid="{00000000-0004-0000-0100-000039000000}"/>
    <hyperlink ref="E801" location="Input_Timer_Inhibit" display="Timer Inhibit " xr:uid="{00000000-0004-0000-0100-00003A000000}"/>
    <hyperlink ref="E802" location="Bus_Present" display="Bus Present" xr:uid="{00000000-0004-0000-0100-00003B000000}"/>
    <hyperlink ref="E803" location="Front_Panel_Disable" display="Front Panel Disable" xr:uid="{00000000-0004-0000-0100-00003C000000}"/>
    <hyperlink ref="E804" location="External_Source_Value" display="External Reference" xr:uid="{00000000-0004-0000-0100-00003D000000}"/>
    <hyperlink ref="E845" location="Compressed_Local_Date_Time_val" display="time/date" xr:uid="{00000000-0004-0000-0100-00003E000000}"/>
    <hyperlink ref="A326" location="Front_Panel_Disable_Timeout" display="Front Panel Disable Timeout (comms inactivity)" xr:uid="{00000000-0004-0000-0100-00003F000000}"/>
    <hyperlink ref="A474" location="Modbus_Slave_Port_Communications_Mode" display="RS232 Communications Mode" xr:uid="{00000000-0004-0000-0100-000040000000}"/>
    <hyperlink ref="A347" location="hardware_status" display="Hardware Peripheral Status" xr:uid="{00000000-0004-0000-0100-000041000000}"/>
    <hyperlink ref="A367" location="Key_Press_Status" display="Key Press Status" xr:uid="{00000000-0004-0000-0100-000042000000}"/>
    <hyperlink ref="A329" location="Self_Test_Bitmap" display="Self-Test Bitmap" xr:uid="{00000000-0004-0000-0100-000043000000}"/>
    <hyperlink ref="A401" location="Calculated_DST_Begin_Day" display="Calculated DST Day" xr:uid="{00000000-0004-0000-0100-000044000000}"/>
    <hyperlink ref="A769" location="Subscriber_File" display="Publisher IP Address" xr:uid="{00000000-0004-0000-0100-000045000000}"/>
    <hyperlink ref="A770:A780" location="Subscriber_File" display="Publisher IP Address" xr:uid="{00000000-0004-0000-0100-000046000000}"/>
    <hyperlink ref="A781" location="Subscriber_File" display="Default Value" xr:uid="{00000000-0004-0000-0100-000047000000}"/>
    <hyperlink ref="A303" location="DLF_Version_compatabilty" display="Firmware Version (DLF compatible format)" xr:uid="{00000000-0004-0000-0100-000048000000}"/>
    <hyperlink ref="A481" location="Port_2_Baud_Rate" display="RS485 Baud Rate" xr:uid="{00000000-0004-0000-0100-000049000000}"/>
    <hyperlink ref="A489" location="Modbus_Slave_Port_Communications_Mode" display="RS485 Communications Mode" xr:uid="{00000000-0004-0000-0100-00004A000000}"/>
    <hyperlink ref="A504" location="External_Source_Value" display="External Source Value" xr:uid="{00000000-0004-0000-0100-00004B000000}"/>
    <hyperlink ref="A3" location="terminal_type" display="Terminal Type Value" xr:uid="{00000000-0004-0000-0100-00004C000000}"/>
    <hyperlink ref="A7" location="terminal_switch_type" display="Terminal Switch Type Value" xr:uid="{00000000-0004-0000-0100-00004D000000}"/>
    <hyperlink ref="A15" location="terminal_sensor_type" display="Terminal Sensor Type Value" xr:uid="{00000000-0004-0000-0100-00004E000000}"/>
    <hyperlink ref="A25" location="status_output_source_type" display="Status Output Source Type Value" xr:uid="{00000000-0004-0000-0100-00004F000000}"/>
    <hyperlink ref="A32" location="status_output_source_number" display="Status Output Source Number" xr:uid="{00000000-0004-0000-0100-000050000000}"/>
    <hyperlink ref="A498" location="default___Transparent_Ready_TR_013" display="IP Address Defaults - TR_013" xr:uid="{00000000-0004-0000-0100-000051000000}"/>
    <hyperlink ref="A850" location="Result_Codes" display="Result Code Description" xr:uid="{00000000-0004-0000-0100-000052000000}"/>
    <hyperlink ref="A35" location="status_ouput_source_bus" display="Status Output Source Bus" xr:uid="{00000000-0004-0000-0100-000053000000}"/>
    <hyperlink ref="A20" location="terminal_sensor_offset" display="Terminal Sensor Offset" xr:uid="{00000000-0004-0000-0100-000054000000}"/>
    <hyperlink ref="A22" location="terminal_senor_scalar" display="Terminal Sensor Scalar" xr:uid="{00000000-0004-0000-0100-000055000000}"/>
    <hyperlink ref="A44" location="Sync_Source_Type" display="Sync Source Type" xr:uid="{00000000-0004-0000-0100-000056000000}"/>
    <hyperlink ref="A51" location="Sync_Source_Number" display="Sync Source Number" xr:uid="{00000000-0004-0000-0100-000057000000}"/>
    <hyperlink ref="A59" location="Sync_Source_Bus" display="Sync Source Bus" xr:uid="{00000000-0004-0000-0100-000058000000}"/>
    <hyperlink ref="A61" location="Sync_Filter" display="Sync Filter" xr:uid="{00000000-0004-0000-0100-000059000000}"/>
    <hyperlink ref="A66" location="Sync_Invert" display="Sync Invert" xr:uid="{00000000-0004-0000-0100-00005A000000}"/>
    <hyperlink ref="A69" location="Inhibit_Sync_Source_Type" display="Inhibit Sync Source Type" xr:uid="{00000000-0004-0000-0100-00005B000000}"/>
    <hyperlink ref="A76" location="Inhibit_Sync_Source_Number" display="Inhibit Sync Source Number" xr:uid="{00000000-0004-0000-0100-00005C000000}"/>
    <hyperlink ref="A84" location="Inhibit_Sync_Source_Bus" display="Inhibit Sync Source Bus" xr:uid="{00000000-0004-0000-0100-00005D000000}"/>
    <hyperlink ref="A86" location="Inhibit_Sync_Filter" display="Inhibit Sync Filter" xr:uid="{00000000-0004-0000-0100-00005E000000}"/>
    <hyperlink ref="A91" location="Inhibit_Sync_Invert" display="Inhibit Sync Invert" xr:uid="{00000000-0004-0000-0100-00005F000000}"/>
    <hyperlink ref="A94" location="Timer_Sync_Source_Type" display="Timer Sync Source Type" xr:uid="{00000000-0004-0000-0100-000060000000}"/>
    <hyperlink ref="A101" location="Timer_Sync_Source_Number" display="Timer Sync Source Number" xr:uid="{00000000-0004-0000-0100-000061000000}"/>
    <hyperlink ref="A109" location="Timer_Sync_Source_Bus" display="Timer Sync Source Bus" xr:uid="{00000000-0004-0000-0100-000062000000}"/>
    <hyperlink ref="A111" location="Timer__Sync_Filter" display="Timer  Sync Filter" xr:uid="{00000000-0004-0000-0100-000063000000}"/>
    <hyperlink ref="A116" location="Timer__Sync_Invert" display="Timer  Sync Invert" xr:uid="{00000000-0004-0000-0100-000064000000}"/>
    <hyperlink ref="A202" location="Logic_Type" display="Zone Logic Type" xr:uid="{00000000-0004-0000-0100-000065000000}"/>
    <hyperlink ref="A209" location="Truth_Table" display="Zone Custom Logic Truth Table" xr:uid="{00000000-0004-0000-0100-000066000000}"/>
    <hyperlink ref="A228" location="Comms_Loss_Action" display="Zone Comms Loss Action" xr:uid="{00000000-0004-0000-0100-000067000000}"/>
    <hyperlink ref="A220" location="Last_Event" display="Zone Last Event" xr:uid="{00000000-0004-0000-0100-000068000000}"/>
    <hyperlink ref="A234" location="Comms_Restore_Action" display="Zone Comms Restore Action" xr:uid="{00000000-0004-0000-0100-000069000000}"/>
    <hyperlink ref="A240" location="Active_Priority" display="Zone Action/Priority" xr:uid="{00000000-0004-0000-0100-00006A000000}"/>
    <hyperlink ref="A244" location="Source_Pointer_Set" display="Zone Source Pointer" xr:uid="{00000000-0004-0000-0100-00006B000000}"/>
    <hyperlink ref="A277" location="Member_List_Bus" display="Zone Member List Bus" xr:uid="{00000000-0004-0000-0100-00006C000000}"/>
    <hyperlink ref="A651" location="special_holiday" display="Special Day x: Holiday" xr:uid="{00000000-0004-0000-0100-00006D000000}"/>
    <hyperlink ref="A642" location="special_priority" display="Special Day x: Priority" xr:uid="{00000000-0004-0000-0100-00006E000000}"/>
    <hyperlink ref="A645" location="special_duration" display="Special Day x: Duration" xr:uid="{00000000-0004-0000-0100-00006F000000}"/>
    <hyperlink ref="A151" location="bus_panel" display="Bus Panel" xr:uid="{00000000-0004-0000-0100-000070000000}"/>
    <hyperlink ref="A161" location="brkr_blink_type" display="Breaker Blink Type" xr:uid="{00000000-0004-0000-0100-000071000000}"/>
    <hyperlink ref="A168" location="Breaker_Type" display="Breaker Type" xr:uid="{00000000-0004-0000-0100-000072000000}"/>
    <hyperlink ref="A551" location="start_hour" display="Start Time, Hours" xr:uid="{00000000-0004-0000-0100-000073000000}"/>
    <hyperlink ref="A556" location="start_minutes" display="Start Time, Minutes" xr:uid="{00000000-0004-0000-0100-000074000000}"/>
    <hyperlink ref="A559" location="start_offset" display="Start_Offset, Minutes-from Sunrise or Sunset" xr:uid="{00000000-0004-0000-0100-000075000000}"/>
    <hyperlink ref="A561" location="end_hour" display="End Time, Hours" xr:uid="{00000000-0004-0000-0100-000076000000}"/>
    <hyperlink ref="A566" location="end_minutes" display="End Time, Minutes" xr:uid="{00000000-0004-0000-0100-000077000000}"/>
    <hyperlink ref="A569" location="end_offset" display="End Offset, Minutes-from Sunrise or Sunset" xr:uid="{00000000-0004-0000-0100-000078000000}"/>
    <hyperlink ref="A571" location="day_of_week" display="Day of Week" xr:uid="{00000000-0004-0000-0100-000079000000}"/>
    <hyperlink ref="A579" location="special_days" display="Special Days" xr:uid="{00000000-0004-0000-0100-00007A000000}"/>
    <hyperlink ref="A613" location="Special_Conditions" display="Special Day x: Start Day" xr:uid="{00000000-0004-0000-0100-00007B000000}"/>
    <hyperlink ref="A584" location="Sched_Periods" display="Periods" xr:uid="{00000000-0004-0000-0100-00007C000000}"/>
    <hyperlink ref="A590" location="schedule_output_status" display="Output Status" xr:uid="{00000000-0004-0000-0100-00007D000000}"/>
    <hyperlink ref="A594" location="period_status_per_schedule" display="Period Status per Schedule" xr:uid="{00000000-0004-0000-0100-00007E000000}"/>
    <hyperlink ref="A305" location="DLF_Revision_Compatability" display="Firmware Revision (DLF compatible format)" xr:uid="{00000000-0004-0000-0100-00007F000000}"/>
    <hyperlink ref="A668" location="Source_Type" display="Source Type" xr:uid="{00000000-0004-0000-0100-000080000000}"/>
    <hyperlink ref="A677" location="Source_Number" display="Source Number" xr:uid="{00000000-0004-0000-0100-000081000000}"/>
    <hyperlink ref="A685" location="Application_Number" display="Application Number" xr:uid="{00000000-0004-0000-0100-000082000000}"/>
    <hyperlink ref="A694" location="On_Level_Source_Number" display="On Level Source Type" xr:uid="{00000000-0004-0000-0100-000083000000}"/>
    <hyperlink ref="A699" location="On_Level_Source_Number" display="On Level Source Number" xr:uid="{00000000-0004-0000-0100-000084000000}"/>
    <hyperlink ref="A707" location="On_Rate" display="On Ramp Rate" xr:uid="{00000000-0004-0000-0100-000085000000}"/>
    <hyperlink ref="A724" location="Off_Level_Source" display="Off Level Source Type" xr:uid="{00000000-0004-0000-0100-000086000000}"/>
    <hyperlink ref="A729" location="Off_Level_Source_Number" display="Off Level Source Number" xr:uid="{00000000-0004-0000-0100-000087000000}"/>
    <hyperlink ref="A737" location="Off_Rate" display="Off Ramp Rate" xr:uid="{00000000-0004-0000-0100-000088000000}"/>
    <hyperlink ref="A754" location="Cbus_Period" display="Period" xr:uid="{00000000-0004-0000-0100-000089000000}"/>
    <hyperlink ref="A690" location="Group_Address" display="Group Number " xr:uid="{00000000-0004-0000-0100-00008A000000}"/>
    <hyperlink ref="A884" location="email_errors" display="Email Errors" xr:uid="{00000000-0004-0000-0100-00008B000000}"/>
  </hyperlinks>
  <pageMargins left="0.75" right="0.75" top="1" bottom="1" header="0.5" footer="0.5"/>
  <pageSetup scale="30" fitToHeight="17" orientation="landscape" verticalDpi="300" r:id="rId2"/>
  <headerFooter alignWithMargins="0">
    <oddFooter>&amp;C&amp;1#&amp;"Arial"&amp;6&amp;K626469Internal</oddFooter>
  </headerFooter>
  <ignoredErrors>
    <ignoredError sqref="F21:G21 F23:G23 F22 F20" numberStoredAsText="1"/>
    <ignoredError sqref="E649"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96"/>
  <sheetViews>
    <sheetView zoomScale="90" zoomScaleNormal="90" workbookViewId="0"/>
  </sheetViews>
  <sheetFormatPr defaultRowHeight="12.75" x14ac:dyDescent="0.2"/>
  <cols>
    <col min="1" max="1" width="5.7109375" customWidth="1"/>
    <col min="2" max="2" width="5" customWidth="1"/>
    <col min="5" max="5" width="5" customWidth="1"/>
    <col min="6" max="6" width="5.7109375" customWidth="1"/>
    <col min="9" max="10" width="8.42578125" customWidth="1"/>
    <col min="12" max="12" width="5.7109375" customWidth="1"/>
    <col min="13" max="13" width="5" customWidth="1"/>
    <col min="16" max="16" width="5" customWidth="1"/>
    <col min="17" max="17" width="5.7109375" customWidth="1"/>
    <col min="19" max="19" width="12.85546875" customWidth="1"/>
    <col min="20" max="20" width="5.7109375" customWidth="1"/>
    <col min="21" max="21" width="5" customWidth="1"/>
    <col min="24" max="24" width="5" customWidth="1"/>
    <col min="25" max="25" width="5.7109375" customWidth="1"/>
  </cols>
  <sheetData>
    <row r="1" spans="1:25" ht="16.5" x14ac:dyDescent="0.25">
      <c r="A1" s="427" t="s">
        <v>2423</v>
      </c>
    </row>
    <row r="2" spans="1:25" ht="15.75" customHeight="1" x14ac:dyDescent="0.2">
      <c r="A2" s="498" t="s">
        <v>2409</v>
      </c>
      <c r="B2" s="498"/>
      <c r="C2" s="498"/>
      <c r="D2" s="498"/>
      <c r="E2" s="498"/>
      <c r="F2" s="498"/>
      <c r="G2" s="498"/>
      <c r="H2" s="498"/>
      <c r="I2" s="498"/>
      <c r="J2" s="498"/>
      <c r="K2" s="498"/>
      <c r="L2" s="498"/>
      <c r="M2" s="498"/>
      <c r="N2" s="498"/>
      <c r="O2" s="498"/>
      <c r="P2" s="498"/>
      <c r="Q2" s="498"/>
      <c r="R2" s="498"/>
      <c r="S2" s="498"/>
      <c r="T2" s="498"/>
    </row>
    <row r="3" spans="1:25" ht="15.75" customHeight="1" x14ac:dyDescent="0.2">
      <c r="A3" s="498"/>
      <c r="B3" s="498"/>
      <c r="C3" s="498"/>
      <c r="D3" s="498"/>
      <c r="E3" s="498"/>
      <c r="F3" s="498"/>
      <c r="G3" s="498"/>
      <c r="H3" s="498"/>
      <c r="I3" s="498"/>
      <c r="J3" s="498"/>
      <c r="K3" s="498"/>
      <c r="L3" s="498"/>
      <c r="M3" s="498"/>
      <c r="N3" s="498"/>
      <c r="O3" s="498"/>
      <c r="P3" s="498"/>
      <c r="Q3" s="498"/>
      <c r="R3" s="498"/>
      <c r="S3" s="498"/>
      <c r="T3" s="498"/>
    </row>
    <row r="4" spans="1:25" ht="15.75" customHeight="1" x14ac:dyDescent="0.2">
      <c r="A4" s="498"/>
      <c r="B4" s="498"/>
      <c r="C4" s="498"/>
      <c r="D4" s="498"/>
      <c r="E4" s="498"/>
      <c r="F4" s="498"/>
      <c r="G4" s="498"/>
      <c r="H4" s="498"/>
      <c r="I4" s="498"/>
      <c r="J4" s="498"/>
      <c r="K4" s="498"/>
      <c r="L4" s="498"/>
      <c r="M4" s="498"/>
      <c r="N4" s="498"/>
      <c r="O4" s="498"/>
      <c r="P4" s="498"/>
      <c r="Q4" s="498"/>
      <c r="R4" s="498"/>
      <c r="S4" s="498"/>
      <c r="T4" s="498"/>
    </row>
    <row r="5" spans="1:25" ht="15.75" customHeight="1" x14ac:dyDescent="0.2">
      <c r="A5" s="498"/>
      <c r="B5" s="498"/>
      <c r="C5" s="498"/>
      <c r="D5" s="498"/>
      <c r="E5" s="498"/>
      <c r="F5" s="498"/>
      <c r="G5" s="498"/>
      <c r="H5" s="498"/>
      <c r="I5" s="498"/>
      <c r="J5" s="498"/>
      <c r="K5" s="498"/>
      <c r="L5" s="498"/>
      <c r="M5" s="498"/>
      <c r="N5" s="498"/>
      <c r="O5" s="498"/>
      <c r="P5" s="498"/>
      <c r="Q5" s="498"/>
      <c r="R5" s="498"/>
      <c r="S5" s="498"/>
      <c r="T5" s="498"/>
    </row>
    <row r="6" spans="1:25" ht="15.75" customHeight="1" x14ac:dyDescent="0.2">
      <c r="A6" s="498" t="s">
        <v>2451</v>
      </c>
      <c r="B6" s="498"/>
      <c r="C6" s="498"/>
      <c r="D6" s="498"/>
      <c r="E6" s="498"/>
      <c r="F6" s="498"/>
      <c r="G6" s="498"/>
      <c r="H6" s="498"/>
      <c r="I6" s="498"/>
      <c r="J6" s="498"/>
      <c r="K6" s="498"/>
      <c r="L6" s="498"/>
      <c r="M6" s="498"/>
      <c r="N6" s="498"/>
      <c r="O6" s="498"/>
      <c r="P6" s="498"/>
      <c r="Q6" s="498"/>
      <c r="R6" s="498"/>
      <c r="S6" s="498"/>
      <c r="T6" s="498"/>
    </row>
    <row r="7" spans="1:25" ht="15.75" customHeight="1" x14ac:dyDescent="0.2">
      <c r="A7" s="498"/>
      <c r="B7" s="498"/>
      <c r="C7" s="498"/>
      <c r="D7" s="498"/>
      <c r="E7" s="498"/>
      <c r="F7" s="498"/>
      <c r="G7" s="498"/>
      <c r="H7" s="498"/>
      <c r="I7" s="498"/>
      <c r="J7" s="498"/>
      <c r="K7" s="498"/>
      <c r="L7" s="498"/>
      <c r="M7" s="498"/>
      <c r="N7" s="498"/>
      <c r="O7" s="498"/>
      <c r="P7" s="498"/>
      <c r="Q7" s="498"/>
      <c r="R7" s="498"/>
      <c r="S7" s="498"/>
      <c r="T7" s="498"/>
    </row>
    <row r="8" spans="1:25" ht="15.75" customHeight="1" x14ac:dyDescent="0.2">
      <c r="A8" s="460"/>
      <c r="B8" s="460"/>
      <c r="C8" s="460"/>
      <c r="D8" s="460"/>
      <c r="E8" s="460"/>
      <c r="F8" s="460"/>
      <c r="G8" s="460"/>
      <c r="H8" s="460"/>
      <c r="I8" s="460"/>
      <c r="J8" s="460"/>
      <c r="K8" s="460"/>
      <c r="L8" s="460"/>
      <c r="M8" s="460"/>
      <c r="N8" s="460"/>
      <c r="O8" s="460"/>
      <c r="P8" s="460"/>
      <c r="Q8" s="460"/>
      <c r="R8" s="460"/>
      <c r="S8" s="460"/>
      <c r="T8" s="460"/>
    </row>
    <row r="9" spans="1:25" ht="15.75" customHeight="1" x14ac:dyDescent="0.2">
      <c r="A9" s="460"/>
      <c r="B9" s="460"/>
      <c r="C9" s="460"/>
      <c r="D9" s="460"/>
      <c r="E9" s="460"/>
      <c r="F9" s="460"/>
      <c r="G9" s="460"/>
      <c r="H9" s="460"/>
      <c r="I9" s="460"/>
      <c r="J9" s="460"/>
      <c r="K9" s="460"/>
      <c r="L9" s="460"/>
      <c r="M9" s="460"/>
      <c r="N9" s="460"/>
      <c r="O9" s="460"/>
      <c r="P9" s="460"/>
      <c r="Q9" s="460"/>
      <c r="R9" s="460"/>
      <c r="S9" s="460"/>
      <c r="T9" s="460"/>
    </row>
    <row r="10" spans="1:25" ht="15.75" customHeight="1" x14ac:dyDescent="0.25">
      <c r="A10" s="460"/>
      <c r="B10" s="460"/>
      <c r="C10" s="502" t="s">
        <v>2393</v>
      </c>
      <c r="D10" s="502"/>
      <c r="E10" s="502"/>
      <c r="F10" s="502"/>
      <c r="G10" s="502"/>
      <c r="H10" s="502"/>
      <c r="I10" s="502"/>
      <c r="J10" s="460"/>
      <c r="K10" s="460"/>
      <c r="L10" s="460"/>
      <c r="M10" s="502" t="s">
        <v>2453</v>
      </c>
      <c r="N10" s="502"/>
      <c r="O10" s="502"/>
      <c r="P10" s="502"/>
      <c r="Q10" s="502"/>
      <c r="R10" s="502"/>
      <c r="S10" s="502"/>
      <c r="T10" s="502"/>
      <c r="U10" s="502"/>
      <c r="V10" s="502"/>
      <c r="W10" s="502"/>
      <c r="X10" s="502"/>
    </row>
    <row r="11" spans="1:25" ht="15.75" customHeight="1" x14ac:dyDescent="0.2">
      <c r="A11" s="428"/>
      <c r="B11" s="428"/>
      <c r="C11" s="428"/>
      <c r="D11" s="428"/>
      <c r="E11" s="428"/>
      <c r="F11" s="428"/>
      <c r="G11" s="428"/>
      <c r="H11" s="428"/>
      <c r="I11" s="428"/>
      <c r="J11" s="428"/>
      <c r="K11" s="428"/>
      <c r="L11" s="428"/>
      <c r="M11" s="428"/>
      <c r="N11" s="428"/>
      <c r="O11" s="428"/>
      <c r="P11" s="428"/>
      <c r="Q11" s="428"/>
      <c r="R11" s="428"/>
      <c r="S11" s="428"/>
      <c r="T11" s="428"/>
    </row>
    <row r="12" spans="1:25" ht="15.75" customHeight="1" x14ac:dyDescent="0.2">
      <c r="A12" s="428"/>
      <c r="B12" s="428"/>
      <c r="C12" s="428"/>
      <c r="D12" s="428"/>
      <c r="E12" s="428"/>
      <c r="F12" s="428"/>
      <c r="G12" s="428"/>
      <c r="H12" s="428"/>
      <c r="I12" s="428"/>
      <c r="J12" s="428"/>
      <c r="K12" s="428"/>
      <c r="L12" s="476" t="s">
        <v>2399</v>
      </c>
      <c r="M12" s="476"/>
      <c r="N12" s="476"/>
      <c r="O12" s="476"/>
      <c r="P12" s="476"/>
      <c r="Q12" s="476"/>
      <c r="S12" s="428"/>
      <c r="T12" s="476" t="s">
        <v>2424</v>
      </c>
      <c r="U12" s="476"/>
      <c r="V12" s="476"/>
      <c r="W12" s="476"/>
      <c r="X12" s="476"/>
      <c r="Y12" s="476"/>
    </row>
    <row r="13" spans="1:25" ht="15.75" customHeight="1" x14ac:dyDescent="0.2">
      <c r="A13" s="428"/>
      <c r="B13" s="428"/>
      <c r="C13" s="428"/>
      <c r="D13" s="428"/>
      <c r="E13" s="428"/>
      <c r="F13" s="428"/>
      <c r="G13" s="428"/>
      <c r="H13" s="428"/>
      <c r="I13" s="428"/>
      <c r="J13" s="428"/>
      <c r="K13" s="428"/>
      <c r="L13" s="477" t="s">
        <v>2400</v>
      </c>
      <c r="M13" s="477"/>
      <c r="N13" s="477"/>
      <c r="O13" s="477"/>
      <c r="P13" s="477"/>
      <c r="Q13" s="477"/>
      <c r="S13" s="428"/>
      <c r="T13" s="477" t="s">
        <v>2400</v>
      </c>
      <c r="U13" s="477"/>
      <c r="V13" s="477"/>
      <c r="W13" s="477"/>
      <c r="X13" s="477"/>
      <c r="Y13" s="477"/>
    </row>
    <row r="14" spans="1:25" ht="12" customHeight="1" x14ac:dyDescent="0.2">
      <c r="A14" s="428"/>
      <c r="B14" s="428"/>
      <c r="C14" s="428"/>
      <c r="D14" s="428"/>
      <c r="E14" s="428"/>
      <c r="F14" s="428"/>
      <c r="G14" s="428"/>
      <c r="H14" s="428"/>
      <c r="I14" s="428"/>
      <c r="J14" s="428"/>
      <c r="K14" s="428"/>
      <c r="L14" s="430"/>
      <c r="M14" s="487" t="s">
        <v>2376</v>
      </c>
      <c r="P14" s="487" t="s">
        <v>2376</v>
      </c>
      <c r="Q14" s="430"/>
      <c r="R14" s="430"/>
      <c r="S14" s="428"/>
      <c r="T14" s="433"/>
      <c r="U14" s="487" t="s">
        <v>2376</v>
      </c>
      <c r="X14" s="487" t="s">
        <v>2376</v>
      </c>
      <c r="Y14" s="433"/>
    </row>
    <row r="15" spans="1:25" ht="12" customHeight="1" x14ac:dyDescent="0.2">
      <c r="A15" s="428"/>
      <c r="B15" s="428"/>
      <c r="C15" s="428"/>
      <c r="D15" s="428"/>
      <c r="E15" s="428"/>
      <c r="F15" s="428"/>
      <c r="G15" s="428"/>
      <c r="H15" s="428"/>
      <c r="I15" s="428"/>
      <c r="J15" s="428"/>
      <c r="K15" s="428"/>
      <c r="L15" s="430"/>
      <c r="M15" s="487"/>
      <c r="P15" s="487"/>
      <c r="Q15" s="430"/>
      <c r="S15" s="428"/>
      <c r="T15" s="433"/>
      <c r="U15" s="487"/>
      <c r="X15" s="487"/>
      <c r="Y15" s="433"/>
    </row>
    <row r="16" spans="1:25" ht="12" customHeight="1" x14ac:dyDescent="0.2">
      <c r="A16" s="428"/>
      <c r="B16" s="428"/>
      <c r="C16" s="428"/>
      <c r="D16" s="428"/>
      <c r="E16" s="428"/>
      <c r="F16" s="428"/>
      <c r="G16" s="428"/>
      <c r="H16" s="428"/>
      <c r="I16" s="428"/>
      <c r="J16" s="428"/>
      <c r="K16" s="428"/>
      <c r="L16" s="430"/>
      <c r="M16" s="487"/>
      <c r="P16" s="487"/>
      <c r="Q16" s="430"/>
      <c r="S16" s="428"/>
      <c r="T16" s="433"/>
      <c r="U16" s="487"/>
      <c r="X16" s="487"/>
      <c r="Y16" s="433"/>
    </row>
    <row r="17" spans="1:25" ht="12" customHeight="1" x14ac:dyDescent="0.2">
      <c r="A17" s="428"/>
      <c r="B17" s="428"/>
      <c r="C17" s="428"/>
      <c r="D17" s="428"/>
      <c r="E17" s="428"/>
      <c r="F17" s="428"/>
      <c r="G17" s="428"/>
      <c r="H17" s="428"/>
      <c r="I17" s="428"/>
      <c r="J17" s="428"/>
      <c r="K17" s="428"/>
      <c r="L17" s="430"/>
      <c r="M17" s="487"/>
      <c r="P17" s="487"/>
      <c r="Q17" s="430"/>
      <c r="S17" s="428"/>
      <c r="T17" s="433"/>
      <c r="U17" s="487"/>
      <c r="X17" s="487"/>
      <c r="Y17" s="433"/>
    </row>
    <row r="18" spans="1:25" ht="12" customHeight="1" x14ac:dyDescent="0.2">
      <c r="A18" s="428"/>
      <c r="B18" s="428"/>
      <c r="C18" s="428"/>
      <c r="D18" s="428"/>
      <c r="E18" s="428"/>
      <c r="F18" s="428"/>
      <c r="G18" s="428"/>
      <c r="H18" s="428"/>
      <c r="I18" s="428"/>
      <c r="J18" s="428"/>
      <c r="K18" s="428"/>
      <c r="L18" s="428"/>
      <c r="M18" s="488"/>
      <c r="N18" s="1" t="s">
        <v>2377</v>
      </c>
      <c r="O18" s="1" t="s">
        <v>2377</v>
      </c>
      <c r="P18" s="488"/>
      <c r="Q18" s="428"/>
      <c r="S18" s="428"/>
      <c r="T18" s="432"/>
      <c r="U18" s="488"/>
      <c r="V18" s="1" t="s">
        <v>2377</v>
      </c>
      <c r="W18" s="1" t="s">
        <v>2377</v>
      </c>
      <c r="X18" s="488"/>
      <c r="Y18" s="432"/>
    </row>
    <row r="19" spans="1:25" ht="12" customHeight="1" x14ac:dyDescent="0.2">
      <c r="A19" s="428"/>
      <c r="B19" s="428"/>
      <c r="C19" s="428"/>
      <c r="D19" s="428"/>
      <c r="E19" s="428"/>
      <c r="F19" s="428"/>
      <c r="G19" s="428"/>
      <c r="H19" s="428"/>
      <c r="I19" s="428"/>
      <c r="J19" s="428"/>
      <c r="K19" s="428"/>
      <c r="L19" s="483" t="s">
        <v>2378</v>
      </c>
      <c r="M19" s="440" t="s">
        <v>2387</v>
      </c>
      <c r="N19" s="440">
        <v>1</v>
      </c>
      <c r="O19" s="440">
        <v>2</v>
      </c>
      <c r="P19" s="440" t="s">
        <v>2388</v>
      </c>
      <c r="Q19" s="483" t="s">
        <v>2379</v>
      </c>
      <c r="R19" s="436" t="s">
        <v>2390</v>
      </c>
      <c r="S19" s="432"/>
      <c r="T19" s="483" t="s">
        <v>2381</v>
      </c>
      <c r="U19" s="440"/>
      <c r="V19" s="440">
        <v>1</v>
      </c>
      <c r="W19" s="440">
        <v>2</v>
      </c>
      <c r="X19" s="440"/>
      <c r="Y19" s="483" t="s">
        <v>2380</v>
      </c>
    </row>
    <row r="20" spans="1:25" ht="12" customHeight="1" x14ac:dyDescent="0.2">
      <c r="A20" s="428"/>
      <c r="B20" s="428"/>
      <c r="C20" s="428"/>
      <c r="D20" s="428"/>
      <c r="E20" s="428"/>
      <c r="F20" s="428"/>
      <c r="G20" s="428"/>
      <c r="H20" s="428"/>
      <c r="I20" s="428"/>
      <c r="J20" s="428"/>
      <c r="K20" s="428"/>
      <c r="L20" s="484"/>
      <c r="M20" s="440" t="s">
        <v>2387</v>
      </c>
      <c r="N20" s="440">
        <v>3</v>
      </c>
      <c r="O20" s="440">
        <v>4</v>
      </c>
      <c r="P20" s="440" t="s">
        <v>2388</v>
      </c>
      <c r="Q20" s="484"/>
      <c r="R20" s="436" t="s">
        <v>2391</v>
      </c>
      <c r="S20" s="432"/>
      <c r="T20" s="484"/>
      <c r="U20" s="440"/>
      <c r="V20" s="440">
        <v>3</v>
      </c>
      <c r="W20" s="440">
        <v>4</v>
      </c>
      <c r="X20" s="440"/>
      <c r="Y20" s="484"/>
    </row>
    <row r="21" spans="1:25" ht="12" customHeight="1" x14ac:dyDescent="0.25">
      <c r="A21" s="426"/>
      <c r="I21" s="429"/>
      <c r="J21" s="429"/>
      <c r="L21" s="484"/>
      <c r="M21" s="440" t="s">
        <v>2387</v>
      </c>
      <c r="N21" s="440">
        <v>5</v>
      </c>
      <c r="O21" s="440">
        <v>6</v>
      </c>
      <c r="P21" s="440" t="s">
        <v>2388</v>
      </c>
      <c r="Q21" s="484"/>
      <c r="R21" s="436"/>
      <c r="T21" s="484"/>
      <c r="U21" s="440"/>
      <c r="V21" s="440">
        <v>5</v>
      </c>
      <c r="W21" s="440">
        <v>6</v>
      </c>
      <c r="X21" s="440"/>
      <c r="Y21" s="484"/>
    </row>
    <row r="22" spans="1:25" ht="12" customHeight="1" x14ac:dyDescent="0.25">
      <c r="A22" s="426"/>
      <c r="L22" s="484"/>
      <c r="M22" s="440">
        <v>1</v>
      </c>
      <c r="N22" s="440">
        <v>7</v>
      </c>
      <c r="O22" s="440">
        <v>8</v>
      </c>
      <c r="P22" s="440">
        <v>1</v>
      </c>
      <c r="Q22" s="484"/>
      <c r="T22" s="484"/>
      <c r="U22" s="440">
        <v>1</v>
      </c>
      <c r="V22" s="440">
        <v>7</v>
      </c>
      <c r="W22" s="440">
        <v>8</v>
      </c>
      <c r="X22" s="440">
        <v>1</v>
      </c>
      <c r="Y22" s="484"/>
    </row>
    <row r="23" spans="1:25" ht="12" customHeight="1" x14ac:dyDescent="0.25">
      <c r="A23" s="426"/>
      <c r="L23" s="484"/>
      <c r="M23" s="440">
        <v>2</v>
      </c>
      <c r="N23" s="440">
        <v>9</v>
      </c>
      <c r="O23" s="440">
        <v>10</v>
      </c>
      <c r="P23" s="440">
        <v>2</v>
      </c>
      <c r="Q23" s="484"/>
      <c r="T23" s="484"/>
      <c r="U23" s="440">
        <v>2</v>
      </c>
      <c r="V23" s="440">
        <v>9</v>
      </c>
      <c r="W23" s="440">
        <v>10</v>
      </c>
      <c r="X23" s="440">
        <v>2</v>
      </c>
      <c r="Y23" s="484"/>
    </row>
    <row r="24" spans="1:25" ht="12" customHeight="1" x14ac:dyDescent="0.25">
      <c r="A24" s="426"/>
      <c r="L24" s="484"/>
      <c r="M24" s="440">
        <v>3</v>
      </c>
      <c r="N24" s="440">
        <v>11</v>
      </c>
      <c r="O24" s="440">
        <v>12</v>
      </c>
      <c r="P24" s="440">
        <v>3</v>
      </c>
      <c r="Q24" s="484"/>
      <c r="T24" s="484"/>
      <c r="U24" s="440">
        <v>3</v>
      </c>
      <c r="V24" s="440">
        <v>11</v>
      </c>
      <c r="W24" s="440">
        <v>12</v>
      </c>
      <c r="X24" s="440">
        <v>3</v>
      </c>
      <c r="Y24" s="484"/>
    </row>
    <row r="25" spans="1:25" ht="12" customHeight="1" x14ac:dyDescent="0.25">
      <c r="A25" s="426"/>
      <c r="L25" s="484"/>
      <c r="M25" s="440">
        <v>4</v>
      </c>
      <c r="N25" s="440">
        <v>13</v>
      </c>
      <c r="O25" s="440">
        <v>14</v>
      </c>
      <c r="P25" s="440">
        <v>4</v>
      </c>
      <c r="Q25" s="484"/>
      <c r="T25" s="484"/>
      <c r="U25" s="440">
        <v>4</v>
      </c>
      <c r="V25" s="440">
        <v>13</v>
      </c>
      <c r="W25" s="440">
        <v>14</v>
      </c>
      <c r="X25" s="440">
        <v>4</v>
      </c>
      <c r="Y25" s="484"/>
    </row>
    <row r="26" spans="1:25" ht="12" customHeight="1" x14ac:dyDescent="0.25">
      <c r="A26" s="426"/>
      <c r="L26" s="484"/>
      <c r="M26" s="440">
        <v>5</v>
      </c>
      <c r="N26" s="440">
        <v>15</v>
      </c>
      <c r="O26" s="440">
        <v>16</v>
      </c>
      <c r="P26" s="440">
        <v>5</v>
      </c>
      <c r="Q26" s="484"/>
      <c r="T26" s="484"/>
      <c r="U26" s="440">
        <v>5</v>
      </c>
      <c r="V26" s="440">
        <v>15</v>
      </c>
      <c r="W26" s="440">
        <v>16</v>
      </c>
      <c r="X26" s="440">
        <v>5</v>
      </c>
      <c r="Y26" s="484"/>
    </row>
    <row r="27" spans="1:25" ht="12" customHeight="1" x14ac:dyDescent="0.25">
      <c r="A27" s="426"/>
      <c r="L27" s="484"/>
      <c r="M27" s="440">
        <v>6</v>
      </c>
      <c r="N27" s="440">
        <v>17</v>
      </c>
      <c r="O27" s="440">
        <v>18</v>
      </c>
      <c r="P27" s="440">
        <v>6</v>
      </c>
      <c r="Q27" s="484"/>
      <c r="T27" s="484"/>
      <c r="U27" s="440">
        <v>6</v>
      </c>
      <c r="V27" s="440">
        <v>17</v>
      </c>
      <c r="W27" s="440">
        <v>18</v>
      </c>
      <c r="X27" s="440">
        <v>6</v>
      </c>
      <c r="Y27" s="484"/>
    </row>
    <row r="28" spans="1:25" ht="12" customHeight="1" x14ac:dyDescent="0.25">
      <c r="A28" s="426"/>
      <c r="L28" s="484"/>
      <c r="M28" s="440">
        <v>7</v>
      </c>
      <c r="N28" s="440">
        <v>19</v>
      </c>
      <c r="O28" s="440">
        <v>20</v>
      </c>
      <c r="P28" s="440">
        <v>7</v>
      </c>
      <c r="Q28" s="484"/>
      <c r="T28" s="484"/>
      <c r="U28" s="440">
        <v>7</v>
      </c>
      <c r="V28" s="440">
        <v>19</v>
      </c>
      <c r="W28" s="440">
        <v>20</v>
      </c>
      <c r="X28" s="440">
        <v>7</v>
      </c>
      <c r="Y28" s="484"/>
    </row>
    <row r="29" spans="1:25" ht="12" customHeight="1" x14ac:dyDescent="0.25">
      <c r="A29" s="426"/>
      <c r="L29" s="484"/>
      <c r="M29" s="440">
        <v>8</v>
      </c>
      <c r="N29" s="440">
        <v>21</v>
      </c>
      <c r="O29" s="440">
        <v>22</v>
      </c>
      <c r="P29" s="440">
        <v>8</v>
      </c>
      <c r="Q29" s="484"/>
      <c r="T29" s="484"/>
      <c r="U29" s="440">
        <v>8</v>
      </c>
      <c r="V29" s="440">
        <v>21</v>
      </c>
      <c r="W29" s="440">
        <v>22</v>
      </c>
      <c r="X29" s="440">
        <v>8</v>
      </c>
      <c r="Y29" s="484"/>
    </row>
    <row r="30" spans="1:25" ht="12" customHeight="1" x14ac:dyDescent="0.25">
      <c r="A30" s="426"/>
      <c r="L30" s="484"/>
      <c r="M30" s="440">
        <v>9</v>
      </c>
      <c r="N30" s="440">
        <v>23</v>
      </c>
      <c r="O30" s="440">
        <v>24</v>
      </c>
      <c r="P30" s="440">
        <v>9</v>
      </c>
      <c r="Q30" s="484"/>
      <c r="T30" s="484"/>
      <c r="U30" s="440">
        <v>9</v>
      </c>
      <c r="V30" s="440">
        <v>23</v>
      </c>
      <c r="W30" s="440">
        <v>24</v>
      </c>
      <c r="X30" s="440">
        <v>9</v>
      </c>
      <c r="Y30" s="484"/>
    </row>
    <row r="31" spans="1:25" ht="12" customHeight="1" x14ac:dyDescent="0.25">
      <c r="A31" s="426"/>
      <c r="L31" s="484"/>
      <c r="M31" s="440">
        <v>10</v>
      </c>
      <c r="N31" s="440">
        <v>25</v>
      </c>
      <c r="O31" s="440">
        <v>26</v>
      </c>
      <c r="P31" s="440">
        <v>10</v>
      </c>
      <c r="Q31" s="484"/>
      <c r="T31" s="484"/>
      <c r="U31" s="440">
        <v>10</v>
      </c>
      <c r="V31" s="440">
        <v>25</v>
      </c>
      <c r="W31" s="440">
        <v>26</v>
      </c>
      <c r="X31" s="440">
        <v>10</v>
      </c>
      <c r="Y31" s="484"/>
    </row>
    <row r="32" spans="1:25" ht="12" customHeight="1" x14ac:dyDescent="0.2">
      <c r="A32" s="315"/>
      <c r="L32" s="484"/>
      <c r="M32" s="440">
        <v>11</v>
      </c>
      <c r="N32" s="440">
        <v>27</v>
      </c>
      <c r="O32" s="440">
        <v>28</v>
      </c>
      <c r="P32" s="440">
        <v>11</v>
      </c>
      <c r="Q32" s="484"/>
      <c r="T32" s="484"/>
      <c r="U32" s="440">
        <v>11</v>
      </c>
      <c r="V32" s="440">
        <v>27</v>
      </c>
      <c r="W32" s="440">
        <v>28</v>
      </c>
      <c r="X32" s="440">
        <v>11</v>
      </c>
      <c r="Y32" s="484"/>
    </row>
    <row r="33" spans="1:25" ht="12" customHeight="1" x14ac:dyDescent="0.25">
      <c r="A33" s="426"/>
      <c r="L33" s="485"/>
      <c r="M33" s="440">
        <v>12</v>
      </c>
      <c r="N33" s="440">
        <v>29</v>
      </c>
      <c r="O33" s="440">
        <v>30</v>
      </c>
      <c r="P33" s="440">
        <v>12</v>
      </c>
      <c r="Q33" s="485"/>
      <c r="T33" s="485"/>
      <c r="U33" s="440">
        <v>12</v>
      </c>
      <c r="V33" s="440">
        <v>29</v>
      </c>
      <c r="W33" s="440">
        <v>30</v>
      </c>
      <c r="X33" s="440">
        <v>12</v>
      </c>
      <c r="Y33" s="485"/>
    </row>
    <row r="34" spans="1:25" ht="14.25" customHeight="1" x14ac:dyDescent="0.25">
      <c r="A34" s="426"/>
    </row>
    <row r="35" spans="1:25" ht="15.75" x14ac:dyDescent="0.25">
      <c r="A35" s="426"/>
      <c r="C35" s="431"/>
      <c r="M35" s="437"/>
      <c r="N35" s="438"/>
      <c r="O35" s="438"/>
      <c r="P35" s="438"/>
      <c r="Q35" s="438"/>
      <c r="R35" s="437"/>
    </row>
    <row r="36" spans="1:25" ht="16.5" x14ac:dyDescent="0.25">
      <c r="A36" s="427" t="s">
        <v>2450</v>
      </c>
      <c r="C36" s="431"/>
    </row>
    <row r="37" spans="1:25" ht="15.75" customHeight="1" x14ac:dyDescent="0.2">
      <c r="A37" s="498" t="s">
        <v>2452</v>
      </c>
      <c r="B37" s="498"/>
      <c r="C37" s="498"/>
      <c r="D37" s="498"/>
      <c r="E37" s="498"/>
      <c r="F37" s="498"/>
      <c r="G37" s="498"/>
      <c r="H37" s="498"/>
      <c r="I37" s="498"/>
      <c r="J37" s="498"/>
      <c r="K37" s="498"/>
      <c r="L37" s="498"/>
      <c r="M37" s="498"/>
      <c r="N37" s="498"/>
      <c r="O37" s="498"/>
      <c r="P37" s="498"/>
      <c r="Q37" s="498"/>
      <c r="R37" s="498"/>
      <c r="S37" s="498"/>
      <c r="T37" s="498"/>
    </row>
    <row r="38" spans="1:25" ht="15.75" customHeight="1" x14ac:dyDescent="0.2">
      <c r="A38" s="498"/>
      <c r="B38" s="498"/>
      <c r="C38" s="498"/>
      <c r="D38" s="498"/>
      <c r="E38" s="498"/>
      <c r="F38" s="498"/>
      <c r="G38" s="498"/>
      <c r="H38" s="498"/>
      <c r="I38" s="498"/>
      <c r="J38" s="498"/>
      <c r="K38" s="498"/>
      <c r="L38" s="498"/>
      <c r="M38" s="498"/>
      <c r="N38" s="498"/>
      <c r="O38" s="498"/>
      <c r="P38" s="498"/>
      <c r="Q38" s="498"/>
      <c r="R38" s="498"/>
      <c r="S38" s="498"/>
      <c r="T38" s="498"/>
    </row>
    <row r="39" spans="1:25" ht="15.75" customHeight="1" x14ac:dyDescent="0.2">
      <c r="A39" s="498"/>
      <c r="B39" s="498"/>
      <c r="C39" s="498"/>
      <c r="D39" s="498"/>
      <c r="E39" s="498"/>
      <c r="F39" s="498"/>
      <c r="G39" s="498"/>
      <c r="H39" s="498"/>
      <c r="I39" s="498"/>
      <c r="J39" s="498"/>
      <c r="K39" s="498"/>
      <c r="L39" s="498"/>
      <c r="M39" s="498"/>
      <c r="N39" s="498"/>
      <c r="O39" s="498"/>
      <c r="P39" s="498"/>
      <c r="Q39" s="498"/>
      <c r="R39" s="498"/>
      <c r="S39" s="498"/>
      <c r="T39" s="498"/>
    </row>
    <row r="40" spans="1:25" ht="15.75" customHeight="1" x14ac:dyDescent="0.2">
      <c r="A40" s="498"/>
      <c r="B40" s="498"/>
      <c r="C40" s="498"/>
      <c r="D40" s="498"/>
      <c r="E40" s="498"/>
      <c r="F40" s="498"/>
      <c r="G40" s="498"/>
      <c r="H40" s="498"/>
      <c r="I40" s="498"/>
      <c r="J40" s="498"/>
      <c r="K40" s="498"/>
      <c r="L40" s="498"/>
      <c r="M40" s="498"/>
      <c r="N40" s="498"/>
      <c r="O40" s="498"/>
      <c r="P40" s="498"/>
      <c r="Q40" s="498"/>
      <c r="R40" s="498"/>
      <c r="S40" s="498"/>
      <c r="T40" s="498"/>
    </row>
    <row r="41" spans="1:25" ht="15.75" customHeight="1" x14ac:dyDescent="0.2">
      <c r="A41" s="498"/>
      <c r="B41" s="498"/>
      <c r="C41" s="498"/>
      <c r="D41" s="498"/>
      <c r="E41" s="498"/>
      <c r="F41" s="498"/>
      <c r="G41" s="498"/>
      <c r="H41" s="498"/>
      <c r="I41" s="498"/>
      <c r="J41" s="498"/>
      <c r="K41" s="498"/>
      <c r="L41" s="498"/>
      <c r="M41" s="498"/>
      <c r="N41" s="498"/>
      <c r="O41" s="498"/>
      <c r="P41" s="498"/>
      <c r="Q41" s="498"/>
      <c r="R41" s="498"/>
      <c r="S41" s="498"/>
      <c r="T41" s="498"/>
    </row>
    <row r="43" spans="1:25" ht="18" x14ac:dyDescent="0.25">
      <c r="A43" s="501" t="s">
        <v>2422</v>
      </c>
      <c r="B43" s="501"/>
      <c r="C43" s="501"/>
      <c r="D43" s="501"/>
      <c r="E43" s="501"/>
      <c r="F43" s="501"/>
      <c r="G43" s="501"/>
      <c r="H43" s="501"/>
      <c r="I43" s="501"/>
      <c r="J43" s="501"/>
      <c r="K43" s="501"/>
      <c r="L43" s="501"/>
      <c r="M43" s="501"/>
      <c r="N43" s="501"/>
      <c r="O43" s="501"/>
      <c r="P43" s="501"/>
      <c r="Q43" s="501"/>
      <c r="R43" s="454"/>
      <c r="S43" s="454"/>
      <c r="T43" s="454"/>
    </row>
    <row r="45" spans="1:25" x14ac:dyDescent="0.2">
      <c r="A45" s="476" t="s">
        <v>2382</v>
      </c>
      <c r="B45" s="476"/>
      <c r="C45" s="476"/>
      <c r="D45" s="476"/>
      <c r="E45" s="476"/>
      <c r="F45" s="476"/>
      <c r="L45" s="476" t="s">
        <v>2425</v>
      </c>
      <c r="M45" s="476"/>
      <c r="N45" s="476"/>
      <c r="O45" s="476"/>
      <c r="P45" s="476"/>
      <c r="Q45" s="476"/>
    </row>
    <row r="46" spans="1:25" x14ac:dyDescent="0.2">
      <c r="A46" s="477" t="s">
        <v>2392</v>
      </c>
      <c r="B46" s="477"/>
      <c r="C46" s="477"/>
      <c r="D46" s="477"/>
      <c r="E46" s="477"/>
      <c r="F46" s="477"/>
      <c r="G46" s="462"/>
      <c r="H46" s="462"/>
      <c r="I46" s="462"/>
      <c r="J46" s="462"/>
      <c r="K46" s="462"/>
      <c r="L46" s="477" t="s">
        <v>2392</v>
      </c>
      <c r="M46" s="477"/>
      <c r="N46" s="477"/>
      <c r="O46" s="477"/>
      <c r="P46" s="477"/>
      <c r="Q46" s="477"/>
    </row>
    <row r="47" spans="1:25" ht="12" customHeight="1" x14ac:dyDescent="0.2">
      <c r="B47" s="487" t="s">
        <v>2376</v>
      </c>
      <c r="E47" s="487" t="s">
        <v>2376</v>
      </c>
      <c r="M47" s="487" t="s">
        <v>2376</v>
      </c>
      <c r="P47" s="487" t="s">
        <v>2376</v>
      </c>
    </row>
    <row r="48" spans="1:25" ht="12" customHeight="1" x14ac:dyDescent="0.2">
      <c r="B48" s="487"/>
      <c r="E48" s="487"/>
      <c r="M48" s="487"/>
      <c r="P48" s="487"/>
    </row>
    <row r="49" spans="1:17" ht="12" customHeight="1" x14ac:dyDescent="0.2">
      <c r="B49" s="487"/>
      <c r="E49" s="487"/>
      <c r="M49" s="487"/>
      <c r="P49" s="487"/>
    </row>
    <row r="50" spans="1:17" ht="12" customHeight="1" x14ac:dyDescent="0.2">
      <c r="B50" s="487"/>
      <c r="E50" s="487"/>
      <c r="M50" s="487"/>
      <c r="P50" s="487"/>
    </row>
    <row r="51" spans="1:17" ht="12" customHeight="1" x14ac:dyDescent="0.2">
      <c r="B51" s="488"/>
      <c r="C51" s="1" t="s">
        <v>2377</v>
      </c>
      <c r="D51" s="1" t="s">
        <v>2377</v>
      </c>
      <c r="E51" s="488"/>
      <c r="M51" s="488"/>
      <c r="N51" s="1" t="s">
        <v>2377</v>
      </c>
      <c r="O51" s="1" t="s">
        <v>2377</v>
      </c>
      <c r="P51" s="488"/>
    </row>
    <row r="52" spans="1:17" s="436" customFormat="1" ht="12" customHeight="1" x14ac:dyDescent="0.2">
      <c r="A52" s="483" t="s">
        <v>2378</v>
      </c>
      <c r="B52" s="440" t="s">
        <v>2387</v>
      </c>
      <c r="C52" s="440">
        <v>1</v>
      </c>
      <c r="D52" s="440">
        <v>2</v>
      </c>
      <c r="E52" s="440" t="s">
        <v>2388</v>
      </c>
      <c r="F52" s="483" t="s">
        <v>2379</v>
      </c>
      <c r="H52" s="436" t="s">
        <v>2390</v>
      </c>
      <c r="L52" s="483" t="s">
        <v>2417</v>
      </c>
      <c r="M52" s="440"/>
      <c r="N52" s="440">
        <v>1</v>
      </c>
      <c r="O52" s="440">
        <v>2</v>
      </c>
      <c r="P52" s="440"/>
      <c r="Q52" s="483" t="s">
        <v>2418</v>
      </c>
    </row>
    <row r="53" spans="1:17" s="436" customFormat="1" ht="12" customHeight="1" x14ac:dyDescent="0.2">
      <c r="A53" s="484"/>
      <c r="B53" s="440" t="s">
        <v>2387</v>
      </c>
      <c r="C53" s="440">
        <v>3</v>
      </c>
      <c r="D53" s="440">
        <v>4</v>
      </c>
      <c r="E53" s="440" t="s">
        <v>2388</v>
      </c>
      <c r="F53" s="484"/>
      <c r="H53" s="436" t="s">
        <v>2391</v>
      </c>
      <c r="L53" s="484"/>
      <c r="M53" s="440"/>
      <c r="N53" s="440">
        <v>3</v>
      </c>
      <c r="O53" s="440">
        <v>4</v>
      </c>
      <c r="P53" s="440"/>
      <c r="Q53" s="484"/>
    </row>
    <row r="54" spans="1:17" s="436" customFormat="1" ht="12" customHeight="1" x14ac:dyDescent="0.2">
      <c r="A54" s="484"/>
      <c r="B54" s="440" t="s">
        <v>2387</v>
      </c>
      <c r="C54" s="440">
        <v>5</v>
      </c>
      <c r="D54" s="440">
        <v>6</v>
      </c>
      <c r="E54" s="440" t="s">
        <v>2388</v>
      </c>
      <c r="F54" s="484"/>
      <c r="H54" s="436" t="s">
        <v>2389</v>
      </c>
      <c r="L54" s="484"/>
      <c r="M54" s="440"/>
      <c r="N54" s="440">
        <v>5</v>
      </c>
      <c r="O54" s="440">
        <v>6</v>
      </c>
      <c r="P54" s="440"/>
      <c r="Q54" s="484"/>
    </row>
    <row r="55" spans="1:17" s="436" customFormat="1" ht="12" customHeight="1" x14ac:dyDescent="0.2">
      <c r="A55" s="484"/>
      <c r="B55" s="440">
        <v>1</v>
      </c>
      <c r="C55" s="440">
        <v>7</v>
      </c>
      <c r="D55" s="440">
        <v>8</v>
      </c>
      <c r="E55" s="440">
        <v>1</v>
      </c>
      <c r="F55" s="484"/>
      <c r="L55" s="484"/>
      <c r="M55" s="440">
        <v>1</v>
      </c>
      <c r="N55" s="440">
        <v>7</v>
      </c>
      <c r="O55" s="440">
        <v>8</v>
      </c>
      <c r="P55" s="440">
        <v>1</v>
      </c>
      <c r="Q55" s="484"/>
    </row>
    <row r="56" spans="1:17" s="436" customFormat="1" ht="12" customHeight="1" x14ac:dyDescent="0.2">
      <c r="A56" s="484"/>
      <c r="B56" s="440">
        <v>2</v>
      </c>
      <c r="C56" s="440">
        <v>9</v>
      </c>
      <c r="D56" s="440">
        <v>10</v>
      </c>
      <c r="E56" s="440">
        <v>2</v>
      </c>
      <c r="F56" s="484"/>
      <c r="L56" s="484"/>
      <c r="M56" s="440">
        <v>2</v>
      </c>
      <c r="N56" s="440">
        <v>9</v>
      </c>
      <c r="O56" s="440">
        <v>10</v>
      </c>
      <c r="P56" s="440">
        <v>2</v>
      </c>
      <c r="Q56" s="484"/>
    </row>
    <row r="57" spans="1:17" s="436" customFormat="1" ht="12" customHeight="1" x14ac:dyDescent="0.2">
      <c r="A57" s="484"/>
      <c r="B57" s="440">
        <v>3</v>
      </c>
      <c r="C57" s="440">
        <v>11</v>
      </c>
      <c r="D57" s="440">
        <v>12</v>
      </c>
      <c r="E57" s="440">
        <v>3</v>
      </c>
      <c r="F57" s="484"/>
      <c r="L57" s="484"/>
      <c r="M57" s="440">
        <v>3</v>
      </c>
      <c r="N57" s="440">
        <v>11</v>
      </c>
      <c r="O57" s="440">
        <v>12</v>
      </c>
      <c r="P57" s="440">
        <v>3</v>
      </c>
      <c r="Q57" s="484"/>
    </row>
    <row r="58" spans="1:17" s="436" customFormat="1" ht="12" customHeight="1" x14ac:dyDescent="0.2">
      <c r="A58" s="484"/>
      <c r="B58" s="440">
        <v>4</v>
      </c>
      <c r="C58" s="440">
        <v>13</v>
      </c>
      <c r="D58" s="440">
        <v>14</v>
      </c>
      <c r="E58" s="440">
        <v>4</v>
      </c>
      <c r="F58" s="484"/>
      <c r="L58" s="484"/>
      <c r="M58" s="440">
        <v>4</v>
      </c>
      <c r="N58" s="440">
        <v>13</v>
      </c>
      <c r="O58" s="440">
        <v>14</v>
      </c>
      <c r="P58" s="440">
        <v>4</v>
      </c>
      <c r="Q58" s="484"/>
    </row>
    <row r="59" spans="1:17" s="436" customFormat="1" ht="12" customHeight="1" x14ac:dyDescent="0.2">
      <c r="A59" s="484"/>
      <c r="B59" s="440">
        <v>5</v>
      </c>
      <c r="C59" s="440">
        <v>15</v>
      </c>
      <c r="D59" s="440">
        <v>16</v>
      </c>
      <c r="E59" s="440">
        <v>5</v>
      </c>
      <c r="F59" s="484"/>
      <c r="L59" s="484"/>
      <c r="M59" s="440">
        <v>5</v>
      </c>
      <c r="N59" s="440">
        <v>15</v>
      </c>
      <c r="O59" s="440">
        <v>16</v>
      </c>
      <c r="P59" s="440">
        <v>5</v>
      </c>
      <c r="Q59" s="484"/>
    </row>
    <row r="60" spans="1:17" s="436" customFormat="1" ht="12" customHeight="1" x14ac:dyDescent="0.2">
      <c r="A60" s="484"/>
      <c r="B60" s="440">
        <v>6</v>
      </c>
      <c r="C60" s="440">
        <v>17</v>
      </c>
      <c r="D60" s="440">
        <v>18</v>
      </c>
      <c r="E60" s="440">
        <v>6</v>
      </c>
      <c r="F60" s="484"/>
      <c r="L60" s="484"/>
      <c r="M60" s="440">
        <v>6</v>
      </c>
      <c r="N60" s="440">
        <v>17</v>
      </c>
      <c r="O60" s="440">
        <v>18</v>
      </c>
      <c r="P60" s="440">
        <v>6</v>
      </c>
      <c r="Q60" s="484"/>
    </row>
    <row r="61" spans="1:17" s="436" customFormat="1" ht="12" customHeight="1" x14ac:dyDescent="0.2">
      <c r="A61" s="484"/>
      <c r="B61" s="440">
        <v>7</v>
      </c>
      <c r="C61" s="440">
        <v>19</v>
      </c>
      <c r="D61" s="440">
        <v>20</v>
      </c>
      <c r="E61" s="440">
        <v>7</v>
      </c>
      <c r="F61" s="484"/>
      <c r="L61" s="484"/>
      <c r="M61" s="440">
        <v>7</v>
      </c>
      <c r="N61" s="440">
        <v>19</v>
      </c>
      <c r="O61" s="440">
        <v>20</v>
      </c>
      <c r="P61" s="440">
        <v>7</v>
      </c>
      <c r="Q61" s="484"/>
    </row>
    <row r="62" spans="1:17" s="436" customFormat="1" ht="12" customHeight="1" x14ac:dyDescent="0.2">
      <c r="A62" s="484"/>
      <c r="B62" s="440">
        <v>8</v>
      </c>
      <c r="C62" s="440">
        <v>21</v>
      </c>
      <c r="D62" s="440">
        <v>22</v>
      </c>
      <c r="E62" s="440">
        <v>8</v>
      </c>
      <c r="F62" s="484"/>
      <c r="L62" s="484"/>
      <c r="M62" s="440">
        <v>8</v>
      </c>
      <c r="N62" s="440">
        <v>21</v>
      </c>
      <c r="O62" s="440">
        <v>22</v>
      </c>
      <c r="P62" s="440">
        <v>8</v>
      </c>
      <c r="Q62" s="484"/>
    </row>
    <row r="63" spans="1:17" s="436" customFormat="1" ht="12" customHeight="1" x14ac:dyDescent="0.2">
      <c r="A63" s="484"/>
      <c r="B63" s="440">
        <v>9</v>
      </c>
      <c r="C63" s="440">
        <v>23</v>
      </c>
      <c r="D63" s="440">
        <v>24</v>
      </c>
      <c r="E63" s="440">
        <v>9</v>
      </c>
      <c r="F63" s="484"/>
      <c r="L63" s="484"/>
      <c r="M63" s="440">
        <v>9</v>
      </c>
      <c r="N63" s="440">
        <v>23</v>
      </c>
      <c r="O63" s="440">
        <v>24</v>
      </c>
      <c r="P63" s="440">
        <v>9</v>
      </c>
      <c r="Q63" s="484"/>
    </row>
    <row r="64" spans="1:17" s="436" customFormat="1" ht="12" customHeight="1" x14ac:dyDescent="0.2">
      <c r="A64" s="484"/>
      <c r="B64" s="440">
        <v>10</v>
      </c>
      <c r="C64" s="440">
        <v>25</v>
      </c>
      <c r="D64" s="440">
        <v>26</v>
      </c>
      <c r="E64" s="440">
        <v>10</v>
      </c>
      <c r="F64" s="484"/>
      <c r="L64" s="484"/>
      <c r="M64" s="440">
        <v>10</v>
      </c>
      <c r="N64" s="440">
        <v>25</v>
      </c>
      <c r="O64" s="440">
        <v>26</v>
      </c>
      <c r="P64" s="440">
        <v>10</v>
      </c>
      <c r="Q64" s="484"/>
    </row>
    <row r="65" spans="1:21" s="436" customFormat="1" ht="12" customHeight="1" x14ac:dyDescent="0.2">
      <c r="A65" s="484"/>
      <c r="B65" s="440">
        <v>11</v>
      </c>
      <c r="C65" s="440">
        <v>27</v>
      </c>
      <c r="D65" s="440">
        <v>28</v>
      </c>
      <c r="E65" s="440">
        <v>11</v>
      </c>
      <c r="F65" s="484"/>
      <c r="L65" s="484"/>
      <c r="M65" s="440">
        <v>11</v>
      </c>
      <c r="N65" s="440">
        <v>27</v>
      </c>
      <c r="O65" s="440">
        <v>28</v>
      </c>
      <c r="P65" s="440">
        <v>11</v>
      </c>
      <c r="Q65" s="484"/>
    </row>
    <row r="66" spans="1:21" s="436" customFormat="1" ht="12" customHeight="1" x14ac:dyDescent="0.2">
      <c r="A66" s="485"/>
      <c r="B66" s="440">
        <v>12</v>
      </c>
      <c r="C66" s="440">
        <v>29</v>
      </c>
      <c r="D66" s="440">
        <v>30</v>
      </c>
      <c r="E66" s="440">
        <v>12</v>
      </c>
      <c r="F66" s="485"/>
      <c r="L66" s="485"/>
      <c r="M66" s="440">
        <v>12</v>
      </c>
      <c r="N66" s="440">
        <v>29</v>
      </c>
      <c r="O66" s="440">
        <v>30</v>
      </c>
      <c r="P66" s="440">
        <v>12</v>
      </c>
      <c r="Q66" s="485"/>
    </row>
    <row r="67" spans="1:21" s="436" customFormat="1" ht="12" customHeight="1" x14ac:dyDescent="0.2">
      <c r="A67" s="486" t="s">
        <v>2380</v>
      </c>
      <c r="B67" s="440">
        <v>12</v>
      </c>
      <c r="C67" s="440">
        <v>31</v>
      </c>
      <c r="D67" s="440">
        <v>32</v>
      </c>
      <c r="E67" s="440">
        <v>12</v>
      </c>
      <c r="F67" s="480" t="s">
        <v>2381</v>
      </c>
      <c r="L67" s="486" t="s">
        <v>2420</v>
      </c>
      <c r="M67" s="440">
        <v>12</v>
      </c>
      <c r="N67" s="440">
        <v>31</v>
      </c>
      <c r="O67" s="440">
        <v>32</v>
      </c>
      <c r="P67" s="440">
        <v>12</v>
      </c>
      <c r="Q67" s="480" t="s">
        <v>2419</v>
      </c>
    </row>
    <row r="68" spans="1:21" s="436" customFormat="1" ht="12" customHeight="1" x14ac:dyDescent="0.2">
      <c r="A68" s="481"/>
      <c r="B68" s="440">
        <v>11</v>
      </c>
      <c r="C68" s="440">
        <v>33</v>
      </c>
      <c r="D68" s="440">
        <v>34</v>
      </c>
      <c r="E68" s="440">
        <v>11</v>
      </c>
      <c r="F68" s="481"/>
      <c r="L68" s="481"/>
      <c r="M68" s="440">
        <v>11</v>
      </c>
      <c r="N68" s="440">
        <v>33</v>
      </c>
      <c r="O68" s="440">
        <v>34</v>
      </c>
      <c r="P68" s="440">
        <v>11</v>
      </c>
      <c r="Q68" s="481"/>
    </row>
    <row r="69" spans="1:21" s="436" customFormat="1" ht="12" customHeight="1" x14ac:dyDescent="0.2">
      <c r="A69" s="481"/>
      <c r="B69" s="440">
        <v>10</v>
      </c>
      <c r="C69" s="440">
        <v>35</v>
      </c>
      <c r="D69" s="440">
        <v>36</v>
      </c>
      <c r="E69" s="440">
        <v>10</v>
      </c>
      <c r="F69" s="481"/>
      <c r="G69" s="439" t="s">
        <v>2384</v>
      </c>
      <c r="L69" s="481"/>
      <c r="M69" s="440">
        <v>10</v>
      </c>
      <c r="N69" s="440">
        <v>35</v>
      </c>
      <c r="O69" s="440">
        <v>36</v>
      </c>
      <c r="P69" s="440">
        <v>10</v>
      </c>
      <c r="Q69" s="481"/>
      <c r="R69" s="439" t="s">
        <v>2384</v>
      </c>
    </row>
    <row r="70" spans="1:21" s="436" customFormat="1" ht="12" customHeight="1" x14ac:dyDescent="0.2">
      <c r="A70" s="481"/>
      <c r="B70" s="440">
        <v>9</v>
      </c>
      <c r="C70" s="440">
        <v>37</v>
      </c>
      <c r="D70" s="440">
        <v>38</v>
      </c>
      <c r="E70" s="440">
        <v>9</v>
      </c>
      <c r="F70" s="481"/>
      <c r="G70" s="436" t="s">
        <v>2385</v>
      </c>
      <c r="L70" s="481"/>
      <c r="M70" s="440">
        <v>9</v>
      </c>
      <c r="N70" s="440">
        <v>37</v>
      </c>
      <c r="O70" s="440">
        <v>38</v>
      </c>
      <c r="P70" s="440">
        <v>9</v>
      </c>
      <c r="Q70" s="481"/>
      <c r="R70" s="436" t="s">
        <v>2385</v>
      </c>
    </row>
    <row r="71" spans="1:21" s="436" customFormat="1" ht="12" customHeight="1" x14ac:dyDescent="0.2">
      <c r="A71" s="481"/>
      <c r="B71" s="440">
        <v>8</v>
      </c>
      <c r="C71" s="440">
        <v>39</v>
      </c>
      <c r="D71" s="440">
        <v>40</v>
      </c>
      <c r="E71" s="440">
        <v>8</v>
      </c>
      <c r="F71" s="481"/>
      <c r="G71" s="436" t="s">
        <v>2383</v>
      </c>
      <c r="L71" s="481"/>
      <c r="M71" s="440">
        <v>8</v>
      </c>
      <c r="N71" s="440">
        <v>39</v>
      </c>
      <c r="O71" s="440">
        <v>40</v>
      </c>
      <c r="P71" s="440">
        <v>8</v>
      </c>
      <c r="Q71" s="481"/>
      <c r="R71" s="436" t="s">
        <v>2428</v>
      </c>
    </row>
    <row r="72" spans="1:21" s="436" customFormat="1" ht="12" customHeight="1" x14ac:dyDescent="0.2">
      <c r="A72" s="481"/>
      <c r="B72" s="440">
        <v>7</v>
      </c>
      <c r="C72" s="440">
        <v>41</v>
      </c>
      <c r="D72" s="440">
        <v>42</v>
      </c>
      <c r="E72" s="440">
        <v>7</v>
      </c>
      <c r="F72" s="481"/>
      <c r="G72" s="436" t="s">
        <v>2430</v>
      </c>
      <c r="L72" s="481"/>
      <c r="M72" s="440">
        <v>7</v>
      </c>
      <c r="N72" s="440">
        <v>41</v>
      </c>
      <c r="O72" s="440">
        <v>42</v>
      </c>
      <c r="P72" s="440">
        <v>7</v>
      </c>
      <c r="Q72" s="481"/>
      <c r="R72" s="436" t="s">
        <v>2430</v>
      </c>
    </row>
    <row r="73" spans="1:21" s="436" customFormat="1" ht="12" customHeight="1" x14ac:dyDescent="0.2">
      <c r="A73" s="481"/>
      <c r="B73" s="440">
        <v>6</v>
      </c>
      <c r="C73" s="440">
        <v>43</v>
      </c>
      <c r="D73" s="440">
        <v>44</v>
      </c>
      <c r="E73" s="440">
        <v>6</v>
      </c>
      <c r="F73" s="481"/>
      <c r="G73" s="478" t="s">
        <v>2386</v>
      </c>
      <c r="H73" s="479"/>
      <c r="I73" s="479"/>
      <c r="J73" s="479"/>
      <c r="L73" s="481"/>
      <c r="M73" s="440">
        <v>6</v>
      </c>
      <c r="N73" s="440">
        <v>43</v>
      </c>
      <c r="O73" s="440">
        <v>44</v>
      </c>
      <c r="P73" s="440">
        <v>6</v>
      </c>
      <c r="Q73" s="481"/>
      <c r="R73" s="478" t="s">
        <v>2429</v>
      </c>
      <c r="S73" s="479"/>
      <c r="T73" s="479"/>
      <c r="U73" s="479"/>
    </row>
    <row r="74" spans="1:21" s="436" customFormat="1" ht="12" customHeight="1" x14ac:dyDescent="0.2">
      <c r="A74" s="481"/>
      <c r="B74" s="440">
        <v>5</v>
      </c>
      <c r="C74" s="440">
        <v>45</v>
      </c>
      <c r="D74" s="440">
        <v>46</v>
      </c>
      <c r="E74" s="440">
        <v>5</v>
      </c>
      <c r="F74" s="481"/>
      <c r="G74" s="478"/>
      <c r="H74" s="479"/>
      <c r="I74" s="479"/>
      <c r="J74" s="479"/>
      <c r="L74" s="481"/>
      <c r="M74" s="440">
        <v>5</v>
      </c>
      <c r="N74" s="440">
        <v>45</v>
      </c>
      <c r="O74" s="440">
        <v>46</v>
      </c>
      <c r="P74" s="440">
        <v>5</v>
      </c>
      <c r="Q74" s="481"/>
      <c r="R74" s="478"/>
      <c r="S74" s="479"/>
      <c r="T74" s="479"/>
      <c r="U74" s="479"/>
    </row>
    <row r="75" spans="1:21" s="436" customFormat="1" ht="12" customHeight="1" x14ac:dyDescent="0.2">
      <c r="A75" s="481"/>
      <c r="B75" s="440">
        <v>4</v>
      </c>
      <c r="C75" s="440">
        <v>47</v>
      </c>
      <c r="D75" s="440">
        <v>48</v>
      </c>
      <c r="E75" s="440">
        <v>4</v>
      </c>
      <c r="F75" s="481"/>
      <c r="L75" s="481"/>
      <c r="M75" s="440">
        <v>4</v>
      </c>
      <c r="N75" s="440">
        <v>47</v>
      </c>
      <c r="O75" s="440">
        <v>48</v>
      </c>
      <c r="P75" s="440">
        <v>4</v>
      </c>
      <c r="Q75" s="481"/>
    </row>
    <row r="76" spans="1:21" s="436" customFormat="1" ht="12" customHeight="1" x14ac:dyDescent="0.2">
      <c r="A76" s="481"/>
      <c r="B76" s="440">
        <v>3</v>
      </c>
      <c r="C76" s="440">
        <v>49</v>
      </c>
      <c r="D76" s="440">
        <v>50</v>
      </c>
      <c r="E76" s="440">
        <v>3</v>
      </c>
      <c r="F76" s="481"/>
      <c r="L76" s="481"/>
      <c r="M76" s="440">
        <v>3</v>
      </c>
      <c r="N76" s="440">
        <v>49</v>
      </c>
      <c r="O76" s="440">
        <v>50</v>
      </c>
      <c r="P76" s="440">
        <v>3</v>
      </c>
      <c r="Q76" s="481"/>
    </row>
    <row r="77" spans="1:21" s="436" customFormat="1" ht="12" customHeight="1" x14ac:dyDescent="0.2">
      <c r="A77" s="481"/>
      <c r="B77" s="440">
        <v>2</v>
      </c>
      <c r="C77" s="440">
        <v>51</v>
      </c>
      <c r="D77" s="440">
        <v>52</v>
      </c>
      <c r="E77" s="440">
        <v>2</v>
      </c>
      <c r="F77" s="481"/>
      <c r="L77" s="481"/>
      <c r="M77" s="440">
        <v>2</v>
      </c>
      <c r="N77" s="440">
        <v>51</v>
      </c>
      <c r="O77" s="440">
        <v>52</v>
      </c>
      <c r="P77" s="440">
        <v>2</v>
      </c>
      <c r="Q77" s="481"/>
    </row>
    <row r="78" spans="1:21" s="436" customFormat="1" ht="12" customHeight="1" x14ac:dyDescent="0.2">
      <c r="A78" s="481"/>
      <c r="B78" s="440">
        <v>1</v>
      </c>
      <c r="C78" s="440">
        <v>53</v>
      </c>
      <c r="D78" s="440">
        <v>54</v>
      </c>
      <c r="E78" s="440">
        <v>1</v>
      </c>
      <c r="F78" s="481"/>
      <c r="L78" s="481"/>
      <c r="M78" s="440">
        <v>1</v>
      </c>
      <c r="N78" s="440">
        <v>53</v>
      </c>
      <c r="O78" s="440">
        <v>54</v>
      </c>
      <c r="P78" s="440">
        <v>1</v>
      </c>
      <c r="Q78" s="481"/>
    </row>
    <row r="79" spans="1:21" s="436" customFormat="1" ht="12" customHeight="1" x14ac:dyDescent="0.2">
      <c r="A79" s="481"/>
      <c r="B79" s="440"/>
      <c r="E79" s="440" t="s">
        <v>2401</v>
      </c>
      <c r="F79" s="481"/>
      <c r="L79" s="481"/>
      <c r="M79" s="440"/>
      <c r="P79" s="440" t="s">
        <v>2401</v>
      </c>
      <c r="Q79" s="481"/>
    </row>
    <row r="80" spans="1:21" s="436" customFormat="1" ht="12" customHeight="1" x14ac:dyDescent="0.2">
      <c r="A80" s="481"/>
      <c r="B80" s="440"/>
      <c r="E80" s="440" t="s">
        <v>2401</v>
      </c>
      <c r="F80" s="481"/>
      <c r="L80" s="481"/>
      <c r="M80" s="440"/>
      <c r="P80" s="440" t="s">
        <v>2401</v>
      </c>
      <c r="Q80" s="481"/>
    </row>
    <row r="81" spans="1:17" s="436" customFormat="1" ht="12" customHeight="1" x14ac:dyDescent="0.2">
      <c r="A81" s="482"/>
      <c r="B81" s="440"/>
      <c r="E81" s="440" t="s">
        <v>2401</v>
      </c>
      <c r="F81" s="482"/>
      <c r="L81" s="482"/>
      <c r="M81" s="440"/>
      <c r="P81" s="440" t="s">
        <v>2401</v>
      </c>
      <c r="Q81" s="482"/>
    </row>
    <row r="85" spans="1:17" x14ac:dyDescent="0.2">
      <c r="A85" s="476" t="s">
        <v>2397</v>
      </c>
      <c r="B85" s="476"/>
      <c r="C85" s="476"/>
      <c r="D85" s="476"/>
      <c r="E85" s="476"/>
      <c r="F85" s="476"/>
      <c r="L85" s="476" t="s">
        <v>2426</v>
      </c>
      <c r="M85" s="476"/>
      <c r="N85" s="476"/>
      <c r="O85" s="476"/>
      <c r="P85" s="476"/>
      <c r="Q85" s="476"/>
    </row>
    <row r="86" spans="1:17" x14ac:dyDescent="0.2">
      <c r="A86" s="477" t="s">
        <v>2392</v>
      </c>
      <c r="B86" s="477"/>
      <c r="C86" s="477"/>
      <c r="D86" s="477"/>
      <c r="E86" s="477"/>
      <c r="F86" s="477"/>
      <c r="G86" s="462"/>
      <c r="H86" s="462"/>
      <c r="I86" s="462"/>
      <c r="J86" s="462"/>
      <c r="K86" s="462"/>
      <c r="L86" s="477" t="s">
        <v>2392</v>
      </c>
      <c r="M86" s="477"/>
      <c r="N86" s="477"/>
      <c r="O86" s="477"/>
      <c r="P86" s="477"/>
      <c r="Q86" s="477"/>
    </row>
    <row r="87" spans="1:17" ht="12" customHeight="1" x14ac:dyDescent="0.2">
      <c r="B87" s="487" t="s">
        <v>2376</v>
      </c>
      <c r="E87" s="487" t="s">
        <v>2376</v>
      </c>
      <c r="M87" s="487" t="s">
        <v>2376</v>
      </c>
      <c r="P87" s="487" t="s">
        <v>2376</v>
      </c>
    </row>
    <row r="88" spans="1:17" ht="12" customHeight="1" x14ac:dyDescent="0.2">
      <c r="B88" s="487"/>
      <c r="E88" s="487"/>
      <c r="M88" s="487"/>
      <c r="P88" s="487"/>
    </row>
    <row r="89" spans="1:17" ht="12" customHeight="1" x14ac:dyDescent="0.2">
      <c r="B89" s="487"/>
      <c r="E89" s="487"/>
      <c r="M89" s="487"/>
      <c r="P89" s="487"/>
    </row>
    <row r="90" spans="1:17" ht="12" customHeight="1" x14ac:dyDescent="0.2">
      <c r="B90" s="487"/>
      <c r="E90" s="487"/>
      <c r="M90" s="487"/>
      <c r="P90" s="487"/>
    </row>
    <row r="91" spans="1:17" ht="12" customHeight="1" x14ac:dyDescent="0.2">
      <c r="B91" s="488"/>
      <c r="C91" s="1" t="s">
        <v>2377</v>
      </c>
      <c r="D91" s="1" t="s">
        <v>2377</v>
      </c>
      <c r="E91" s="488"/>
      <c r="M91" s="488"/>
      <c r="N91" s="1" t="s">
        <v>2377</v>
      </c>
      <c r="O91" s="1" t="s">
        <v>2377</v>
      </c>
      <c r="P91" s="488"/>
    </row>
    <row r="92" spans="1:17" s="436" customFormat="1" ht="12" customHeight="1" x14ac:dyDescent="0.2">
      <c r="A92" s="483" t="s">
        <v>2378</v>
      </c>
      <c r="B92" s="440" t="s">
        <v>2387</v>
      </c>
      <c r="C92" s="440">
        <v>1</v>
      </c>
      <c r="D92" s="440">
        <v>2</v>
      </c>
      <c r="E92" s="441" t="s">
        <v>2388</v>
      </c>
      <c r="F92" s="483" t="s">
        <v>2379</v>
      </c>
      <c r="H92" s="436" t="s">
        <v>2390</v>
      </c>
      <c r="L92" s="483" t="s">
        <v>2417</v>
      </c>
      <c r="M92" s="440"/>
      <c r="N92" s="440">
        <v>1</v>
      </c>
      <c r="O92" s="440">
        <v>2</v>
      </c>
      <c r="P92" s="441"/>
      <c r="Q92" s="483" t="s">
        <v>2418</v>
      </c>
    </row>
    <row r="93" spans="1:17" s="436" customFormat="1" ht="12" customHeight="1" x14ac:dyDescent="0.2">
      <c r="A93" s="484"/>
      <c r="B93" s="440" t="s">
        <v>2387</v>
      </c>
      <c r="C93" s="440">
        <v>3</v>
      </c>
      <c r="D93" s="440">
        <v>4</v>
      </c>
      <c r="E93" s="441" t="s">
        <v>2388</v>
      </c>
      <c r="F93" s="484"/>
      <c r="H93" s="436" t="s">
        <v>2391</v>
      </c>
      <c r="L93" s="484"/>
      <c r="M93" s="440"/>
      <c r="N93" s="440">
        <v>3</v>
      </c>
      <c r="O93" s="440">
        <v>4</v>
      </c>
      <c r="P93" s="441"/>
      <c r="Q93" s="484"/>
    </row>
    <row r="94" spans="1:17" s="436" customFormat="1" ht="12" customHeight="1" x14ac:dyDescent="0.2">
      <c r="A94" s="484"/>
      <c r="B94" s="440" t="s">
        <v>2387</v>
      </c>
      <c r="C94" s="440">
        <v>5</v>
      </c>
      <c r="D94" s="440">
        <v>6</v>
      </c>
      <c r="E94" s="441" t="s">
        <v>2388</v>
      </c>
      <c r="F94" s="484"/>
      <c r="H94" s="436" t="s">
        <v>2389</v>
      </c>
      <c r="L94" s="484"/>
      <c r="M94" s="440"/>
      <c r="N94" s="440">
        <v>5</v>
      </c>
      <c r="O94" s="440">
        <v>6</v>
      </c>
      <c r="P94" s="441"/>
      <c r="Q94" s="484"/>
    </row>
    <row r="95" spans="1:17" s="436" customFormat="1" ht="12" customHeight="1" x14ac:dyDescent="0.2">
      <c r="A95" s="484"/>
      <c r="B95" s="440">
        <v>1</v>
      </c>
      <c r="C95" s="440">
        <v>7</v>
      </c>
      <c r="D95" s="440">
        <v>8</v>
      </c>
      <c r="E95" s="441">
        <v>1</v>
      </c>
      <c r="F95" s="484"/>
      <c r="H95" s="436" t="s">
        <v>2396</v>
      </c>
      <c r="L95" s="484"/>
      <c r="M95" s="440">
        <v>1</v>
      </c>
      <c r="N95" s="440">
        <v>7</v>
      </c>
      <c r="O95" s="440">
        <v>8</v>
      </c>
      <c r="P95" s="441">
        <v>1</v>
      </c>
      <c r="Q95" s="484"/>
    </row>
    <row r="96" spans="1:17" s="436" customFormat="1" ht="12" customHeight="1" x14ac:dyDescent="0.2">
      <c r="A96" s="484"/>
      <c r="B96" s="440">
        <v>2</v>
      </c>
      <c r="C96" s="440">
        <v>9</v>
      </c>
      <c r="D96" s="440">
        <v>10</v>
      </c>
      <c r="E96" s="441">
        <v>2</v>
      </c>
      <c r="F96" s="484"/>
      <c r="L96" s="484"/>
      <c r="M96" s="440">
        <v>2</v>
      </c>
      <c r="N96" s="440">
        <v>9</v>
      </c>
      <c r="O96" s="440">
        <v>10</v>
      </c>
      <c r="P96" s="441">
        <v>2</v>
      </c>
      <c r="Q96" s="484"/>
    </row>
    <row r="97" spans="1:18" s="436" customFormat="1" ht="12" customHeight="1" x14ac:dyDescent="0.2">
      <c r="A97" s="484"/>
      <c r="B97" s="440">
        <v>3</v>
      </c>
      <c r="C97" s="440">
        <v>11</v>
      </c>
      <c r="D97" s="440">
        <v>12</v>
      </c>
      <c r="E97" s="441">
        <v>3</v>
      </c>
      <c r="F97" s="484"/>
      <c r="L97" s="484"/>
      <c r="M97" s="440">
        <v>3</v>
      </c>
      <c r="N97" s="440">
        <v>11</v>
      </c>
      <c r="O97" s="440">
        <v>12</v>
      </c>
      <c r="P97" s="441">
        <v>3</v>
      </c>
      <c r="Q97" s="484"/>
    </row>
    <row r="98" spans="1:18" s="436" customFormat="1" ht="12" customHeight="1" x14ac:dyDescent="0.2">
      <c r="A98" s="484"/>
      <c r="B98" s="440">
        <v>4</v>
      </c>
      <c r="C98" s="440">
        <v>13</v>
      </c>
      <c r="D98" s="440">
        <v>14</v>
      </c>
      <c r="E98" s="441">
        <v>4</v>
      </c>
      <c r="F98" s="484"/>
      <c r="L98" s="484"/>
      <c r="M98" s="440">
        <v>4</v>
      </c>
      <c r="N98" s="440">
        <v>13</v>
      </c>
      <c r="O98" s="440">
        <v>14</v>
      </c>
      <c r="P98" s="441">
        <v>4</v>
      </c>
      <c r="Q98" s="484"/>
    </row>
    <row r="99" spans="1:18" s="436" customFormat="1" ht="12" customHeight="1" x14ac:dyDescent="0.2">
      <c r="A99" s="484"/>
      <c r="B99" s="440">
        <v>5</v>
      </c>
      <c r="C99" s="440">
        <v>15</v>
      </c>
      <c r="D99" s="440">
        <v>16</v>
      </c>
      <c r="E99" s="441">
        <v>5</v>
      </c>
      <c r="F99" s="484"/>
      <c r="L99" s="484"/>
      <c r="M99" s="440">
        <v>5</v>
      </c>
      <c r="N99" s="440">
        <v>15</v>
      </c>
      <c r="O99" s="440">
        <v>16</v>
      </c>
      <c r="P99" s="441">
        <v>5</v>
      </c>
      <c r="Q99" s="484"/>
    </row>
    <row r="100" spans="1:18" s="436" customFormat="1" ht="12" customHeight="1" x14ac:dyDescent="0.2">
      <c r="A100" s="484"/>
      <c r="B100" s="440">
        <v>6</v>
      </c>
      <c r="C100" s="440">
        <v>17</v>
      </c>
      <c r="D100" s="440">
        <v>18</v>
      </c>
      <c r="E100" s="441">
        <v>6</v>
      </c>
      <c r="F100" s="484"/>
      <c r="L100" s="484"/>
      <c r="M100" s="440">
        <v>6</v>
      </c>
      <c r="N100" s="440">
        <v>17</v>
      </c>
      <c r="O100" s="440">
        <v>18</v>
      </c>
      <c r="P100" s="441">
        <v>6</v>
      </c>
      <c r="Q100" s="484"/>
    </row>
    <row r="101" spans="1:18" s="436" customFormat="1" ht="12" customHeight="1" x14ac:dyDescent="0.2">
      <c r="A101" s="484"/>
      <c r="B101" s="440">
        <v>7</v>
      </c>
      <c r="C101" s="440">
        <v>19</v>
      </c>
      <c r="D101" s="440">
        <v>20</v>
      </c>
      <c r="E101" s="441">
        <v>7</v>
      </c>
      <c r="F101" s="484"/>
      <c r="L101" s="484"/>
      <c r="M101" s="440">
        <v>7</v>
      </c>
      <c r="N101" s="440">
        <v>19</v>
      </c>
      <c r="O101" s="440">
        <v>20</v>
      </c>
      <c r="P101" s="441">
        <v>7</v>
      </c>
      <c r="Q101" s="484"/>
    </row>
    <row r="102" spans="1:18" s="436" customFormat="1" ht="12" customHeight="1" x14ac:dyDescent="0.2">
      <c r="A102" s="484"/>
      <c r="B102" s="440">
        <v>8</v>
      </c>
      <c r="C102" s="440">
        <v>21</v>
      </c>
      <c r="D102" s="440">
        <v>22</v>
      </c>
      <c r="E102" s="441">
        <v>8</v>
      </c>
      <c r="F102" s="484"/>
      <c r="K102" s="442"/>
      <c r="L102" s="484"/>
      <c r="M102" s="440">
        <v>8</v>
      </c>
      <c r="N102" s="440">
        <v>21</v>
      </c>
      <c r="O102" s="440">
        <v>22</v>
      </c>
      <c r="P102" s="441">
        <v>8</v>
      </c>
      <c r="Q102" s="484"/>
    </row>
    <row r="103" spans="1:18" s="436" customFormat="1" ht="12" customHeight="1" x14ac:dyDescent="0.2">
      <c r="A103" s="484"/>
      <c r="B103" s="440">
        <v>9</v>
      </c>
      <c r="C103" s="440">
        <v>23</v>
      </c>
      <c r="D103" s="440">
        <v>24</v>
      </c>
      <c r="E103" s="441">
        <v>9</v>
      </c>
      <c r="F103" s="484"/>
      <c r="L103" s="484"/>
      <c r="M103" s="440">
        <v>9</v>
      </c>
      <c r="N103" s="440">
        <v>23</v>
      </c>
      <c r="O103" s="440">
        <v>24</v>
      </c>
      <c r="P103" s="441">
        <v>9</v>
      </c>
      <c r="Q103" s="484"/>
    </row>
    <row r="104" spans="1:18" s="436" customFormat="1" ht="12" customHeight="1" x14ac:dyDescent="0.2">
      <c r="A104" s="484"/>
      <c r="B104" s="440">
        <v>10</v>
      </c>
      <c r="C104" s="440">
        <v>25</v>
      </c>
      <c r="D104" s="440">
        <v>26</v>
      </c>
      <c r="E104" s="441">
        <v>10</v>
      </c>
      <c r="F104" s="484"/>
      <c r="L104" s="484"/>
      <c r="M104" s="440">
        <v>10</v>
      </c>
      <c r="N104" s="440">
        <v>25</v>
      </c>
      <c r="O104" s="440">
        <v>26</v>
      </c>
      <c r="P104" s="441">
        <v>10</v>
      </c>
      <c r="Q104" s="484"/>
    </row>
    <row r="105" spans="1:18" s="436" customFormat="1" ht="12" customHeight="1" x14ac:dyDescent="0.2">
      <c r="A105" s="484"/>
      <c r="B105" s="440">
        <v>11</v>
      </c>
      <c r="C105" s="440">
        <v>27</v>
      </c>
      <c r="D105" s="440">
        <v>28</v>
      </c>
      <c r="E105" s="441">
        <v>11</v>
      </c>
      <c r="F105" s="484"/>
      <c r="L105" s="484"/>
      <c r="M105" s="440">
        <v>11</v>
      </c>
      <c r="N105" s="440">
        <v>27</v>
      </c>
      <c r="O105" s="440">
        <v>28</v>
      </c>
      <c r="P105" s="441">
        <v>11</v>
      </c>
      <c r="Q105" s="484"/>
    </row>
    <row r="106" spans="1:18" s="436" customFormat="1" ht="12" customHeight="1" x14ac:dyDescent="0.2">
      <c r="A106" s="485"/>
      <c r="B106" s="440">
        <v>12</v>
      </c>
      <c r="C106" s="440">
        <v>29</v>
      </c>
      <c r="D106" s="440">
        <v>30</v>
      </c>
      <c r="E106" s="441">
        <v>12</v>
      </c>
      <c r="F106" s="485"/>
      <c r="L106" s="485"/>
      <c r="M106" s="440">
        <v>12</v>
      </c>
      <c r="N106" s="440">
        <v>29</v>
      </c>
      <c r="O106" s="440">
        <v>30</v>
      </c>
      <c r="P106" s="441">
        <v>12</v>
      </c>
      <c r="Q106" s="485"/>
    </row>
    <row r="107" spans="1:18" s="436" customFormat="1" ht="12" customHeight="1" x14ac:dyDescent="0.2">
      <c r="A107" s="486" t="s">
        <v>2380</v>
      </c>
      <c r="B107" s="440">
        <v>12</v>
      </c>
      <c r="C107" s="440">
        <v>31</v>
      </c>
      <c r="D107" s="440">
        <v>32</v>
      </c>
      <c r="E107" s="440">
        <v>12</v>
      </c>
      <c r="F107" s="480" t="s">
        <v>2381</v>
      </c>
      <c r="L107" s="486" t="s">
        <v>2420</v>
      </c>
      <c r="M107" s="440">
        <v>12</v>
      </c>
      <c r="N107" s="440">
        <v>31</v>
      </c>
      <c r="O107" s="440">
        <v>32</v>
      </c>
      <c r="P107" s="440">
        <v>12</v>
      </c>
      <c r="Q107" s="480" t="s">
        <v>2419</v>
      </c>
    </row>
    <row r="108" spans="1:18" s="436" customFormat="1" ht="12" customHeight="1" x14ac:dyDescent="0.2">
      <c r="A108" s="481"/>
      <c r="B108" s="440">
        <v>11</v>
      </c>
      <c r="C108" s="440">
        <v>33</v>
      </c>
      <c r="D108" s="440">
        <v>34</v>
      </c>
      <c r="E108" s="440">
        <v>11</v>
      </c>
      <c r="F108" s="481"/>
      <c r="L108" s="481"/>
      <c r="M108" s="440">
        <v>11</v>
      </c>
      <c r="N108" s="440">
        <v>33</v>
      </c>
      <c r="O108" s="440">
        <v>34</v>
      </c>
      <c r="P108" s="440">
        <v>11</v>
      </c>
      <c r="Q108" s="481"/>
    </row>
    <row r="109" spans="1:18" s="436" customFormat="1" ht="12" customHeight="1" x14ac:dyDescent="0.2">
      <c r="A109" s="481"/>
      <c r="B109" s="440">
        <v>10</v>
      </c>
      <c r="C109" s="440">
        <v>35</v>
      </c>
      <c r="D109" s="440">
        <v>36</v>
      </c>
      <c r="E109" s="440">
        <v>10</v>
      </c>
      <c r="F109" s="481"/>
      <c r="G109" s="439" t="s">
        <v>2384</v>
      </c>
      <c r="L109" s="481"/>
      <c r="M109" s="440">
        <v>10</v>
      </c>
      <c r="N109" s="440">
        <v>35</v>
      </c>
      <c r="O109" s="440">
        <v>36</v>
      </c>
      <c r="P109" s="440">
        <v>10</v>
      </c>
      <c r="Q109" s="481"/>
      <c r="R109" s="439" t="s">
        <v>2384</v>
      </c>
    </row>
    <row r="110" spans="1:18" s="436" customFormat="1" ht="12" customHeight="1" x14ac:dyDescent="0.2">
      <c r="A110" s="481"/>
      <c r="B110" s="440">
        <v>9</v>
      </c>
      <c r="C110" s="440">
        <v>37</v>
      </c>
      <c r="D110" s="440">
        <v>38</v>
      </c>
      <c r="E110" s="440">
        <v>9</v>
      </c>
      <c r="F110" s="481"/>
      <c r="G110" s="436" t="s">
        <v>2385</v>
      </c>
      <c r="L110" s="481"/>
      <c r="M110" s="440">
        <v>9</v>
      </c>
      <c r="N110" s="440">
        <v>37</v>
      </c>
      <c r="O110" s="440">
        <v>38</v>
      </c>
      <c r="P110" s="440">
        <v>9</v>
      </c>
      <c r="Q110" s="481"/>
      <c r="R110" s="436" t="s">
        <v>2385</v>
      </c>
    </row>
    <row r="111" spans="1:18" s="436" customFormat="1" ht="12" customHeight="1" x14ac:dyDescent="0.2">
      <c r="A111" s="481"/>
      <c r="B111" s="440">
        <v>8</v>
      </c>
      <c r="C111" s="440">
        <v>39</v>
      </c>
      <c r="D111" s="440">
        <v>40</v>
      </c>
      <c r="E111" s="440">
        <v>8</v>
      </c>
      <c r="F111" s="481"/>
      <c r="G111" s="436" t="s">
        <v>2383</v>
      </c>
      <c r="L111" s="481"/>
      <c r="M111" s="440">
        <v>8</v>
      </c>
      <c r="N111" s="440">
        <v>39</v>
      </c>
      <c r="O111" s="440">
        <v>40</v>
      </c>
      <c r="P111" s="440">
        <v>8</v>
      </c>
      <c r="Q111" s="481"/>
      <c r="R111" s="436" t="s">
        <v>2428</v>
      </c>
    </row>
    <row r="112" spans="1:18" s="436" customFormat="1" ht="12" customHeight="1" x14ac:dyDescent="0.2">
      <c r="A112" s="481"/>
      <c r="B112" s="440">
        <v>7</v>
      </c>
      <c r="C112" s="440">
        <v>41</v>
      </c>
      <c r="D112" s="440">
        <v>42</v>
      </c>
      <c r="E112" s="440">
        <v>7</v>
      </c>
      <c r="F112" s="481"/>
      <c r="G112" s="436" t="s">
        <v>2430</v>
      </c>
      <c r="L112" s="481"/>
      <c r="M112" s="440">
        <v>7</v>
      </c>
      <c r="N112" s="440">
        <v>41</v>
      </c>
      <c r="O112" s="440">
        <v>42</v>
      </c>
      <c r="P112" s="440">
        <v>7</v>
      </c>
      <c r="Q112" s="481"/>
      <c r="R112" s="436" t="s">
        <v>2430</v>
      </c>
    </row>
    <row r="113" spans="1:21" s="436" customFormat="1" ht="12" customHeight="1" x14ac:dyDescent="0.2">
      <c r="A113" s="481"/>
      <c r="B113" s="440">
        <v>6</v>
      </c>
      <c r="C113" s="440">
        <v>43</v>
      </c>
      <c r="D113" s="440">
        <v>44</v>
      </c>
      <c r="E113" s="440">
        <v>6</v>
      </c>
      <c r="F113" s="481"/>
      <c r="G113" s="478" t="s">
        <v>2386</v>
      </c>
      <c r="H113" s="479"/>
      <c r="I113" s="479"/>
      <c r="J113" s="479"/>
      <c r="L113" s="481"/>
      <c r="M113" s="440">
        <v>6</v>
      </c>
      <c r="N113" s="440">
        <v>43</v>
      </c>
      <c r="O113" s="440">
        <v>44</v>
      </c>
      <c r="P113" s="440">
        <v>6</v>
      </c>
      <c r="Q113" s="481"/>
      <c r="R113" s="478" t="s">
        <v>2429</v>
      </c>
      <c r="S113" s="479"/>
      <c r="T113" s="479"/>
      <c r="U113" s="479"/>
    </row>
    <row r="114" spans="1:21" s="436" customFormat="1" ht="12" customHeight="1" x14ac:dyDescent="0.2">
      <c r="A114" s="481"/>
      <c r="B114" s="440">
        <v>5</v>
      </c>
      <c r="C114" s="440">
        <v>45</v>
      </c>
      <c r="D114" s="440">
        <v>46</v>
      </c>
      <c r="E114" s="440">
        <v>5</v>
      </c>
      <c r="F114" s="481"/>
      <c r="G114" s="478"/>
      <c r="H114" s="479"/>
      <c r="I114" s="479"/>
      <c r="J114" s="479"/>
      <c r="L114" s="481"/>
      <c r="M114" s="440">
        <v>5</v>
      </c>
      <c r="N114" s="440">
        <v>45</v>
      </c>
      <c r="O114" s="440">
        <v>46</v>
      </c>
      <c r="P114" s="440">
        <v>5</v>
      </c>
      <c r="Q114" s="481"/>
      <c r="R114" s="478"/>
      <c r="S114" s="479"/>
      <c r="T114" s="479"/>
      <c r="U114" s="479"/>
    </row>
    <row r="115" spans="1:21" s="436" customFormat="1" ht="12" customHeight="1" x14ac:dyDescent="0.2">
      <c r="A115" s="481"/>
      <c r="B115" s="440">
        <v>4</v>
      </c>
      <c r="C115" s="440">
        <v>47</v>
      </c>
      <c r="D115" s="440">
        <v>48</v>
      </c>
      <c r="E115" s="440">
        <v>4</v>
      </c>
      <c r="F115" s="481"/>
      <c r="L115" s="481"/>
      <c r="M115" s="440">
        <v>4</v>
      </c>
      <c r="N115" s="440">
        <v>47</v>
      </c>
      <c r="O115" s="440">
        <v>48</v>
      </c>
      <c r="P115" s="440">
        <v>4</v>
      </c>
      <c r="Q115" s="481"/>
    </row>
    <row r="116" spans="1:21" s="436" customFormat="1" ht="12" customHeight="1" x14ac:dyDescent="0.2">
      <c r="A116" s="481"/>
      <c r="B116" s="440">
        <v>3</v>
      </c>
      <c r="C116" s="443">
        <v>49</v>
      </c>
      <c r="D116" s="443">
        <v>50</v>
      </c>
      <c r="E116" s="440">
        <v>3</v>
      </c>
      <c r="F116" s="481"/>
      <c r="L116" s="481"/>
      <c r="M116" s="440">
        <v>3</v>
      </c>
      <c r="N116" s="443">
        <v>49</v>
      </c>
      <c r="O116" s="443">
        <v>50</v>
      </c>
      <c r="P116" s="440">
        <v>3</v>
      </c>
      <c r="Q116" s="481"/>
    </row>
    <row r="117" spans="1:21" s="436" customFormat="1" ht="12" customHeight="1" x14ac:dyDescent="0.2">
      <c r="A117" s="481"/>
      <c r="B117" s="440">
        <v>2</v>
      </c>
      <c r="C117" s="443">
        <v>51</v>
      </c>
      <c r="D117" s="443">
        <v>52</v>
      </c>
      <c r="E117" s="440">
        <v>2</v>
      </c>
      <c r="F117" s="481"/>
      <c r="L117" s="481"/>
      <c r="M117" s="440">
        <v>2</v>
      </c>
      <c r="N117" s="443">
        <v>51</v>
      </c>
      <c r="O117" s="443">
        <v>52</v>
      </c>
      <c r="P117" s="440">
        <v>2</v>
      </c>
      <c r="Q117" s="481"/>
    </row>
    <row r="118" spans="1:21" s="436" customFormat="1" ht="12" customHeight="1" x14ac:dyDescent="0.2">
      <c r="A118" s="481"/>
      <c r="B118" s="440">
        <v>1</v>
      </c>
      <c r="C118" s="443">
        <v>53</v>
      </c>
      <c r="D118" s="443">
        <v>54</v>
      </c>
      <c r="E118" s="440">
        <v>1</v>
      </c>
      <c r="F118" s="481"/>
      <c r="L118" s="481"/>
      <c r="M118" s="440">
        <v>1</v>
      </c>
      <c r="N118" s="443">
        <v>53</v>
      </c>
      <c r="O118" s="443">
        <v>54</v>
      </c>
      <c r="P118" s="440">
        <v>1</v>
      </c>
      <c r="Q118" s="481"/>
    </row>
    <row r="119" spans="1:21" s="436" customFormat="1" ht="12" customHeight="1" x14ac:dyDescent="0.2">
      <c r="A119" s="481"/>
      <c r="B119" s="440"/>
      <c r="C119" s="489" t="s">
        <v>2394</v>
      </c>
      <c r="D119" s="490"/>
      <c r="E119" s="440" t="s">
        <v>1181</v>
      </c>
      <c r="F119" s="481"/>
      <c r="L119" s="481"/>
      <c r="M119" s="440"/>
      <c r="N119" s="489" t="s">
        <v>2394</v>
      </c>
      <c r="O119" s="490"/>
      <c r="P119" s="440" t="s">
        <v>1181</v>
      </c>
      <c r="Q119" s="481"/>
    </row>
    <row r="120" spans="1:21" s="436" customFormat="1" ht="12" customHeight="1" x14ac:dyDescent="0.2">
      <c r="A120" s="481"/>
      <c r="B120" s="440"/>
      <c r="C120" s="491"/>
      <c r="D120" s="492"/>
      <c r="E120" s="440" t="s">
        <v>1181</v>
      </c>
      <c r="F120" s="481"/>
      <c r="L120" s="481"/>
      <c r="M120" s="440"/>
      <c r="N120" s="491"/>
      <c r="O120" s="492"/>
      <c r="P120" s="440" t="s">
        <v>1181</v>
      </c>
      <c r="Q120" s="481"/>
    </row>
    <row r="121" spans="1:21" s="436" customFormat="1" ht="12" customHeight="1" x14ac:dyDescent="0.2">
      <c r="A121" s="482"/>
      <c r="B121" s="440"/>
      <c r="C121" s="491"/>
      <c r="D121" s="492"/>
      <c r="E121" s="440" t="s">
        <v>1181</v>
      </c>
      <c r="F121" s="482"/>
      <c r="L121" s="482"/>
      <c r="M121" s="440"/>
      <c r="N121" s="491"/>
      <c r="O121" s="492"/>
      <c r="P121" s="440" t="s">
        <v>1181</v>
      </c>
      <c r="Q121" s="482"/>
    </row>
    <row r="122" spans="1:21" s="436" customFormat="1" ht="12" customHeight="1" x14ac:dyDescent="0.2">
      <c r="A122" s="444"/>
      <c r="B122" s="440"/>
      <c r="C122" s="491"/>
      <c r="D122" s="492"/>
      <c r="E122" s="440"/>
      <c r="F122" s="445"/>
      <c r="L122" s="444"/>
      <c r="M122" s="440"/>
      <c r="N122" s="491"/>
      <c r="O122" s="492"/>
      <c r="P122" s="440"/>
      <c r="Q122" s="445"/>
    </row>
    <row r="123" spans="1:21" s="436" customFormat="1" ht="12" customHeight="1" x14ac:dyDescent="0.2">
      <c r="A123" s="446"/>
      <c r="B123" s="440"/>
      <c r="C123" s="491"/>
      <c r="D123" s="492"/>
      <c r="E123" s="440"/>
      <c r="F123" s="447"/>
      <c r="L123" s="446"/>
      <c r="M123" s="440"/>
      <c r="N123" s="491"/>
      <c r="O123" s="492"/>
      <c r="P123" s="440"/>
      <c r="Q123" s="447"/>
    </row>
    <row r="124" spans="1:21" s="436" customFormat="1" ht="12" customHeight="1" x14ac:dyDescent="0.2">
      <c r="A124" s="446"/>
      <c r="B124" s="440"/>
      <c r="C124" s="493"/>
      <c r="D124" s="494"/>
      <c r="E124" s="440"/>
      <c r="F124" s="447"/>
      <c r="L124" s="446"/>
      <c r="M124" s="440"/>
      <c r="N124" s="493"/>
      <c r="O124" s="494"/>
      <c r="P124" s="440"/>
      <c r="Q124" s="447"/>
    </row>
    <row r="125" spans="1:21" s="436" customFormat="1" ht="12" customHeight="1" x14ac:dyDescent="0.2">
      <c r="A125" s="446"/>
      <c r="B125" s="440" t="s">
        <v>2395</v>
      </c>
      <c r="C125" s="443">
        <v>55</v>
      </c>
      <c r="D125" s="448">
        <v>56</v>
      </c>
      <c r="E125" s="440" t="s">
        <v>2395</v>
      </c>
      <c r="F125" s="449"/>
      <c r="L125" s="446"/>
      <c r="M125" s="440" t="s">
        <v>2395</v>
      </c>
      <c r="N125" s="443">
        <v>55</v>
      </c>
      <c r="O125" s="448">
        <v>56</v>
      </c>
      <c r="P125" s="440" t="s">
        <v>2395</v>
      </c>
      <c r="Q125" s="449"/>
    </row>
    <row r="126" spans="1:21" s="436" customFormat="1" ht="12" customHeight="1" x14ac:dyDescent="0.2">
      <c r="A126" s="446"/>
      <c r="B126" s="440" t="s">
        <v>2395</v>
      </c>
      <c r="C126" s="443">
        <v>57</v>
      </c>
      <c r="D126" s="448">
        <v>58</v>
      </c>
      <c r="E126" s="440" t="s">
        <v>2395</v>
      </c>
      <c r="F126" s="449"/>
      <c r="L126" s="446"/>
      <c r="M126" s="440" t="s">
        <v>2395</v>
      </c>
      <c r="N126" s="443">
        <v>57</v>
      </c>
      <c r="O126" s="448">
        <v>58</v>
      </c>
      <c r="P126" s="440" t="s">
        <v>2395</v>
      </c>
      <c r="Q126" s="449"/>
    </row>
    <row r="127" spans="1:21" s="436" customFormat="1" ht="12" customHeight="1" x14ac:dyDescent="0.2">
      <c r="A127" s="446"/>
      <c r="B127" s="440" t="s">
        <v>2395</v>
      </c>
      <c r="C127" s="443">
        <v>59</v>
      </c>
      <c r="D127" s="448">
        <v>60</v>
      </c>
      <c r="E127" s="440" t="s">
        <v>2395</v>
      </c>
      <c r="F127" s="449"/>
      <c r="L127" s="446"/>
      <c r="M127" s="440" t="s">
        <v>2395</v>
      </c>
      <c r="N127" s="443">
        <v>59</v>
      </c>
      <c r="O127" s="448">
        <v>60</v>
      </c>
      <c r="P127" s="440" t="s">
        <v>2395</v>
      </c>
      <c r="Q127" s="449"/>
    </row>
    <row r="128" spans="1:21" s="436" customFormat="1" ht="12" customHeight="1" x14ac:dyDescent="0.2">
      <c r="A128" s="446"/>
      <c r="B128" s="440" t="s">
        <v>2395</v>
      </c>
      <c r="C128" s="443">
        <v>61</v>
      </c>
      <c r="D128" s="448">
        <v>62</v>
      </c>
      <c r="E128" s="440" t="s">
        <v>2395</v>
      </c>
      <c r="F128" s="449"/>
      <c r="L128" s="446"/>
      <c r="M128" s="440" t="s">
        <v>2395</v>
      </c>
      <c r="N128" s="443">
        <v>61</v>
      </c>
      <c r="O128" s="448">
        <v>62</v>
      </c>
      <c r="P128" s="440" t="s">
        <v>2395</v>
      </c>
      <c r="Q128" s="449"/>
    </row>
    <row r="129" spans="1:17" s="436" customFormat="1" ht="12" customHeight="1" x14ac:dyDescent="0.2">
      <c r="A129" s="446"/>
      <c r="B129" s="440" t="s">
        <v>2395</v>
      </c>
      <c r="C129" s="443">
        <v>63</v>
      </c>
      <c r="D129" s="448">
        <v>64</v>
      </c>
      <c r="E129" s="440" t="s">
        <v>2395</v>
      </c>
      <c r="F129" s="449"/>
      <c r="L129" s="446"/>
      <c r="M129" s="440" t="s">
        <v>2395</v>
      </c>
      <c r="N129" s="443">
        <v>63</v>
      </c>
      <c r="O129" s="448">
        <v>64</v>
      </c>
      <c r="P129" s="440" t="s">
        <v>2395</v>
      </c>
      <c r="Q129" s="449"/>
    </row>
    <row r="130" spans="1:17" s="436" customFormat="1" ht="12" customHeight="1" x14ac:dyDescent="0.2">
      <c r="A130" s="446"/>
      <c r="B130" s="440" t="s">
        <v>2395</v>
      </c>
      <c r="C130" s="443">
        <v>65</v>
      </c>
      <c r="D130" s="448">
        <v>66</v>
      </c>
      <c r="E130" s="440" t="s">
        <v>2395</v>
      </c>
      <c r="F130" s="449"/>
      <c r="L130" s="446"/>
      <c r="M130" s="440" t="s">
        <v>2395</v>
      </c>
      <c r="N130" s="443">
        <v>65</v>
      </c>
      <c r="O130" s="448">
        <v>66</v>
      </c>
      <c r="P130" s="440" t="s">
        <v>2395</v>
      </c>
      <c r="Q130" s="449"/>
    </row>
    <row r="131" spans="1:17" s="436" customFormat="1" ht="12" x14ac:dyDescent="0.2"/>
    <row r="132" spans="1:17" s="436" customFormat="1" ht="12" x14ac:dyDescent="0.2"/>
    <row r="134" spans="1:17" x14ac:dyDescent="0.2">
      <c r="A134" s="476" t="s">
        <v>2398</v>
      </c>
      <c r="B134" s="476"/>
      <c r="C134" s="476"/>
      <c r="D134" s="476"/>
      <c r="E134" s="476"/>
      <c r="F134" s="476"/>
      <c r="L134" s="476" t="s">
        <v>2427</v>
      </c>
      <c r="M134" s="476"/>
      <c r="N134" s="476"/>
      <c r="O134" s="476"/>
      <c r="P134" s="476"/>
      <c r="Q134" s="476"/>
    </row>
    <row r="135" spans="1:17" x14ac:dyDescent="0.2">
      <c r="A135" s="477" t="s">
        <v>2392</v>
      </c>
      <c r="B135" s="477"/>
      <c r="C135" s="477"/>
      <c r="D135" s="477"/>
      <c r="E135" s="477"/>
      <c r="F135" s="477"/>
      <c r="G135" s="462"/>
      <c r="H135" s="462"/>
      <c r="I135" s="462"/>
      <c r="J135" s="462"/>
      <c r="K135" s="462"/>
      <c r="L135" s="477" t="s">
        <v>2392</v>
      </c>
      <c r="M135" s="477"/>
      <c r="N135" s="477"/>
      <c r="O135" s="477"/>
      <c r="P135" s="477"/>
      <c r="Q135" s="477"/>
    </row>
    <row r="136" spans="1:17" ht="12" customHeight="1" x14ac:dyDescent="0.2">
      <c r="A136" s="430"/>
      <c r="B136" s="487" t="s">
        <v>2376</v>
      </c>
      <c r="C136" s="430"/>
      <c r="D136" s="430"/>
      <c r="E136" s="487" t="s">
        <v>2376</v>
      </c>
      <c r="F136" s="430"/>
      <c r="L136" s="430"/>
      <c r="M136" s="487" t="s">
        <v>2376</v>
      </c>
      <c r="N136" s="430"/>
      <c r="O136" s="430"/>
      <c r="P136" s="487" t="s">
        <v>2376</v>
      </c>
      <c r="Q136" s="430"/>
    </row>
    <row r="137" spans="1:17" ht="12" customHeight="1" x14ac:dyDescent="0.2">
      <c r="A137" s="430"/>
      <c r="B137" s="487"/>
      <c r="C137" s="430"/>
      <c r="D137" s="430"/>
      <c r="E137" s="487"/>
      <c r="F137" s="430"/>
      <c r="L137" s="430"/>
      <c r="M137" s="487"/>
      <c r="N137" s="430"/>
      <c r="O137" s="430"/>
      <c r="P137" s="487"/>
      <c r="Q137" s="430"/>
    </row>
    <row r="138" spans="1:17" ht="12" customHeight="1" x14ac:dyDescent="0.2">
      <c r="A138" s="430"/>
      <c r="B138" s="487"/>
      <c r="C138" s="430"/>
      <c r="D138" s="430"/>
      <c r="E138" s="487"/>
      <c r="F138" s="430"/>
      <c r="L138" s="430"/>
      <c r="M138" s="487"/>
      <c r="N138" s="430"/>
      <c r="O138" s="430"/>
      <c r="P138" s="487"/>
      <c r="Q138" s="430"/>
    </row>
    <row r="139" spans="1:17" ht="12" customHeight="1" x14ac:dyDescent="0.2">
      <c r="B139" s="487"/>
      <c r="E139" s="487"/>
      <c r="M139" s="487"/>
      <c r="P139" s="487"/>
    </row>
    <row r="140" spans="1:17" ht="12" customHeight="1" x14ac:dyDescent="0.2">
      <c r="B140" s="488"/>
      <c r="C140" s="1" t="s">
        <v>2377</v>
      </c>
      <c r="D140" s="1" t="s">
        <v>2377</v>
      </c>
      <c r="E140" s="488"/>
      <c r="M140" s="488"/>
      <c r="N140" s="1" t="s">
        <v>2377</v>
      </c>
      <c r="O140" s="1" t="s">
        <v>2377</v>
      </c>
      <c r="P140" s="488"/>
    </row>
    <row r="141" spans="1:17" s="436" customFormat="1" ht="12" customHeight="1" x14ac:dyDescent="0.2">
      <c r="A141" s="450"/>
      <c r="B141" s="440" t="s">
        <v>2395</v>
      </c>
      <c r="C141" s="440">
        <v>1</v>
      </c>
      <c r="D141" s="440">
        <v>2</v>
      </c>
      <c r="E141" s="441" t="s">
        <v>2395</v>
      </c>
      <c r="F141" s="451"/>
      <c r="L141" s="450"/>
      <c r="M141" s="440" t="s">
        <v>2395</v>
      </c>
      <c r="N141" s="440">
        <v>1</v>
      </c>
      <c r="O141" s="440">
        <v>2</v>
      </c>
      <c r="P141" s="441" t="s">
        <v>2395</v>
      </c>
      <c r="Q141" s="451"/>
    </row>
    <row r="142" spans="1:17" s="436" customFormat="1" ht="12" customHeight="1" x14ac:dyDescent="0.2">
      <c r="A142" s="450"/>
      <c r="B142" s="440" t="s">
        <v>2395</v>
      </c>
      <c r="C142" s="440">
        <v>3</v>
      </c>
      <c r="D142" s="440">
        <v>4</v>
      </c>
      <c r="E142" s="441" t="s">
        <v>2395</v>
      </c>
      <c r="F142" s="451"/>
      <c r="L142" s="450"/>
      <c r="M142" s="440" t="s">
        <v>2395</v>
      </c>
      <c r="N142" s="440">
        <v>3</v>
      </c>
      <c r="O142" s="440">
        <v>4</v>
      </c>
      <c r="P142" s="441" t="s">
        <v>2395</v>
      </c>
      <c r="Q142" s="451"/>
    </row>
    <row r="143" spans="1:17" s="436" customFormat="1" ht="12" customHeight="1" x14ac:dyDescent="0.2">
      <c r="A143" s="450"/>
      <c r="B143" s="440" t="s">
        <v>2395</v>
      </c>
      <c r="C143" s="440">
        <v>5</v>
      </c>
      <c r="D143" s="440">
        <v>6</v>
      </c>
      <c r="E143" s="441" t="s">
        <v>2395</v>
      </c>
      <c r="F143" s="451"/>
      <c r="L143" s="450"/>
      <c r="M143" s="440" t="s">
        <v>2395</v>
      </c>
      <c r="N143" s="440">
        <v>5</v>
      </c>
      <c r="O143" s="440">
        <v>6</v>
      </c>
      <c r="P143" s="441" t="s">
        <v>2395</v>
      </c>
      <c r="Q143" s="451"/>
    </row>
    <row r="144" spans="1:17" s="436" customFormat="1" ht="12" customHeight="1" x14ac:dyDescent="0.2">
      <c r="A144" s="450"/>
      <c r="B144" s="440" t="s">
        <v>2395</v>
      </c>
      <c r="C144" s="440">
        <v>7</v>
      </c>
      <c r="D144" s="440">
        <v>8</v>
      </c>
      <c r="E144" s="441" t="s">
        <v>2395</v>
      </c>
      <c r="F144" s="451"/>
      <c r="L144" s="450"/>
      <c r="M144" s="440" t="s">
        <v>2395</v>
      </c>
      <c r="N144" s="440">
        <v>7</v>
      </c>
      <c r="O144" s="440">
        <v>8</v>
      </c>
      <c r="P144" s="441" t="s">
        <v>2395</v>
      </c>
      <c r="Q144" s="451"/>
    </row>
    <row r="145" spans="1:17" s="436" customFormat="1" ht="12" customHeight="1" x14ac:dyDescent="0.2">
      <c r="A145" s="450"/>
      <c r="B145" s="440" t="s">
        <v>2395</v>
      </c>
      <c r="C145" s="440">
        <v>9</v>
      </c>
      <c r="D145" s="440">
        <v>10</v>
      </c>
      <c r="E145" s="441" t="s">
        <v>2395</v>
      </c>
      <c r="F145" s="451"/>
      <c r="L145" s="450"/>
      <c r="M145" s="440" t="s">
        <v>2395</v>
      </c>
      <c r="N145" s="440">
        <v>9</v>
      </c>
      <c r="O145" s="440">
        <v>10</v>
      </c>
      <c r="P145" s="441" t="s">
        <v>2395</v>
      </c>
      <c r="Q145" s="451"/>
    </row>
    <row r="146" spans="1:17" s="436" customFormat="1" ht="12" customHeight="1" x14ac:dyDescent="0.2">
      <c r="A146" s="450"/>
      <c r="B146" s="440" t="s">
        <v>2395</v>
      </c>
      <c r="C146" s="440">
        <v>11</v>
      </c>
      <c r="D146" s="440">
        <v>12</v>
      </c>
      <c r="E146" s="441" t="s">
        <v>2395</v>
      </c>
      <c r="F146" s="451"/>
      <c r="L146" s="450"/>
      <c r="M146" s="440" t="s">
        <v>2395</v>
      </c>
      <c r="N146" s="440">
        <v>11</v>
      </c>
      <c r="O146" s="440">
        <v>12</v>
      </c>
      <c r="P146" s="441" t="s">
        <v>2395</v>
      </c>
      <c r="Q146" s="451"/>
    </row>
    <row r="147" spans="1:17" s="436" customFormat="1" ht="12" customHeight="1" x14ac:dyDescent="0.2">
      <c r="A147" s="450"/>
      <c r="B147" s="440"/>
      <c r="C147" s="489" t="s">
        <v>2394</v>
      </c>
      <c r="D147" s="490"/>
      <c r="E147" s="441"/>
      <c r="F147" s="451"/>
      <c r="L147" s="450"/>
      <c r="M147" s="440"/>
      <c r="N147" s="489" t="s">
        <v>2394</v>
      </c>
      <c r="O147" s="490"/>
      <c r="P147" s="441"/>
      <c r="Q147" s="451"/>
    </row>
    <row r="148" spans="1:17" s="436" customFormat="1" ht="12" customHeight="1" x14ac:dyDescent="0.2">
      <c r="A148" s="450"/>
      <c r="B148" s="440"/>
      <c r="C148" s="491"/>
      <c r="D148" s="492"/>
      <c r="E148" s="441"/>
      <c r="F148" s="451"/>
      <c r="L148" s="450"/>
      <c r="M148" s="440"/>
      <c r="N148" s="491"/>
      <c r="O148" s="492"/>
      <c r="P148" s="441"/>
      <c r="Q148" s="451"/>
    </row>
    <row r="149" spans="1:17" s="436" customFormat="1" ht="12" customHeight="1" x14ac:dyDescent="0.2">
      <c r="A149" s="450"/>
      <c r="B149" s="440"/>
      <c r="C149" s="491"/>
      <c r="D149" s="492"/>
      <c r="E149" s="441"/>
      <c r="F149" s="451"/>
      <c r="L149" s="450"/>
      <c r="M149" s="440"/>
      <c r="N149" s="491"/>
      <c r="O149" s="492"/>
      <c r="P149" s="441"/>
      <c r="Q149" s="451"/>
    </row>
    <row r="150" spans="1:17" s="436" customFormat="1" ht="12" customHeight="1" x14ac:dyDescent="0.2">
      <c r="A150" s="450"/>
      <c r="B150" s="440"/>
      <c r="C150" s="491"/>
      <c r="D150" s="492"/>
      <c r="E150" s="441"/>
      <c r="F150" s="451"/>
      <c r="L150" s="450"/>
      <c r="M150" s="440"/>
      <c r="N150" s="491"/>
      <c r="O150" s="492"/>
      <c r="P150" s="441"/>
      <c r="Q150" s="451"/>
    </row>
    <row r="151" spans="1:17" s="436" customFormat="1" ht="12" customHeight="1" x14ac:dyDescent="0.2">
      <c r="A151" s="450"/>
      <c r="B151" s="440"/>
      <c r="C151" s="491"/>
      <c r="D151" s="492"/>
      <c r="E151" s="441"/>
      <c r="F151" s="451"/>
      <c r="L151" s="450"/>
      <c r="M151" s="440"/>
      <c r="N151" s="491"/>
      <c r="O151" s="492"/>
      <c r="P151" s="441"/>
      <c r="Q151" s="451"/>
    </row>
    <row r="152" spans="1:17" s="436" customFormat="1" ht="12" customHeight="1" x14ac:dyDescent="0.2">
      <c r="A152" s="452"/>
      <c r="B152" s="440"/>
      <c r="C152" s="493"/>
      <c r="D152" s="494"/>
      <c r="E152" s="441"/>
      <c r="F152" s="453"/>
      <c r="L152" s="452"/>
      <c r="M152" s="440"/>
      <c r="N152" s="493"/>
      <c r="O152" s="494"/>
      <c r="P152" s="441"/>
      <c r="Q152" s="453"/>
    </row>
    <row r="153" spans="1:17" s="436" customFormat="1" ht="12" customHeight="1" x14ac:dyDescent="0.2">
      <c r="A153" s="483" t="s">
        <v>2378</v>
      </c>
      <c r="B153" s="440" t="s">
        <v>2387</v>
      </c>
      <c r="C153" s="440">
        <v>13</v>
      </c>
      <c r="D153" s="440">
        <v>14</v>
      </c>
      <c r="E153" s="441" t="s">
        <v>2388</v>
      </c>
      <c r="F153" s="483" t="s">
        <v>2379</v>
      </c>
      <c r="H153" s="436" t="s">
        <v>2390</v>
      </c>
      <c r="L153" s="483" t="s">
        <v>2417</v>
      </c>
      <c r="M153" s="440"/>
      <c r="N153" s="440">
        <v>13</v>
      </c>
      <c r="O153" s="440">
        <v>14</v>
      </c>
      <c r="P153" s="441"/>
      <c r="Q153" s="483" t="s">
        <v>2418</v>
      </c>
    </row>
    <row r="154" spans="1:17" s="436" customFormat="1" ht="12" customHeight="1" x14ac:dyDescent="0.2">
      <c r="A154" s="484"/>
      <c r="B154" s="440" t="s">
        <v>2387</v>
      </c>
      <c r="C154" s="440">
        <v>15</v>
      </c>
      <c r="D154" s="440">
        <v>16</v>
      </c>
      <c r="E154" s="441" t="s">
        <v>2388</v>
      </c>
      <c r="F154" s="484"/>
      <c r="H154" s="436" t="s">
        <v>2391</v>
      </c>
      <c r="L154" s="484"/>
      <c r="M154" s="440"/>
      <c r="N154" s="440">
        <v>15</v>
      </c>
      <c r="O154" s="440">
        <v>16</v>
      </c>
      <c r="P154" s="441"/>
      <c r="Q154" s="484"/>
    </row>
    <row r="155" spans="1:17" s="436" customFormat="1" ht="12" customHeight="1" x14ac:dyDescent="0.2">
      <c r="A155" s="484"/>
      <c r="B155" s="440" t="s">
        <v>2387</v>
      </c>
      <c r="C155" s="440">
        <v>17</v>
      </c>
      <c r="D155" s="440">
        <v>18</v>
      </c>
      <c r="E155" s="441" t="s">
        <v>2388</v>
      </c>
      <c r="F155" s="484"/>
      <c r="H155" s="436" t="s">
        <v>2389</v>
      </c>
      <c r="L155" s="484"/>
      <c r="M155" s="440"/>
      <c r="N155" s="440">
        <v>17</v>
      </c>
      <c r="O155" s="440">
        <v>18</v>
      </c>
      <c r="P155" s="441"/>
      <c r="Q155" s="484"/>
    </row>
    <row r="156" spans="1:17" s="436" customFormat="1" ht="12" customHeight="1" x14ac:dyDescent="0.2">
      <c r="A156" s="484"/>
      <c r="B156" s="440">
        <v>1</v>
      </c>
      <c r="C156" s="440">
        <v>19</v>
      </c>
      <c r="D156" s="440">
        <v>20</v>
      </c>
      <c r="E156" s="441">
        <v>1</v>
      </c>
      <c r="F156" s="484"/>
      <c r="H156" s="436" t="s">
        <v>2396</v>
      </c>
      <c r="L156" s="484"/>
      <c r="M156" s="440">
        <v>1</v>
      </c>
      <c r="N156" s="440">
        <v>19</v>
      </c>
      <c r="O156" s="440">
        <v>20</v>
      </c>
      <c r="P156" s="441">
        <v>1</v>
      </c>
      <c r="Q156" s="484"/>
    </row>
    <row r="157" spans="1:17" s="436" customFormat="1" ht="12" customHeight="1" x14ac:dyDescent="0.2">
      <c r="A157" s="484"/>
      <c r="B157" s="440">
        <v>2</v>
      </c>
      <c r="C157" s="440">
        <v>21</v>
      </c>
      <c r="D157" s="440">
        <v>22</v>
      </c>
      <c r="E157" s="441">
        <v>2</v>
      </c>
      <c r="F157" s="484"/>
      <c r="L157" s="484"/>
      <c r="M157" s="440">
        <v>2</v>
      </c>
      <c r="N157" s="440">
        <v>21</v>
      </c>
      <c r="O157" s="440">
        <v>22</v>
      </c>
      <c r="P157" s="441">
        <v>2</v>
      </c>
      <c r="Q157" s="484"/>
    </row>
    <row r="158" spans="1:17" s="436" customFormat="1" ht="12" customHeight="1" x14ac:dyDescent="0.2">
      <c r="A158" s="484"/>
      <c r="B158" s="440">
        <v>3</v>
      </c>
      <c r="C158" s="440">
        <v>23</v>
      </c>
      <c r="D158" s="440">
        <v>24</v>
      </c>
      <c r="E158" s="441">
        <v>3</v>
      </c>
      <c r="F158" s="484"/>
      <c r="L158" s="484"/>
      <c r="M158" s="440">
        <v>3</v>
      </c>
      <c r="N158" s="440">
        <v>23</v>
      </c>
      <c r="O158" s="440">
        <v>24</v>
      </c>
      <c r="P158" s="441">
        <v>3</v>
      </c>
      <c r="Q158" s="484"/>
    </row>
    <row r="159" spans="1:17" s="436" customFormat="1" ht="12" customHeight="1" x14ac:dyDescent="0.2">
      <c r="A159" s="484"/>
      <c r="B159" s="440">
        <v>4</v>
      </c>
      <c r="C159" s="440">
        <v>25</v>
      </c>
      <c r="D159" s="440">
        <v>26</v>
      </c>
      <c r="E159" s="441">
        <v>4</v>
      </c>
      <c r="F159" s="484"/>
      <c r="L159" s="484"/>
      <c r="M159" s="440">
        <v>4</v>
      </c>
      <c r="N159" s="440">
        <v>25</v>
      </c>
      <c r="O159" s="440">
        <v>26</v>
      </c>
      <c r="P159" s="441">
        <v>4</v>
      </c>
      <c r="Q159" s="484"/>
    </row>
    <row r="160" spans="1:17" s="436" customFormat="1" ht="12" customHeight="1" x14ac:dyDescent="0.2">
      <c r="A160" s="484"/>
      <c r="B160" s="440">
        <v>5</v>
      </c>
      <c r="C160" s="440">
        <v>27</v>
      </c>
      <c r="D160" s="440">
        <v>28</v>
      </c>
      <c r="E160" s="441">
        <v>5</v>
      </c>
      <c r="F160" s="484"/>
      <c r="L160" s="484"/>
      <c r="M160" s="440">
        <v>5</v>
      </c>
      <c r="N160" s="440">
        <v>27</v>
      </c>
      <c r="O160" s="440">
        <v>28</v>
      </c>
      <c r="P160" s="441">
        <v>5</v>
      </c>
      <c r="Q160" s="484"/>
    </row>
    <row r="161" spans="1:21" s="436" customFormat="1" ht="12" customHeight="1" x14ac:dyDescent="0.2">
      <c r="A161" s="484"/>
      <c r="B161" s="440">
        <v>6</v>
      </c>
      <c r="C161" s="440">
        <v>29</v>
      </c>
      <c r="D161" s="440">
        <v>30</v>
      </c>
      <c r="E161" s="441">
        <v>6</v>
      </c>
      <c r="F161" s="484"/>
      <c r="L161" s="484"/>
      <c r="M161" s="440">
        <v>6</v>
      </c>
      <c r="N161" s="440">
        <v>29</v>
      </c>
      <c r="O161" s="440">
        <v>30</v>
      </c>
      <c r="P161" s="441">
        <v>6</v>
      </c>
      <c r="Q161" s="484"/>
    </row>
    <row r="162" spans="1:21" s="436" customFormat="1" ht="12" customHeight="1" x14ac:dyDescent="0.2">
      <c r="A162" s="484"/>
      <c r="B162" s="440">
        <v>7</v>
      </c>
      <c r="C162" s="440">
        <v>31</v>
      </c>
      <c r="D162" s="440">
        <v>32</v>
      </c>
      <c r="E162" s="441">
        <v>7</v>
      </c>
      <c r="F162" s="484"/>
      <c r="L162" s="484"/>
      <c r="M162" s="440">
        <v>7</v>
      </c>
      <c r="N162" s="440">
        <v>31</v>
      </c>
      <c r="O162" s="440">
        <v>32</v>
      </c>
      <c r="P162" s="441">
        <v>7</v>
      </c>
      <c r="Q162" s="484"/>
    </row>
    <row r="163" spans="1:21" s="436" customFormat="1" ht="12" customHeight="1" x14ac:dyDescent="0.2">
      <c r="A163" s="484"/>
      <c r="B163" s="440">
        <v>8</v>
      </c>
      <c r="C163" s="440">
        <v>33</v>
      </c>
      <c r="D163" s="440">
        <v>34</v>
      </c>
      <c r="E163" s="441">
        <v>8</v>
      </c>
      <c r="F163" s="484"/>
      <c r="L163" s="484"/>
      <c r="M163" s="440">
        <v>8</v>
      </c>
      <c r="N163" s="440">
        <v>33</v>
      </c>
      <c r="O163" s="440">
        <v>34</v>
      </c>
      <c r="P163" s="441">
        <v>8</v>
      </c>
      <c r="Q163" s="484"/>
    </row>
    <row r="164" spans="1:21" s="436" customFormat="1" ht="12" customHeight="1" x14ac:dyDescent="0.2">
      <c r="A164" s="484"/>
      <c r="B164" s="440">
        <v>9</v>
      </c>
      <c r="C164" s="440">
        <v>35</v>
      </c>
      <c r="D164" s="440">
        <v>36</v>
      </c>
      <c r="E164" s="441">
        <v>9</v>
      </c>
      <c r="F164" s="484"/>
      <c r="L164" s="484"/>
      <c r="M164" s="440">
        <v>9</v>
      </c>
      <c r="N164" s="440">
        <v>35</v>
      </c>
      <c r="O164" s="440">
        <v>36</v>
      </c>
      <c r="P164" s="441">
        <v>9</v>
      </c>
      <c r="Q164" s="484"/>
    </row>
    <row r="165" spans="1:21" s="436" customFormat="1" ht="12" customHeight="1" x14ac:dyDescent="0.2">
      <c r="A165" s="484"/>
      <c r="B165" s="440">
        <v>10</v>
      </c>
      <c r="C165" s="440">
        <v>37</v>
      </c>
      <c r="D165" s="440">
        <v>38</v>
      </c>
      <c r="E165" s="441">
        <v>10</v>
      </c>
      <c r="F165" s="484"/>
      <c r="L165" s="484"/>
      <c r="M165" s="440">
        <v>10</v>
      </c>
      <c r="N165" s="440">
        <v>37</v>
      </c>
      <c r="O165" s="440">
        <v>38</v>
      </c>
      <c r="P165" s="441">
        <v>10</v>
      </c>
      <c r="Q165" s="484"/>
    </row>
    <row r="166" spans="1:21" s="436" customFormat="1" ht="12" customHeight="1" x14ac:dyDescent="0.2">
      <c r="A166" s="484"/>
      <c r="B166" s="440">
        <v>11</v>
      </c>
      <c r="C166" s="440">
        <v>39</v>
      </c>
      <c r="D166" s="440">
        <v>40</v>
      </c>
      <c r="E166" s="441">
        <v>11</v>
      </c>
      <c r="F166" s="484"/>
      <c r="L166" s="484"/>
      <c r="M166" s="440">
        <v>11</v>
      </c>
      <c r="N166" s="440">
        <v>39</v>
      </c>
      <c r="O166" s="440">
        <v>40</v>
      </c>
      <c r="P166" s="441">
        <v>11</v>
      </c>
      <c r="Q166" s="484"/>
    </row>
    <row r="167" spans="1:21" s="436" customFormat="1" ht="12" customHeight="1" x14ac:dyDescent="0.2">
      <c r="A167" s="485"/>
      <c r="B167" s="440">
        <v>12</v>
      </c>
      <c r="C167" s="440">
        <v>41</v>
      </c>
      <c r="D167" s="440">
        <v>42</v>
      </c>
      <c r="E167" s="441">
        <v>12</v>
      </c>
      <c r="F167" s="485"/>
      <c r="L167" s="485"/>
      <c r="M167" s="440">
        <v>12</v>
      </c>
      <c r="N167" s="440">
        <v>41</v>
      </c>
      <c r="O167" s="440">
        <v>42</v>
      </c>
      <c r="P167" s="441">
        <v>12</v>
      </c>
      <c r="Q167" s="485"/>
    </row>
    <row r="168" spans="1:21" s="436" customFormat="1" ht="12" customHeight="1" x14ac:dyDescent="0.2">
      <c r="A168" s="486" t="s">
        <v>2380</v>
      </c>
      <c r="B168" s="440">
        <v>12</v>
      </c>
      <c r="C168" s="440">
        <v>43</v>
      </c>
      <c r="D168" s="440">
        <v>44</v>
      </c>
      <c r="E168" s="440">
        <v>12</v>
      </c>
      <c r="F168" s="480" t="s">
        <v>2381</v>
      </c>
      <c r="L168" s="486" t="s">
        <v>2420</v>
      </c>
      <c r="M168" s="440">
        <v>12</v>
      </c>
      <c r="N168" s="440">
        <v>43</v>
      </c>
      <c r="O168" s="440">
        <v>44</v>
      </c>
      <c r="P168" s="440">
        <v>12</v>
      </c>
      <c r="Q168" s="480" t="s">
        <v>2419</v>
      </c>
    </row>
    <row r="169" spans="1:21" s="436" customFormat="1" ht="12" customHeight="1" x14ac:dyDescent="0.2">
      <c r="A169" s="481"/>
      <c r="B169" s="440">
        <v>11</v>
      </c>
      <c r="C169" s="440">
        <v>45</v>
      </c>
      <c r="D169" s="440">
        <v>46</v>
      </c>
      <c r="E169" s="440">
        <v>11</v>
      </c>
      <c r="F169" s="481"/>
      <c r="L169" s="481"/>
      <c r="M169" s="440">
        <v>11</v>
      </c>
      <c r="N169" s="440">
        <v>45</v>
      </c>
      <c r="O169" s="440">
        <v>46</v>
      </c>
      <c r="P169" s="440">
        <v>11</v>
      </c>
      <c r="Q169" s="481"/>
    </row>
    <row r="170" spans="1:21" s="436" customFormat="1" ht="12" customHeight="1" x14ac:dyDescent="0.2">
      <c r="A170" s="481"/>
      <c r="B170" s="440">
        <v>10</v>
      </c>
      <c r="C170" s="440">
        <v>47</v>
      </c>
      <c r="D170" s="440">
        <v>48</v>
      </c>
      <c r="E170" s="440">
        <v>10</v>
      </c>
      <c r="F170" s="481"/>
      <c r="G170" s="439" t="s">
        <v>2384</v>
      </c>
      <c r="L170" s="481"/>
      <c r="M170" s="440">
        <v>10</v>
      </c>
      <c r="N170" s="440">
        <v>47</v>
      </c>
      <c r="O170" s="440">
        <v>48</v>
      </c>
      <c r="P170" s="440">
        <v>10</v>
      </c>
      <c r="Q170" s="481"/>
      <c r="R170" s="439" t="s">
        <v>2384</v>
      </c>
    </row>
    <row r="171" spans="1:21" s="436" customFormat="1" ht="12" customHeight="1" x14ac:dyDescent="0.2">
      <c r="A171" s="481"/>
      <c r="B171" s="440">
        <v>9</v>
      </c>
      <c r="C171" s="443">
        <v>49</v>
      </c>
      <c r="D171" s="443">
        <v>50</v>
      </c>
      <c r="E171" s="440">
        <v>9</v>
      </c>
      <c r="F171" s="481"/>
      <c r="G171" s="436" t="s">
        <v>2402</v>
      </c>
      <c r="L171" s="481"/>
      <c r="M171" s="440">
        <v>9</v>
      </c>
      <c r="N171" s="443">
        <v>49</v>
      </c>
      <c r="O171" s="443">
        <v>50</v>
      </c>
      <c r="P171" s="440">
        <v>9</v>
      </c>
      <c r="Q171" s="481"/>
      <c r="R171" s="436" t="s">
        <v>2402</v>
      </c>
    </row>
    <row r="172" spans="1:21" s="436" customFormat="1" ht="12" customHeight="1" x14ac:dyDescent="0.2">
      <c r="A172" s="481"/>
      <c r="B172" s="440">
        <v>8</v>
      </c>
      <c r="C172" s="443">
        <v>51</v>
      </c>
      <c r="D172" s="443">
        <v>52</v>
      </c>
      <c r="E172" s="440">
        <v>8</v>
      </c>
      <c r="F172" s="481"/>
      <c r="G172" s="436" t="s">
        <v>2383</v>
      </c>
      <c r="L172" s="481"/>
      <c r="M172" s="440">
        <v>8</v>
      </c>
      <c r="N172" s="443">
        <v>51</v>
      </c>
      <c r="O172" s="443">
        <v>52</v>
      </c>
      <c r="P172" s="440">
        <v>8</v>
      </c>
      <c r="Q172" s="481"/>
      <c r="R172" s="436" t="s">
        <v>2428</v>
      </c>
    </row>
    <row r="173" spans="1:21" s="436" customFormat="1" ht="12" customHeight="1" x14ac:dyDescent="0.2">
      <c r="A173" s="481"/>
      <c r="B173" s="440">
        <v>7</v>
      </c>
      <c r="C173" s="443">
        <v>53</v>
      </c>
      <c r="D173" s="443">
        <v>54</v>
      </c>
      <c r="E173" s="440">
        <v>7</v>
      </c>
      <c r="F173" s="481"/>
      <c r="G173" s="436" t="s">
        <v>2430</v>
      </c>
      <c r="L173" s="481"/>
      <c r="M173" s="440">
        <v>7</v>
      </c>
      <c r="N173" s="443">
        <v>53</v>
      </c>
      <c r="O173" s="443">
        <v>54</v>
      </c>
      <c r="P173" s="440">
        <v>7</v>
      </c>
      <c r="Q173" s="481"/>
      <c r="R173" s="436" t="s">
        <v>2430</v>
      </c>
    </row>
    <row r="174" spans="1:21" s="436" customFormat="1" ht="12" customHeight="1" x14ac:dyDescent="0.2">
      <c r="A174" s="481"/>
      <c r="B174" s="440">
        <v>6</v>
      </c>
      <c r="C174" s="443">
        <v>55</v>
      </c>
      <c r="D174" s="448">
        <v>56</v>
      </c>
      <c r="E174" s="440">
        <v>6</v>
      </c>
      <c r="F174" s="481"/>
      <c r="G174" s="478" t="s">
        <v>2386</v>
      </c>
      <c r="H174" s="479"/>
      <c r="I174" s="479"/>
      <c r="J174" s="463"/>
      <c r="L174" s="481"/>
      <c r="M174" s="440">
        <v>6</v>
      </c>
      <c r="N174" s="443">
        <v>55</v>
      </c>
      <c r="O174" s="448">
        <v>56</v>
      </c>
      <c r="P174" s="440">
        <v>6</v>
      </c>
      <c r="Q174" s="481"/>
      <c r="R174" s="478" t="s">
        <v>2429</v>
      </c>
      <c r="S174" s="479"/>
      <c r="T174" s="479"/>
      <c r="U174" s="463"/>
    </row>
    <row r="175" spans="1:21" s="436" customFormat="1" ht="12" customHeight="1" x14ac:dyDescent="0.2">
      <c r="A175" s="481"/>
      <c r="B175" s="440">
        <v>5</v>
      </c>
      <c r="C175" s="443">
        <v>57</v>
      </c>
      <c r="D175" s="448">
        <v>58</v>
      </c>
      <c r="E175" s="440">
        <v>5</v>
      </c>
      <c r="F175" s="481"/>
      <c r="G175" s="478"/>
      <c r="H175" s="479"/>
      <c r="I175" s="479"/>
      <c r="J175" s="463"/>
      <c r="L175" s="481"/>
      <c r="M175" s="440">
        <v>5</v>
      </c>
      <c r="N175" s="443">
        <v>57</v>
      </c>
      <c r="O175" s="448">
        <v>58</v>
      </c>
      <c r="P175" s="440">
        <v>5</v>
      </c>
      <c r="Q175" s="481"/>
      <c r="R175" s="478"/>
      <c r="S175" s="479"/>
      <c r="T175" s="479"/>
      <c r="U175" s="463"/>
    </row>
    <row r="176" spans="1:21" s="436" customFormat="1" ht="12" customHeight="1" x14ac:dyDescent="0.2">
      <c r="A176" s="481"/>
      <c r="B176" s="440">
        <v>4</v>
      </c>
      <c r="C176" s="443">
        <v>59</v>
      </c>
      <c r="D176" s="448">
        <v>60</v>
      </c>
      <c r="E176" s="440">
        <v>4</v>
      </c>
      <c r="F176" s="481"/>
      <c r="L176" s="481"/>
      <c r="M176" s="440">
        <v>4</v>
      </c>
      <c r="N176" s="443">
        <v>59</v>
      </c>
      <c r="O176" s="448">
        <v>60</v>
      </c>
      <c r="P176" s="440">
        <v>4</v>
      </c>
      <c r="Q176" s="481"/>
    </row>
    <row r="177" spans="1:17" s="436" customFormat="1" ht="12" customHeight="1" x14ac:dyDescent="0.2">
      <c r="A177" s="481"/>
      <c r="B177" s="440">
        <v>3</v>
      </c>
      <c r="C177" s="443">
        <v>61</v>
      </c>
      <c r="D177" s="448">
        <v>62</v>
      </c>
      <c r="E177" s="440">
        <v>3</v>
      </c>
      <c r="F177" s="481"/>
      <c r="L177" s="481"/>
      <c r="M177" s="440">
        <v>3</v>
      </c>
      <c r="N177" s="443">
        <v>61</v>
      </c>
      <c r="O177" s="448">
        <v>62</v>
      </c>
      <c r="P177" s="440">
        <v>3</v>
      </c>
      <c r="Q177" s="481"/>
    </row>
    <row r="178" spans="1:17" s="436" customFormat="1" ht="12" customHeight="1" x14ac:dyDescent="0.2">
      <c r="A178" s="481"/>
      <c r="B178" s="440">
        <v>2</v>
      </c>
      <c r="C178" s="443">
        <v>63</v>
      </c>
      <c r="D178" s="448">
        <v>64</v>
      </c>
      <c r="E178" s="440">
        <v>2</v>
      </c>
      <c r="F178" s="481"/>
      <c r="L178" s="481"/>
      <c r="M178" s="440">
        <v>2</v>
      </c>
      <c r="N178" s="443">
        <v>63</v>
      </c>
      <c r="O178" s="448">
        <v>64</v>
      </c>
      <c r="P178" s="440">
        <v>2</v>
      </c>
      <c r="Q178" s="481"/>
    </row>
    <row r="179" spans="1:17" s="436" customFormat="1" ht="12" customHeight="1" x14ac:dyDescent="0.2">
      <c r="A179" s="481"/>
      <c r="B179" s="440">
        <v>1</v>
      </c>
      <c r="C179" s="443">
        <v>65</v>
      </c>
      <c r="D179" s="448">
        <v>66</v>
      </c>
      <c r="E179" s="440">
        <v>1</v>
      </c>
      <c r="F179" s="481"/>
      <c r="L179" s="481"/>
      <c r="M179" s="440">
        <v>1</v>
      </c>
      <c r="N179" s="443">
        <v>65</v>
      </c>
      <c r="O179" s="448">
        <v>66</v>
      </c>
      <c r="P179" s="440">
        <v>1</v>
      </c>
      <c r="Q179" s="481"/>
    </row>
    <row r="180" spans="1:17" s="436" customFormat="1" ht="12" customHeight="1" x14ac:dyDescent="0.2">
      <c r="A180" s="481"/>
      <c r="B180" s="440"/>
      <c r="E180" s="440" t="s">
        <v>2401</v>
      </c>
      <c r="F180" s="481"/>
      <c r="L180" s="481"/>
      <c r="M180" s="440"/>
      <c r="P180" s="440" t="s">
        <v>2401</v>
      </c>
      <c r="Q180" s="481"/>
    </row>
    <row r="181" spans="1:17" s="436" customFormat="1" ht="12" customHeight="1" x14ac:dyDescent="0.2">
      <c r="A181" s="481"/>
      <c r="B181" s="440"/>
      <c r="E181" s="440" t="s">
        <v>2401</v>
      </c>
      <c r="F181" s="481"/>
      <c r="L181" s="481"/>
      <c r="M181" s="440"/>
      <c r="P181" s="440" t="s">
        <v>2401</v>
      </c>
      <c r="Q181" s="481"/>
    </row>
    <row r="182" spans="1:17" s="436" customFormat="1" ht="12" customHeight="1" x14ac:dyDescent="0.2">
      <c r="A182" s="482"/>
      <c r="B182" s="440"/>
      <c r="E182" s="440" t="s">
        <v>2401</v>
      </c>
      <c r="F182" s="482"/>
      <c r="L182" s="482"/>
      <c r="M182" s="440"/>
      <c r="P182" s="440" t="s">
        <v>2401</v>
      </c>
      <c r="Q182" s="482"/>
    </row>
    <row r="183" spans="1:17" s="436" customFormat="1" ht="12" x14ac:dyDescent="0.2"/>
    <row r="184" spans="1:17" x14ac:dyDescent="0.2">
      <c r="C184" s="435"/>
      <c r="D184" s="435"/>
      <c r="N184" s="435"/>
      <c r="O184" s="435"/>
    </row>
    <row r="186" spans="1:17" x14ac:dyDescent="0.2">
      <c r="A186" s="476" t="s">
        <v>2433</v>
      </c>
      <c r="B186" s="476"/>
      <c r="C186" s="476"/>
      <c r="D186" s="476"/>
      <c r="E186" s="476"/>
      <c r="F186" s="476"/>
      <c r="L186" s="476" t="s">
        <v>2436</v>
      </c>
      <c r="M186" s="476"/>
      <c r="N186" s="476"/>
      <c r="O186" s="476"/>
      <c r="P186" s="476"/>
      <c r="Q186" s="476"/>
    </row>
    <row r="187" spans="1:17" x14ac:dyDescent="0.2">
      <c r="A187" s="477" t="s">
        <v>2432</v>
      </c>
      <c r="B187" s="477"/>
      <c r="C187" s="477"/>
      <c r="D187" s="477"/>
      <c r="E187" s="477"/>
      <c r="F187" s="477"/>
      <c r="L187" s="477" t="s">
        <v>2432</v>
      </c>
      <c r="M187" s="477"/>
      <c r="N187" s="477"/>
      <c r="O187" s="477"/>
      <c r="P187" s="477"/>
      <c r="Q187" s="477"/>
    </row>
    <row r="188" spans="1:17" x14ac:dyDescent="0.2">
      <c r="A188" s="433"/>
      <c r="B188" s="487" t="s">
        <v>2376</v>
      </c>
      <c r="C188" s="433"/>
      <c r="D188" s="433"/>
      <c r="E188" s="487" t="s">
        <v>2376</v>
      </c>
      <c r="F188" s="433"/>
      <c r="L188" s="433"/>
      <c r="M188" s="487" t="s">
        <v>2376</v>
      </c>
      <c r="N188" s="433"/>
      <c r="O188" s="433"/>
      <c r="P188" s="487" t="s">
        <v>2376</v>
      </c>
      <c r="Q188" s="433"/>
    </row>
    <row r="189" spans="1:17" x14ac:dyDescent="0.2">
      <c r="A189" s="433"/>
      <c r="B189" s="487"/>
      <c r="C189" s="433"/>
      <c r="D189" s="433"/>
      <c r="E189" s="487"/>
      <c r="F189" s="433"/>
      <c r="L189" s="433"/>
      <c r="M189" s="487"/>
      <c r="N189" s="433"/>
      <c r="O189" s="433"/>
      <c r="P189" s="487"/>
      <c r="Q189" s="433"/>
    </row>
    <row r="190" spans="1:17" x14ac:dyDescent="0.2">
      <c r="A190" s="433"/>
      <c r="B190" s="487"/>
      <c r="C190" s="433"/>
      <c r="D190" s="433"/>
      <c r="E190" s="487"/>
      <c r="F190" s="433"/>
      <c r="L190" s="433"/>
      <c r="M190" s="487"/>
      <c r="N190" s="433"/>
      <c r="O190" s="433"/>
      <c r="P190" s="487"/>
      <c r="Q190" s="433"/>
    </row>
    <row r="191" spans="1:17" x14ac:dyDescent="0.2">
      <c r="B191" s="487"/>
      <c r="E191" s="487"/>
      <c r="M191" s="487"/>
      <c r="P191" s="487"/>
    </row>
    <row r="192" spans="1:17" x14ac:dyDescent="0.2">
      <c r="B192" s="488"/>
      <c r="C192" s="1" t="s">
        <v>2377</v>
      </c>
      <c r="D192" s="1" t="s">
        <v>2377</v>
      </c>
      <c r="E192" s="488"/>
      <c r="M192" s="488"/>
      <c r="N192" s="1" t="s">
        <v>2377</v>
      </c>
      <c r="O192" s="1" t="s">
        <v>2377</v>
      </c>
      <c r="P192" s="488"/>
    </row>
    <row r="193" spans="1:17" x14ac:dyDescent="0.2">
      <c r="A193" s="483" t="s">
        <v>2434</v>
      </c>
      <c r="B193" s="440" t="s">
        <v>2387</v>
      </c>
      <c r="C193" s="440">
        <v>1</v>
      </c>
      <c r="D193" s="440">
        <v>2</v>
      </c>
      <c r="E193" s="441" t="s">
        <v>2388</v>
      </c>
      <c r="F193" s="483" t="s">
        <v>2435</v>
      </c>
      <c r="H193" s="436" t="s">
        <v>2390</v>
      </c>
      <c r="L193" s="483" t="s">
        <v>2437</v>
      </c>
      <c r="M193" s="440"/>
      <c r="N193" s="440">
        <v>1</v>
      </c>
      <c r="O193" s="440">
        <v>2</v>
      </c>
      <c r="P193" s="441"/>
      <c r="Q193" s="483" t="s">
        <v>2438</v>
      </c>
    </row>
    <row r="194" spans="1:17" x14ac:dyDescent="0.2">
      <c r="A194" s="484"/>
      <c r="B194" s="440" t="s">
        <v>2387</v>
      </c>
      <c r="C194" s="440">
        <v>3</v>
      </c>
      <c r="D194" s="440">
        <v>4</v>
      </c>
      <c r="E194" s="441" t="s">
        <v>2388</v>
      </c>
      <c r="F194" s="484"/>
      <c r="H194" s="436" t="s">
        <v>2391</v>
      </c>
      <c r="L194" s="484"/>
      <c r="M194" s="440"/>
      <c r="N194" s="440">
        <v>3</v>
      </c>
      <c r="O194" s="440">
        <v>4</v>
      </c>
      <c r="P194" s="441"/>
      <c r="Q194" s="484"/>
    </row>
    <row r="195" spans="1:17" x14ac:dyDescent="0.2">
      <c r="A195" s="484"/>
      <c r="B195" s="440" t="s">
        <v>2387</v>
      </c>
      <c r="C195" s="440">
        <v>5</v>
      </c>
      <c r="D195" s="440">
        <v>6</v>
      </c>
      <c r="E195" s="441" t="s">
        <v>2388</v>
      </c>
      <c r="F195" s="484"/>
      <c r="L195" s="484"/>
      <c r="M195" s="440"/>
      <c r="N195" s="440">
        <v>5</v>
      </c>
      <c r="O195" s="440">
        <v>6</v>
      </c>
      <c r="P195" s="441"/>
      <c r="Q195" s="484"/>
    </row>
    <row r="196" spans="1:17" x14ac:dyDescent="0.2">
      <c r="A196" s="484"/>
      <c r="B196" s="440">
        <v>1</v>
      </c>
      <c r="C196" s="440">
        <v>7</v>
      </c>
      <c r="D196" s="440">
        <v>8</v>
      </c>
      <c r="E196" s="440">
        <v>1</v>
      </c>
      <c r="F196" s="484"/>
      <c r="L196" s="484"/>
      <c r="M196" s="440">
        <v>1</v>
      </c>
      <c r="N196" s="440">
        <v>7</v>
      </c>
      <c r="O196" s="440">
        <v>8</v>
      </c>
      <c r="P196" s="440">
        <v>1</v>
      </c>
      <c r="Q196" s="484"/>
    </row>
    <row r="197" spans="1:17" x14ac:dyDescent="0.2">
      <c r="A197" s="484"/>
      <c r="B197" s="440">
        <v>2</v>
      </c>
      <c r="C197" s="440">
        <v>9</v>
      </c>
      <c r="D197" s="440">
        <v>10</v>
      </c>
      <c r="E197" s="440">
        <v>2</v>
      </c>
      <c r="F197" s="484"/>
      <c r="L197" s="484"/>
      <c r="M197" s="440">
        <v>2</v>
      </c>
      <c r="N197" s="440">
        <v>9</v>
      </c>
      <c r="O197" s="440">
        <v>10</v>
      </c>
      <c r="P197" s="440">
        <v>2</v>
      </c>
      <c r="Q197" s="484"/>
    </row>
    <row r="198" spans="1:17" x14ac:dyDescent="0.2">
      <c r="A198" s="484"/>
      <c r="B198" s="440">
        <v>3</v>
      </c>
      <c r="C198" s="440">
        <v>11</v>
      </c>
      <c r="D198" s="440">
        <v>12</v>
      </c>
      <c r="E198" s="440">
        <v>3</v>
      </c>
      <c r="F198" s="484"/>
      <c r="L198" s="484"/>
      <c r="M198" s="440">
        <v>3</v>
      </c>
      <c r="N198" s="440">
        <v>11</v>
      </c>
      <c r="O198" s="440">
        <v>12</v>
      </c>
      <c r="P198" s="440">
        <v>3</v>
      </c>
      <c r="Q198" s="484"/>
    </row>
    <row r="199" spans="1:17" ht="12.75" customHeight="1" x14ac:dyDescent="0.2">
      <c r="A199" s="484"/>
      <c r="B199" s="440">
        <v>4</v>
      </c>
      <c r="C199" s="440">
        <v>13</v>
      </c>
      <c r="D199" s="440">
        <v>14</v>
      </c>
      <c r="E199" s="440">
        <v>4</v>
      </c>
      <c r="F199" s="484"/>
      <c r="L199" s="484"/>
      <c r="M199" s="440">
        <v>4</v>
      </c>
      <c r="N199" s="440">
        <v>13</v>
      </c>
      <c r="O199" s="440">
        <v>14</v>
      </c>
      <c r="P199" s="440">
        <v>4</v>
      </c>
      <c r="Q199" s="484"/>
    </row>
    <row r="200" spans="1:17" x14ac:dyDescent="0.2">
      <c r="A200" s="484"/>
      <c r="B200" s="440">
        <v>5</v>
      </c>
      <c r="C200" s="440">
        <v>15</v>
      </c>
      <c r="D200" s="440">
        <v>16</v>
      </c>
      <c r="E200" s="440">
        <v>5</v>
      </c>
      <c r="F200" s="484"/>
      <c r="L200" s="484"/>
      <c r="M200" s="440">
        <v>5</v>
      </c>
      <c r="N200" s="440">
        <v>15</v>
      </c>
      <c r="O200" s="440">
        <v>16</v>
      </c>
      <c r="P200" s="440">
        <v>5</v>
      </c>
      <c r="Q200" s="484"/>
    </row>
    <row r="201" spans="1:17" x14ac:dyDescent="0.2">
      <c r="A201" s="484"/>
      <c r="B201" s="440">
        <v>6</v>
      </c>
      <c r="C201" s="440">
        <v>17</v>
      </c>
      <c r="D201" s="440">
        <v>18</v>
      </c>
      <c r="E201" s="440">
        <v>6</v>
      </c>
      <c r="F201" s="484"/>
      <c r="L201" s="484"/>
      <c r="M201" s="440">
        <v>6</v>
      </c>
      <c r="N201" s="440">
        <v>17</v>
      </c>
      <c r="O201" s="440">
        <v>18</v>
      </c>
      <c r="P201" s="440">
        <v>6</v>
      </c>
      <c r="Q201" s="484"/>
    </row>
    <row r="202" spans="1:17" x14ac:dyDescent="0.2">
      <c r="A202" s="484"/>
      <c r="B202" s="440">
        <v>7</v>
      </c>
      <c r="C202" s="440">
        <v>19</v>
      </c>
      <c r="D202" s="440">
        <v>20</v>
      </c>
      <c r="E202" s="440">
        <v>7</v>
      </c>
      <c r="F202" s="484"/>
      <c r="L202" s="484"/>
      <c r="M202" s="440">
        <v>7</v>
      </c>
      <c r="N202" s="440">
        <v>19</v>
      </c>
      <c r="O202" s="440">
        <v>20</v>
      </c>
      <c r="P202" s="440">
        <v>7</v>
      </c>
      <c r="Q202" s="484"/>
    </row>
    <row r="203" spans="1:17" x14ac:dyDescent="0.2">
      <c r="A203" s="484"/>
      <c r="B203" s="440">
        <v>8</v>
      </c>
      <c r="C203" s="440">
        <v>21</v>
      </c>
      <c r="D203" s="440">
        <v>22</v>
      </c>
      <c r="E203" s="440">
        <v>8</v>
      </c>
      <c r="F203" s="484"/>
      <c r="I203" s="464"/>
      <c r="J203" s="464"/>
      <c r="L203" s="484"/>
      <c r="M203" s="440">
        <v>8</v>
      </c>
      <c r="N203" s="440">
        <v>21</v>
      </c>
      <c r="O203" s="440">
        <v>22</v>
      </c>
      <c r="P203" s="440">
        <v>8</v>
      </c>
      <c r="Q203" s="484"/>
    </row>
    <row r="204" spans="1:17" x14ac:dyDescent="0.2">
      <c r="A204" s="484"/>
      <c r="B204" s="440">
        <v>9</v>
      </c>
      <c r="C204" s="440">
        <v>23</v>
      </c>
      <c r="D204" s="440">
        <v>24</v>
      </c>
      <c r="E204" s="440">
        <v>9</v>
      </c>
      <c r="F204" s="484"/>
      <c r="I204" s="464"/>
      <c r="J204" s="464"/>
      <c r="L204" s="484"/>
      <c r="M204" s="440">
        <v>9</v>
      </c>
      <c r="N204" s="440">
        <v>23</v>
      </c>
      <c r="O204" s="440">
        <v>24</v>
      </c>
      <c r="P204" s="440">
        <v>9</v>
      </c>
      <c r="Q204" s="484"/>
    </row>
    <row r="205" spans="1:17" x14ac:dyDescent="0.2">
      <c r="A205" s="484"/>
      <c r="B205" s="440">
        <v>10</v>
      </c>
      <c r="C205" s="440">
        <v>25</v>
      </c>
      <c r="D205" s="440">
        <v>26</v>
      </c>
      <c r="E205" s="440">
        <v>10</v>
      </c>
      <c r="F205" s="484"/>
      <c r="I205" s="464"/>
      <c r="J205" s="464"/>
      <c r="L205" s="484"/>
      <c r="M205" s="440">
        <v>10</v>
      </c>
      <c r="N205" s="440">
        <v>25</v>
      </c>
      <c r="O205" s="440">
        <v>26</v>
      </c>
      <c r="P205" s="440">
        <v>10</v>
      </c>
      <c r="Q205" s="484"/>
    </row>
    <row r="206" spans="1:17" x14ac:dyDescent="0.2">
      <c r="A206" s="484"/>
      <c r="B206" s="440">
        <v>11</v>
      </c>
      <c r="C206" s="440">
        <v>27</v>
      </c>
      <c r="D206" s="440">
        <v>28</v>
      </c>
      <c r="E206" s="440">
        <v>11</v>
      </c>
      <c r="F206" s="484"/>
      <c r="I206" s="464"/>
      <c r="J206" s="464"/>
      <c r="L206" s="484"/>
      <c r="M206" s="440">
        <v>11</v>
      </c>
      <c r="N206" s="440">
        <v>27</v>
      </c>
      <c r="O206" s="440">
        <v>28</v>
      </c>
      <c r="P206" s="440">
        <v>11</v>
      </c>
      <c r="Q206" s="484"/>
    </row>
    <row r="207" spans="1:17" x14ac:dyDescent="0.2">
      <c r="A207" s="484"/>
      <c r="B207" s="440">
        <v>12</v>
      </c>
      <c r="C207" s="440">
        <v>29</v>
      </c>
      <c r="D207" s="440">
        <v>30</v>
      </c>
      <c r="E207" s="440">
        <v>12</v>
      </c>
      <c r="F207" s="484"/>
      <c r="I207" s="464"/>
      <c r="J207" s="464"/>
      <c r="L207" s="484"/>
      <c r="M207" s="440">
        <v>12</v>
      </c>
      <c r="N207" s="440">
        <v>29</v>
      </c>
      <c r="O207" s="440">
        <v>30</v>
      </c>
      <c r="P207" s="440">
        <v>12</v>
      </c>
      <c r="Q207" s="484"/>
    </row>
    <row r="208" spans="1:17" x14ac:dyDescent="0.2">
      <c r="A208" s="484"/>
      <c r="B208" s="440">
        <v>13</v>
      </c>
      <c r="C208" s="440">
        <v>31</v>
      </c>
      <c r="D208" s="440">
        <v>32</v>
      </c>
      <c r="E208" s="440">
        <v>13</v>
      </c>
      <c r="F208" s="484"/>
      <c r="I208" s="464"/>
      <c r="J208" s="464"/>
      <c r="L208" s="484"/>
      <c r="M208" s="440">
        <v>13</v>
      </c>
      <c r="N208" s="440">
        <v>31</v>
      </c>
      <c r="O208" s="440">
        <v>32</v>
      </c>
      <c r="P208" s="440">
        <v>13</v>
      </c>
      <c r="Q208" s="484"/>
    </row>
    <row r="209" spans="1:20" x14ac:dyDescent="0.2">
      <c r="A209" s="484"/>
      <c r="B209" s="440">
        <v>14</v>
      </c>
      <c r="C209" s="440">
        <v>33</v>
      </c>
      <c r="D209" s="440">
        <v>34</v>
      </c>
      <c r="E209" s="440">
        <v>14</v>
      </c>
      <c r="F209" s="484"/>
      <c r="L209" s="484"/>
      <c r="M209" s="440">
        <v>14</v>
      </c>
      <c r="N209" s="440">
        <v>33</v>
      </c>
      <c r="O209" s="440">
        <v>34</v>
      </c>
      <c r="P209" s="440">
        <v>14</v>
      </c>
      <c r="Q209" s="484"/>
    </row>
    <row r="210" spans="1:20" x14ac:dyDescent="0.2">
      <c r="A210" s="484"/>
      <c r="B210" s="440">
        <v>15</v>
      </c>
      <c r="C210" s="440">
        <v>35</v>
      </c>
      <c r="D210" s="440">
        <v>36</v>
      </c>
      <c r="E210" s="440">
        <v>15</v>
      </c>
      <c r="F210" s="484"/>
      <c r="L210" s="484"/>
      <c r="M210" s="440">
        <v>15</v>
      </c>
      <c r="N210" s="440">
        <v>35</v>
      </c>
      <c r="O210" s="440">
        <v>36</v>
      </c>
      <c r="P210" s="440">
        <v>15</v>
      </c>
      <c r="Q210" s="484"/>
    </row>
    <row r="211" spans="1:20" x14ac:dyDescent="0.2">
      <c r="A211" s="484"/>
      <c r="B211" s="440">
        <v>16</v>
      </c>
      <c r="C211" s="440">
        <v>37</v>
      </c>
      <c r="D211" s="440">
        <v>38</v>
      </c>
      <c r="E211" s="440">
        <v>16</v>
      </c>
      <c r="F211" s="484"/>
      <c r="L211" s="484"/>
      <c r="M211" s="440">
        <v>16</v>
      </c>
      <c r="N211" s="440">
        <v>37</v>
      </c>
      <c r="O211" s="440">
        <v>38</v>
      </c>
      <c r="P211" s="440">
        <v>16</v>
      </c>
      <c r="Q211" s="484"/>
    </row>
    <row r="212" spans="1:20" x14ac:dyDescent="0.2">
      <c r="A212" s="484"/>
      <c r="B212" s="440">
        <v>17</v>
      </c>
      <c r="C212" s="440">
        <v>39</v>
      </c>
      <c r="D212" s="440">
        <v>40</v>
      </c>
      <c r="E212" s="440">
        <v>17</v>
      </c>
      <c r="F212" s="484"/>
      <c r="L212" s="484"/>
      <c r="M212" s="440">
        <v>17</v>
      </c>
      <c r="N212" s="440">
        <v>39</v>
      </c>
      <c r="O212" s="440">
        <v>40</v>
      </c>
      <c r="P212" s="440">
        <v>17</v>
      </c>
      <c r="Q212" s="484"/>
    </row>
    <row r="213" spans="1:20" x14ac:dyDescent="0.2">
      <c r="A213" s="485"/>
      <c r="B213" s="440">
        <v>18</v>
      </c>
      <c r="C213" s="440">
        <v>41</v>
      </c>
      <c r="D213" s="440">
        <v>42</v>
      </c>
      <c r="E213" s="440">
        <v>18</v>
      </c>
      <c r="F213" s="485"/>
      <c r="L213" s="485"/>
      <c r="M213" s="440">
        <v>18</v>
      </c>
      <c r="N213" s="440">
        <v>41</v>
      </c>
      <c r="O213" s="440">
        <v>42</v>
      </c>
      <c r="P213" s="440">
        <v>18</v>
      </c>
      <c r="Q213" s="485"/>
    </row>
    <row r="214" spans="1:20" x14ac:dyDescent="0.2">
      <c r="A214" s="483" t="s">
        <v>2416</v>
      </c>
      <c r="B214" s="440"/>
      <c r="C214" s="489" t="s">
        <v>2394</v>
      </c>
      <c r="D214" s="490"/>
      <c r="E214" s="441"/>
      <c r="F214" s="495" t="s">
        <v>2415</v>
      </c>
      <c r="L214" s="483" t="s">
        <v>2439</v>
      </c>
      <c r="M214" s="440"/>
      <c r="N214" s="489" t="s">
        <v>2394</v>
      </c>
      <c r="O214" s="490"/>
      <c r="P214" s="441"/>
      <c r="Q214" s="495" t="s">
        <v>2440</v>
      </c>
    </row>
    <row r="215" spans="1:20" x14ac:dyDescent="0.2">
      <c r="A215" s="484"/>
      <c r="B215" s="440"/>
      <c r="C215" s="491"/>
      <c r="D215" s="492"/>
      <c r="E215" s="441"/>
      <c r="F215" s="496"/>
      <c r="L215" s="484"/>
      <c r="M215" s="440"/>
      <c r="N215" s="491"/>
      <c r="O215" s="492"/>
      <c r="P215" s="441"/>
      <c r="Q215" s="496"/>
    </row>
    <row r="216" spans="1:20" x14ac:dyDescent="0.2">
      <c r="A216" s="484"/>
      <c r="B216" s="440"/>
      <c r="C216" s="493"/>
      <c r="D216" s="494"/>
      <c r="E216" s="441"/>
      <c r="F216" s="496"/>
      <c r="L216" s="484"/>
      <c r="M216" s="440"/>
      <c r="N216" s="493"/>
      <c r="O216" s="494"/>
      <c r="P216" s="441"/>
      <c r="Q216" s="496"/>
    </row>
    <row r="217" spans="1:20" ht="12.75" customHeight="1" x14ac:dyDescent="0.2">
      <c r="A217" s="484"/>
      <c r="B217" s="440">
        <v>1</v>
      </c>
      <c r="C217" s="440">
        <v>43</v>
      </c>
      <c r="D217" s="440">
        <v>44</v>
      </c>
      <c r="E217" s="440">
        <v>1</v>
      </c>
      <c r="F217" s="496"/>
      <c r="L217" s="484"/>
      <c r="M217" s="440">
        <v>1</v>
      </c>
      <c r="N217" s="440">
        <v>43</v>
      </c>
      <c r="O217" s="440">
        <v>44</v>
      </c>
      <c r="P217" s="440">
        <v>1</v>
      </c>
      <c r="Q217" s="496"/>
    </row>
    <row r="218" spans="1:20" x14ac:dyDescent="0.2">
      <c r="A218" s="484"/>
      <c r="B218" s="440">
        <v>2</v>
      </c>
      <c r="C218" s="440">
        <v>45</v>
      </c>
      <c r="D218" s="440">
        <v>46</v>
      </c>
      <c r="E218" s="440">
        <v>2</v>
      </c>
      <c r="F218" s="496"/>
      <c r="L218" s="484"/>
      <c r="M218" s="440">
        <v>2</v>
      </c>
      <c r="N218" s="440">
        <v>45</v>
      </c>
      <c r="O218" s="440">
        <v>46</v>
      </c>
      <c r="P218" s="440">
        <v>2</v>
      </c>
      <c r="Q218" s="496"/>
    </row>
    <row r="219" spans="1:20" x14ac:dyDescent="0.2">
      <c r="A219" s="484"/>
      <c r="B219" s="440">
        <v>3</v>
      </c>
      <c r="C219" s="440">
        <v>47</v>
      </c>
      <c r="D219" s="440">
        <v>48</v>
      </c>
      <c r="E219" s="440">
        <v>3</v>
      </c>
      <c r="F219" s="496"/>
      <c r="G219" s="439" t="s">
        <v>2384</v>
      </c>
      <c r="H219" s="436"/>
      <c r="I219" s="436"/>
      <c r="L219" s="484"/>
      <c r="M219" s="440">
        <v>3</v>
      </c>
      <c r="N219" s="440">
        <v>47</v>
      </c>
      <c r="O219" s="440">
        <v>48</v>
      </c>
      <c r="P219" s="440">
        <v>3</v>
      </c>
      <c r="Q219" s="496"/>
      <c r="R219" s="439" t="s">
        <v>2384</v>
      </c>
      <c r="S219" s="436"/>
      <c r="T219" s="436"/>
    </row>
    <row r="220" spans="1:20" x14ac:dyDescent="0.2">
      <c r="A220" s="484"/>
      <c r="B220" s="440">
        <v>4</v>
      </c>
      <c r="C220" s="443">
        <v>49</v>
      </c>
      <c r="D220" s="443">
        <v>50</v>
      </c>
      <c r="E220" s="440">
        <v>4</v>
      </c>
      <c r="F220" s="496"/>
      <c r="G220" s="436" t="s">
        <v>2402</v>
      </c>
      <c r="H220" s="436"/>
      <c r="I220" s="436"/>
      <c r="L220" s="484"/>
      <c r="M220" s="440">
        <v>4</v>
      </c>
      <c r="N220" s="443">
        <v>49</v>
      </c>
      <c r="O220" s="443">
        <v>50</v>
      </c>
      <c r="P220" s="440">
        <v>4</v>
      </c>
      <c r="Q220" s="496"/>
      <c r="R220" s="436" t="s">
        <v>2402</v>
      </c>
      <c r="S220" s="436"/>
      <c r="T220" s="436"/>
    </row>
    <row r="221" spans="1:20" x14ac:dyDescent="0.2">
      <c r="A221" s="484"/>
      <c r="B221" s="440">
        <v>5</v>
      </c>
      <c r="C221" s="443">
        <v>51</v>
      </c>
      <c r="D221" s="443">
        <v>52</v>
      </c>
      <c r="E221" s="440">
        <v>5</v>
      </c>
      <c r="F221" s="496"/>
      <c r="G221" s="436" t="s">
        <v>2443</v>
      </c>
      <c r="H221" s="436"/>
      <c r="I221" s="436"/>
      <c r="L221" s="484"/>
      <c r="M221" s="440">
        <v>5</v>
      </c>
      <c r="N221" s="443">
        <v>51</v>
      </c>
      <c r="O221" s="443">
        <v>52</v>
      </c>
      <c r="P221" s="440">
        <v>5</v>
      </c>
      <c r="Q221" s="496"/>
      <c r="R221" s="436" t="s">
        <v>2421</v>
      </c>
      <c r="S221" s="436"/>
      <c r="T221" s="436"/>
    </row>
    <row r="222" spans="1:20" x14ac:dyDescent="0.2">
      <c r="A222" s="484"/>
      <c r="B222" s="440">
        <v>6</v>
      </c>
      <c r="C222" s="443">
        <v>53</v>
      </c>
      <c r="D222" s="443">
        <v>54</v>
      </c>
      <c r="E222" s="440">
        <v>6</v>
      </c>
      <c r="F222" s="496"/>
      <c r="G222" s="436" t="s">
        <v>2441</v>
      </c>
      <c r="H222" s="436"/>
      <c r="I222" s="436"/>
      <c r="L222" s="484"/>
      <c r="M222" s="440">
        <v>6</v>
      </c>
      <c r="N222" s="443">
        <v>53</v>
      </c>
      <c r="O222" s="443">
        <v>54</v>
      </c>
      <c r="P222" s="440">
        <v>6</v>
      </c>
      <c r="Q222" s="496"/>
      <c r="R222" s="436" t="s">
        <v>2441</v>
      </c>
      <c r="S222" s="436"/>
      <c r="T222" s="436"/>
    </row>
    <row r="223" spans="1:20" x14ac:dyDescent="0.2">
      <c r="A223" s="484"/>
      <c r="B223" s="440">
        <v>7</v>
      </c>
      <c r="C223" s="443">
        <v>55</v>
      </c>
      <c r="D223" s="448">
        <v>56</v>
      </c>
      <c r="E223" s="440">
        <v>7</v>
      </c>
      <c r="F223" s="496"/>
      <c r="G223" s="478" t="s">
        <v>2444</v>
      </c>
      <c r="H223" s="479"/>
      <c r="I223" s="479"/>
      <c r="L223" s="484"/>
      <c r="M223" s="440">
        <v>7</v>
      </c>
      <c r="N223" s="443">
        <v>55</v>
      </c>
      <c r="O223" s="448">
        <v>56</v>
      </c>
      <c r="P223" s="440">
        <v>7</v>
      </c>
      <c r="Q223" s="496"/>
      <c r="R223" s="478" t="s">
        <v>2442</v>
      </c>
      <c r="S223" s="479"/>
      <c r="T223" s="479"/>
    </row>
    <row r="224" spans="1:20" x14ac:dyDescent="0.2">
      <c r="A224" s="484"/>
      <c r="B224" s="440">
        <v>8</v>
      </c>
      <c r="C224" s="443">
        <v>57</v>
      </c>
      <c r="D224" s="448">
        <v>58</v>
      </c>
      <c r="E224" s="440">
        <v>8</v>
      </c>
      <c r="F224" s="496"/>
      <c r="G224" s="478"/>
      <c r="H224" s="479"/>
      <c r="I224" s="479"/>
      <c r="L224" s="484"/>
      <c r="M224" s="440">
        <v>8</v>
      </c>
      <c r="N224" s="443">
        <v>57</v>
      </c>
      <c r="O224" s="448">
        <v>58</v>
      </c>
      <c r="P224" s="440">
        <v>8</v>
      </c>
      <c r="Q224" s="496"/>
      <c r="R224" s="478"/>
      <c r="S224" s="479"/>
      <c r="T224" s="479"/>
    </row>
    <row r="225" spans="1:17" x14ac:dyDescent="0.2">
      <c r="A225" s="484"/>
      <c r="B225" s="440">
        <v>9</v>
      </c>
      <c r="C225" s="443">
        <v>59</v>
      </c>
      <c r="D225" s="448">
        <v>60</v>
      </c>
      <c r="E225" s="440">
        <v>9</v>
      </c>
      <c r="F225" s="496"/>
      <c r="L225" s="484"/>
      <c r="M225" s="440">
        <v>9</v>
      </c>
      <c r="N225" s="443">
        <v>59</v>
      </c>
      <c r="O225" s="448">
        <v>60</v>
      </c>
      <c r="P225" s="440">
        <v>9</v>
      </c>
      <c r="Q225" s="496"/>
    </row>
    <row r="226" spans="1:17" x14ac:dyDescent="0.2">
      <c r="A226" s="484"/>
      <c r="B226" s="440">
        <v>10</v>
      </c>
      <c r="C226" s="443">
        <v>61</v>
      </c>
      <c r="D226" s="448">
        <v>62</v>
      </c>
      <c r="E226" s="440">
        <v>10</v>
      </c>
      <c r="F226" s="496"/>
      <c r="L226" s="484"/>
      <c r="M226" s="440">
        <v>10</v>
      </c>
      <c r="N226" s="443">
        <v>61</v>
      </c>
      <c r="O226" s="448">
        <v>62</v>
      </c>
      <c r="P226" s="440">
        <v>10</v>
      </c>
      <c r="Q226" s="496"/>
    </row>
    <row r="227" spans="1:17" x14ac:dyDescent="0.2">
      <c r="A227" s="484"/>
      <c r="B227" s="440">
        <v>11</v>
      </c>
      <c r="C227" s="443">
        <v>63</v>
      </c>
      <c r="D227" s="448">
        <v>64</v>
      </c>
      <c r="E227" s="440">
        <v>11</v>
      </c>
      <c r="F227" s="496"/>
      <c r="L227" s="484"/>
      <c r="M227" s="440">
        <v>11</v>
      </c>
      <c r="N227" s="443">
        <v>63</v>
      </c>
      <c r="O227" s="448">
        <v>64</v>
      </c>
      <c r="P227" s="440">
        <v>11</v>
      </c>
      <c r="Q227" s="496"/>
    </row>
    <row r="228" spans="1:17" x14ac:dyDescent="0.2">
      <c r="A228" s="484"/>
      <c r="B228" s="440">
        <v>12</v>
      </c>
      <c r="C228" s="443">
        <v>65</v>
      </c>
      <c r="D228" s="448">
        <v>66</v>
      </c>
      <c r="E228" s="440">
        <v>12</v>
      </c>
      <c r="F228" s="496"/>
      <c r="L228" s="484"/>
      <c r="M228" s="440">
        <v>12</v>
      </c>
      <c r="N228" s="443">
        <v>65</v>
      </c>
      <c r="O228" s="448">
        <v>66</v>
      </c>
      <c r="P228" s="440">
        <v>12</v>
      </c>
      <c r="Q228" s="496"/>
    </row>
    <row r="229" spans="1:17" x14ac:dyDescent="0.2">
      <c r="A229" s="484"/>
      <c r="B229" s="440">
        <v>13</v>
      </c>
      <c r="C229" s="443">
        <v>67</v>
      </c>
      <c r="D229" s="443">
        <v>68</v>
      </c>
      <c r="E229" s="440">
        <v>13</v>
      </c>
      <c r="F229" s="496"/>
      <c r="L229" s="484"/>
      <c r="M229" s="440">
        <v>13</v>
      </c>
      <c r="N229" s="443">
        <v>67</v>
      </c>
      <c r="O229" s="443">
        <v>68</v>
      </c>
      <c r="P229" s="440">
        <v>13</v>
      </c>
      <c r="Q229" s="496"/>
    </row>
    <row r="230" spans="1:17" x14ac:dyDescent="0.2">
      <c r="A230" s="484"/>
      <c r="B230" s="440">
        <v>14</v>
      </c>
      <c r="C230" s="443">
        <v>69</v>
      </c>
      <c r="D230" s="448">
        <v>70</v>
      </c>
      <c r="E230" s="440">
        <v>14</v>
      </c>
      <c r="F230" s="496"/>
      <c r="L230" s="484"/>
      <c r="M230" s="440">
        <v>14</v>
      </c>
      <c r="N230" s="443">
        <v>69</v>
      </c>
      <c r="O230" s="448">
        <v>70</v>
      </c>
      <c r="P230" s="440">
        <v>14</v>
      </c>
      <c r="Q230" s="496"/>
    </row>
    <row r="231" spans="1:17" x14ac:dyDescent="0.2">
      <c r="A231" s="484"/>
      <c r="B231" s="440">
        <v>15</v>
      </c>
      <c r="C231" s="443">
        <v>71</v>
      </c>
      <c r="D231" s="448">
        <v>72</v>
      </c>
      <c r="E231" s="440">
        <v>15</v>
      </c>
      <c r="F231" s="496"/>
      <c r="L231" s="484"/>
      <c r="M231" s="440">
        <v>15</v>
      </c>
      <c r="N231" s="443">
        <v>71</v>
      </c>
      <c r="O231" s="448">
        <v>72</v>
      </c>
      <c r="P231" s="440">
        <v>15</v>
      </c>
      <c r="Q231" s="496"/>
    </row>
    <row r="232" spans="1:17" x14ac:dyDescent="0.2">
      <c r="A232" s="484"/>
      <c r="B232" s="440">
        <v>16</v>
      </c>
      <c r="C232" s="443">
        <v>73</v>
      </c>
      <c r="D232" s="448">
        <v>74</v>
      </c>
      <c r="E232" s="440">
        <v>16</v>
      </c>
      <c r="F232" s="496"/>
      <c r="L232" s="484"/>
      <c r="M232" s="440">
        <v>16</v>
      </c>
      <c r="N232" s="443">
        <v>73</v>
      </c>
      <c r="O232" s="448">
        <v>74</v>
      </c>
      <c r="P232" s="440">
        <v>16</v>
      </c>
      <c r="Q232" s="496"/>
    </row>
    <row r="233" spans="1:17" x14ac:dyDescent="0.2">
      <c r="A233" s="484"/>
      <c r="B233" s="440">
        <v>17</v>
      </c>
      <c r="C233" s="443">
        <v>75</v>
      </c>
      <c r="D233" s="448">
        <v>76</v>
      </c>
      <c r="E233" s="440">
        <v>17</v>
      </c>
      <c r="F233" s="496"/>
      <c r="L233" s="484"/>
      <c r="M233" s="440">
        <v>17</v>
      </c>
      <c r="N233" s="443">
        <v>75</v>
      </c>
      <c r="O233" s="448">
        <v>76</v>
      </c>
      <c r="P233" s="440">
        <v>17</v>
      </c>
      <c r="Q233" s="496"/>
    </row>
    <row r="234" spans="1:17" x14ac:dyDescent="0.2">
      <c r="A234" s="484"/>
      <c r="B234" s="440">
        <v>18</v>
      </c>
      <c r="C234" s="443">
        <v>77</v>
      </c>
      <c r="D234" s="448">
        <v>78</v>
      </c>
      <c r="E234" s="440">
        <v>18</v>
      </c>
      <c r="F234" s="496"/>
      <c r="L234" s="484"/>
      <c r="M234" s="440">
        <v>18</v>
      </c>
      <c r="N234" s="443">
        <v>77</v>
      </c>
      <c r="O234" s="448">
        <v>78</v>
      </c>
      <c r="P234" s="440">
        <v>18</v>
      </c>
      <c r="Q234" s="496"/>
    </row>
    <row r="235" spans="1:17" x14ac:dyDescent="0.2">
      <c r="A235" s="484"/>
      <c r="B235" s="440">
        <v>19</v>
      </c>
      <c r="C235" s="443">
        <v>79</v>
      </c>
      <c r="D235" s="448">
        <v>80</v>
      </c>
      <c r="E235" s="440">
        <v>19</v>
      </c>
      <c r="F235" s="496"/>
      <c r="L235" s="484"/>
      <c r="M235" s="440">
        <v>19</v>
      </c>
      <c r="N235" s="443">
        <v>79</v>
      </c>
      <c r="O235" s="448">
        <v>80</v>
      </c>
      <c r="P235" s="440">
        <v>19</v>
      </c>
      <c r="Q235" s="496"/>
    </row>
    <row r="236" spans="1:17" x14ac:dyDescent="0.2">
      <c r="A236" s="484"/>
      <c r="B236" s="440">
        <v>20</v>
      </c>
      <c r="C236" s="443">
        <v>81</v>
      </c>
      <c r="D236" s="443">
        <v>82</v>
      </c>
      <c r="E236" s="440">
        <v>20</v>
      </c>
      <c r="F236" s="496"/>
      <c r="L236" s="484"/>
      <c r="M236" s="440">
        <v>20</v>
      </c>
      <c r="N236" s="443">
        <v>81</v>
      </c>
      <c r="O236" s="443">
        <v>82</v>
      </c>
      <c r="P236" s="440">
        <v>20</v>
      </c>
      <c r="Q236" s="496"/>
    </row>
    <row r="237" spans="1:17" x14ac:dyDescent="0.2">
      <c r="A237" s="485"/>
      <c r="B237" s="440">
        <v>21</v>
      </c>
      <c r="C237" s="443">
        <v>83</v>
      </c>
      <c r="D237" s="448">
        <v>84</v>
      </c>
      <c r="E237" s="440">
        <v>21</v>
      </c>
      <c r="F237" s="497"/>
      <c r="L237" s="485"/>
      <c r="M237" s="440">
        <v>21</v>
      </c>
      <c r="N237" s="443">
        <v>83</v>
      </c>
      <c r="O237" s="448">
        <v>84</v>
      </c>
      <c r="P237" s="440">
        <v>21</v>
      </c>
      <c r="Q237" s="497"/>
    </row>
    <row r="241" spans="1:20" ht="16.5" x14ac:dyDescent="0.25">
      <c r="A241" s="427" t="s">
        <v>2403</v>
      </c>
    </row>
    <row r="242" spans="1:20" ht="15.75" customHeight="1" x14ac:dyDescent="0.2">
      <c r="A242" s="500" t="s">
        <v>2408</v>
      </c>
      <c r="B242" s="500"/>
      <c r="C242" s="500"/>
      <c r="D242" s="500"/>
      <c r="E242" s="500"/>
      <c r="F242" s="500"/>
      <c r="G242" s="500"/>
      <c r="H242" s="500"/>
      <c r="I242" s="500"/>
      <c r="J242" s="500"/>
      <c r="K242" s="500"/>
      <c r="L242" s="500"/>
      <c r="M242" s="500"/>
      <c r="N242" s="500"/>
      <c r="O242" s="500"/>
      <c r="P242" s="500"/>
      <c r="Q242" s="500"/>
      <c r="R242" s="500"/>
      <c r="S242" s="500"/>
      <c r="T242" s="500"/>
    </row>
    <row r="243" spans="1:20" ht="15.75" customHeight="1" x14ac:dyDescent="0.2">
      <c r="A243" s="500"/>
      <c r="B243" s="500"/>
      <c r="C243" s="500"/>
      <c r="D243" s="500"/>
      <c r="E243" s="500"/>
      <c r="F243" s="500"/>
      <c r="G243" s="500"/>
      <c r="H243" s="500"/>
      <c r="I243" s="500"/>
      <c r="J243" s="500"/>
      <c r="K243" s="500"/>
      <c r="L243" s="500"/>
      <c r="M243" s="500"/>
      <c r="N243" s="500"/>
      <c r="O243" s="500"/>
      <c r="P243" s="500"/>
      <c r="Q243" s="500"/>
      <c r="R243" s="500"/>
      <c r="S243" s="500"/>
      <c r="T243" s="500"/>
    </row>
    <row r="244" spans="1:20" ht="15.75" customHeight="1" x14ac:dyDescent="0.2">
      <c r="A244" s="503" t="s">
        <v>2449</v>
      </c>
      <c r="B244" s="503"/>
      <c r="C244" s="503"/>
      <c r="D244" s="503"/>
      <c r="E244" s="503"/>
      <c r="F244" s="503"/>
      <c r="G244" s="503"/>
      <c r="H244" s="503"/>
      <c r="I244" s="503"/>
      <c r="J244" s="503"/>
      <c r="K244" s="503"/>
      <c r="L244" s="503"/>
      <c r="M244" s="503"/>
      <c r="N244" s="503"/>
      <c r="O244" s="503"/>
      <c r="P244" s="503"/>
      <c r="Q244" s="503"/>
      <c r="R244" s="503"/>
      <c r="S244" s="503"/>
      <c r="T244" s="503"/>
    </row>
    <row r="245" spans="1:20" ht="12.75" customHeight="1" x14ac:dyDescent="0.2">
      <c r="A245" s="503"/>
      <c r="B245" s="503"/>
      <c r="C245" s="503"/>
      <c r="D245" s="503"/>
      <c r="E245" s="503"/>
      <c r="F245" s="503"/>
      <c r="G245" s="503"/>
      <c r="H245" s="503"/>
      <c r="I245" s="503"/>
      <c r="J245" s="503"/>
      <c r="K245" s="503"/>
      <c r="L245" s="503"/>
      <c r="M245" s="503"/>
      <c r="N245" s="503"/>
      <c r="O245" s="503"/>
      <c r="P245" s="503"/>
      <c r="Q245" s="503"/>
      <c r="R245" s="503"/>
      <c r="S245" s="503"/>
      <c r="T245" s="503"/>
    </row>
    <row r="246" spans="1:20" ht="12.75" customHeight="1" x14ac:dyDescent="0.2">
      <c r="A246" s="503"/>
      <c r="B246" s="503"/>
      <c r="C246" s="503"/>
      <c r="D246" s="503"/>
      <c r="E246" s="503"/>
      <c r="F246" s="503"/>
      <c r="G246" s="503"/>
      <c r="H246" s="503"/>
      <c r="I246" s="503"/>
      <c r="J246" s="503"/>
      <c r="K246" s="503"/>
      <c r="L246" s="503"/>
      <c r="M246" s="503"/>
      <c r="N246" s="503"/>
      <c r="O246" s="503"/>
      <c r="P246" s="503"/>
      <c r="Q246" s="503"/>
      <c r="R246" s="503"/>
      <c r="S246" s="503"/>
      <c r="T246" s="503"/>
    </row>
    <row r="247" spans="1:20" ht="12.75" customHeight="1" x14ac:dyDescent="0.2">
      <c r="A247" s="503"/>
      <c r="B247" s="503"/>
      <c r="C247" s="503"/>
      <c r="D247" s="503"/>
      <c r="E247" s="503"/>
      <c r="F247" s="503"/>
      <c r="G247" s="503"/>
      <c r="H247" s="503"/>
      <c r="I247" s="503"/>
      <c r="J247" s="503"/>
      <c r="K247" s="503"/>
      <c r="L247" s="503"/>
      <c r="M247" s="503"/>
      <c r="N247" s="503"/>
      <c r="O247" s="503"/>
      <c r="P247" s="503"/>
      <c r="Q247" s="503"/>
      <c r="R247" s="503"/>
      <c r="S247" s="503"/>
      <c r="T247" s="503"/>
    </row>
    <row r="248" spans="1:20" ht="12.75" customHeight="1" x14ac:dyDescent="0.2">
      <c r="A248" s="503"/>
      <c r="B248" s="503"/>
      <c r="C248" s="503"/>
      <c r="D248" s="503"/>
      <c r="E248" s="503"/>
      <c r="F248" s="503"/>
      <c r="G248" s="503"/>
      <c r="H248" s="503"/>
      <c r="I248" s="503"/>
      <c r="J248" s="503"/>
      <c r="K248" s="503"/>
      <c r="L248" s="503"/>
      <c r="M248" s="503"/>
      <c r="N248" s="503"/>
      <c r="O248" s="503"/>
      <c r="P248" s="503"/>
      <c r="Q248" s="503"/>
      <c r="R248" s="503"/>
      <c r="S248" s="503"/>
      <c r="T248" s="503"/>
    </row>
    <row r="249" spans="1:20" ht="12.75" customHeight="1" x14ac:dyDescent="0.2">
      <c r="A249" s="465"/>
      <c r="B249" s="465"/>
      <c r="C249" s="465"/>
      <c r="D249" s="465"/>
      <c r="E249" s="465"/>
      <c r="F249" s="465"/>
      <c r="G249" s="465"/>
      <c r="H249" s="465"/>
      <c r="I249" s="465"/>
      <c r="J249" s="465"/>
      <c r="K249" s="465"/>
      <c r="L249" s="465"/>
      <c r="M249" s="465"/>
      <c r="N249" s="465"/>
      <c r="O249" s="465"/>
      <c r="P249" s="465"/>
      <c r="Q249" s="465"/>
      <c r="R249" s="465"/>
      <c r="S249" s="465"/>
      <c r="T249" s="465"/>
    </row>
    <row r="250" spans="1:20" x14ac:dyDescent="0.2">
      <c r="C250" s="476" t="s">
        <v>2399</v>
      </c>
      <c r="D250" s="476"/>
      <c r="E250" s="476"/>
      <c r="F250" s="476"/>
      <c r="G250" s="476"/>
      <c r="L250" s="434"/>
      <c r="M250" s="434"/>
      <c r="N250" s="476" t="s">
        <v>2424</v>
      </c>
      <c r="O250" s="476"/>
      <c r="P250" s="476"/>
      <c r="Q250" s="476"/>
      <c r="R250" s="476"/>
    </row>
    <row r="251" spans="1:20" x14ac:dyDescent="0.2">
      <c r="C251" s="477" t="s">
        <v>2400</v>
      </c>
      <c r="D251" s="477"/>
      <c r="E251" s="477"/>
      <c r="F251" s="477"/>
      <c r="G251" s="477"/>
      <c r="H251" s="462"/>
      <c r="I251" s="462"/>
      <c r="J251" s="462"/>
      <c r="K251" s="462"/>
      <c r="L251" s="461"/>
      <c r="M251" s="461"/>
      <c r="N251" s="477" t="s">
        <v>2400</v>
      </c>
      <c r="O251" s="477"/>
      <c r="P251" s="477"/>
      <c r="Q251" s="477"/>
      <c r="R251" s="477"/>
    </row>
    <row r="252" spans="1:20" ht="12.75" customHeight="1" x14ac:dyDescent="0.2">
      <c r="C252" s="433"/>
      <c r="E252" s="487" t="s">
        <v>2376</v>
      </c>
      <c r="G252" s="456"/>
      <c r="L252" s="430"/>
      <c r="P252" s="487" t="s">
        <v>2376</v>
      </c>
    </row>
    <row r="253" spans="1:20" x14ac:dyDescent="0.2">
      <c r="C253" s="433"/>
      <c r="E253" s="487"/>
      <c r="G253" s="456"/>
      <c r="L253" s="430"/>
      <c r="P253" s="487"/>
    </row>
    <row r="254" spans="1:20" x14ac:dyDescent="0.2">
      <c r="C254" s="433"/>
      <c r="E254" s="487"/>
      <c r="G254" s="456"/>
      <c r="L254" s="430"/>
      <c r="P254" s="487"/>
    </row>
    <row r="255" spans="1:20" x14ac:dyDescent="0.2">
      <c r="C255" s="433"/>
      <c r="E255" s="487"/>
      <c r="G255" s="456"/>
      <c r="L255" s="430"/>
      <c r="P255" s="487"/>
    </row>
    <row r="256" spans="1:20" ht="15.75" x14ac:dyDescent="0.2">
      <c r="C256" s="432"/>
      <c r="D256" s="1" t="s">
        <v>2377</v>
      </c>
      <c r="E256" s="488"/>
      <c r="G256" s="12"/>
      <c r="L256" s="428"/>
      <c r="O256" s="1" t="s">
        <v>2377</v>
      </c>
      <c r="P256" s="488"/>
    </row>
    <row r="257" spans="4:17" ht="12.75" customHeight="1" x14ac:dyDescent="0.2">
      <c r="D257" s="440">
        <v>1</v>
      </c>
      <c r="E257" s="440" t="s">
        <v>2388</v>
      </c>
      <c r="F257" s="483" t="s">
        <v>2379</v>
      </c>
      <c r="I257" s="436" t="s">
        <v>2390</v>
      </c>
      <c r="O257" s="440">
        <v>1</v>
      </c>
      <c r="P257" s="440"/>
      <c r="Q257" s="483" t="s">
        <v>2380</v>
      </c>
    </row>
    <row r="258" spans="4:17" x14ac:dyDescent="0.2">
      <c r="D258" s="440">
        <v>2</v>
      </c>
      <c r="E258" s="440" t="s">
        <v>2388</v>
      </c>
      <c r="F258" s="484"/>
      <c r="I258" s="436" t="s">
        <v>2391</v>
      </c>
      <c r="O258" s="440">
        <v>2</v>
      </c>
      <c r="P258" s="440"/>
      <c r="Q258" s="484"/>
    </row>
    <row r="259" spans="4:17" x14ac:dyDescent="0.2">
      <c r="D259" s="440">
        <v>3</v>
      </c>
      <c r="E259" s="440" t="s">
        <v>2388</v>
      </c>
      <c r="F259" s="484"/>
      <c r="I259" s="436" t="s">
        <v>2389</v>
      </c>
      <c r="O259" s="440">
        <v>3</v>
      </c>
      <c r="P259" s="440"/>
      <c r="Q259" s="484"/>
    </row>
    <row r="260" spans="4:17" x14ac:dyDescent="0.2">
      <c r="D260" s="440">
        <v>4</v>
      </c>
      <c r="E260" s="440">
        <v>1</v>
      </c>
      <c r="F260" s="484"/>
      <c r="G260" s="458"/>
      <c r="O260" s="440">
        <v>4</v>
      </c>
      <c r="P260" s="440">
        <v>1</v>
      </c>
      <c r="Q260" s="484"/>
    </row>
    <row r="261" spans="4:17" x14ac:dyDescent="0.2">
      <c r="D261" s="440">
        <v>5</v>
      </c>
      <c r="E261" s="440">
        <v>2</v>
      </c>
      <c r="F261" s="484"/>
      <c r="G261" s="458"/>
      <c r="O261" s="440">
        <v>5</v>
      </c>
      <c r="P261" s="440">
        <v>2</v>
      </c>
      <c r="Q261" s="484"/>
    </row>
    <row r="262" spans="4:17" x14ac:dyDescent="0.2">
      <c r="D262" s="440">
        <v>6</v>
      </c>
      <c r="E262" s="440">
        <v>3</v>
      </c>
      <c r="F262" s="484"/>
      <c r="G262" s="458"/>
      <c r="O262" s="440">
        <v>6</v>
      </c>
      <c r="P262" s="440">
        <v>3</v>
      </c>
      <c r="Q262" s="484"/>
    </row>
    <row r="263" spans="4:17" x14ac:dyDescent="0.2">
      <c r="D263" s="440">
        <v>7</v>
      </c>
      <c r="E263" s="440">
        <v>4</v>
      </c>
      <c r="F263" s="484"/>
      <c r="G263" s="458"/>
      <c r="O263" s="440">
        <v>7</v>
      </c>
      <c r="P263" s="440">
        <v>4</v>
      </c>
      <c r="Q263" s="484"/>
    </row>
    <row r="264" spans="4:17" x14ac:dyDescent="0.2">
      <c r="D264" s="440">
        <v>8</v>
      </c>
      <c r="E264" s="440">
        <v>5</v>
      </c>
      <c r="F264" s="484"/>
      <c r="G264" s="458"/>
      <c r="O264" s="440">
        <v>8</v>
      </c>
      <c r="P264" s="440">
        <v>5</v>
      </c>
      <c r="Q264" s="484"/>
    </row>
    <row r="265" spans="4:17" x14ac:dyDescent="0.2">
      <c r="D265" s="440">
        <v>9</v>
      </c>
      <c r="E265" s="440">
        <v>6</v>
      </c>
      <c r="F265" s="484"/>
      <c r="G265" s="458"/>
      <c r="O265" s="440">
        <v>9</v>
      </c>
      <c r="P265" s="440">
        <v>6</v>
      </c>
      <c r="Q265" s="484"/>
    </row>
    <row r="266" spans="4:17" x14ac:dyDescent="0.2">
      <c r="D266" s="440">
        <v>10</v>
      </c>
      <c r="E266" s="440">
        <v>7</v>
      </c>
      <c r="F266" s="484"/>
      <c r="G266" s="458"/>
      <c r="O266" s="440">
        <v>10</v>
      </c>
      <c r="P266" s="440">
        <v>7</v>
      </c>
      <c r="Q266" s="484"/>
    </row>
    <row r="267" spans="4:17" x14ac:dyDescent="0.2">
      <c r="D267" s="440">
        <v>11</v>
      </c>
      <c r="E267" s="440">
        <v>8</v>
      </c>
      <c r="F267" s="484"/>
      <c r="G267" s="458"/>
      <c r="O267" s="440">
        <v>11</v>
      </c>
      <c r="P267" s="440">
        <v>8</v>
      </c>
      <c r="Q267" s="484"/>
    </row>
    <row r="268" spans="4:17" x14ac:dyDescent="0.2">
      <c r="D268" s="440">
        <v>12</v>
      </c>
      <c r="E268" s="440">
        <v>9</v>
      </c>
      <c r="F268" s="484"/>
      <c r="G268" s="458"/>
      <c r="O268" s="440">
        <v>12</v>
      </c>
      <c r="P268" s="440">
        <v>9</v>
      </c>
      <c r="Q268" s="484"/>
    </row>
    <row r="269" spans="4:17" x14ac:dyDescent="0.2">
      <c r="D269" s="440">
        <v>13</v>
      </c>
      <c r="E269" s="440">
        <v>10</v>
      </c>
      <c r="F269" s="484"/>
      <c r="G269" s="458"/>
      <c r="O269" s="440">
        <v>13</v>
      </c>
      <c r="P269" s="440">
        <v>10</v>
      </c>
      <c r="Q269" s="484"/>
    </row>
    <row r="270" spans="4:17" x14ac:dyDescent="0.2">
      <c r="D270" s="440">
        <v>14</v>
      </c>
      <c r="E270" s="440">
        <v>11</v>
      </c>
      <c r="F270" s="484"/>
      <c r="G270" s="458"/>
      <c r="O270" s="440">
        <v>14</v>
      </c>
      <c r="P270" s="440">
        <v>11</v>
      </c>
      <c r="Q270" s="484"/>
    </row>
    <row r="271" spans="4:17" x14ac:dyDescent="0.2">
      <c r="D271" s="440">
        <v>15</v>
      </c>
      <c r="E271" s="440">
        <v>12</v>
      </c>
      <c r="F271" s="485"/>
      <c r="G271" s="458"/>
      <c r="O271" s="440">
        <v>15</v>
      </c>
      <c r="P271" s="440">
        <v>12</v>
      </c>
      <c r="Q271" s="485"/>
    </row>
    <row r="272" spans="4:17" ht="12.75" customHeight="1" x14ac:dyDescent="0.2">
      <c r="D272" s="440">
        <v>16</v>
      </c>
      <c r="E272" s="440">
        <v>12</v>
      </c>
      <c r="F272" s="480" t="s">
        <v>2378</v>
      </c>
      <c r="G272" s="458"/>
      <c r="O272" s="440">
        <v>16</v>
      </c>
      <c r="P272" s="440">
        <v>12</v>
      </c>
      <c r="Q272" s="480" t="s">
        <v>2381</v>
      </c>
    </row>
    <row r="273" spans="4:20" x14ac:dyDescent="0.2">
      <c r="D273" s="440">
        <v>17</v>
      </c>
      <c r="E273" s="440">
        <v>11</v>
      </c>
      <c r="F273" s="481"/>
      <c r="G273" s="458"/>
      <c r="O273" s="440">
        <v>17</v>
      </c>
      <c r="P273" s="440">
        <v>11</v>
      </c>
      <c r="Q273" s="481"/>
    </row>
    <row r="274" spans="4:20" x14ac:dyDescent="0.2">
      <c r="D274" s="440">
        <v>18</v>
      </c>
      <c r="E274" s="440">
        <v>10</v>
      </c>
      <c r="F274" s="481"/>
      <c r="G274" s="439" t="s">
        <v>2384</v>
      </c>
      <c r="H274" s="436"/>
      <c r="I274" s="436"/>
      <c r="O274" s="440">
        <v>18</v>
      </c>
      <c r="P274" s="440">
        <v>10</v>
      </c>
      <c r="Q274" s="481"/>
      <c r="R274" s="439" t="s">
        <v>2384</v>
      </c>
      <c r="S274" s="436"/>
      <c r="T274" s="436"/>
    </row>
    <row r="275" spans="4:20" x14ac:dyDescent="0.2">
      <c r="D275" s="440">
        <v>19</v>
      </c>
      <c r="E275" s="440">
        <v>9</v>
      </c>
      <c r="F275" s="481"/>
      <c r="G275" s="436" t="s">
        <v>2445</v>
      </c>
      <c r="H275" s="436"/>
      <c r="I275" s="436"/>
      <c r="O275" s="440">
        <v>19</v>
      </c>
      <c r="P275" s="440">
        <v>9</v>
      </c>
      <c r="Q275" s="481"/>
      <c r="R275" s="436" t="s">
        <v>2445</v>
      </c>
      <c r="S275" s="436"/>
      <c r="T275" s="436"/>
    </row>
    <row r="276" spans="4:20" x14ac:dyDescent="0.2">
      <c r="D276" s="440">
        <v>20</v>
      </c>
      <c r="E276" s="440">
        <v>8</v>
      </c>
      <c r="F276" s="481"/>
      <c r="G276" s="436" t="s">
        <v>2446</v>
      </c>
      <c r="H276" s="436"/>
      <c r="I276" s="436"/>
      <c r="O276" s="440">
        <v>20</v>
      </c>
      <c r="P276" s="440">
        <v>8</v>
      </c>
      <c r="Q276" s="481"/>
      <c r="R276" s="436" t="s">
        <v>2383</v>
      </c>
      <c r="S276" s="436"/>
      <c r="T276" s="436"/>
    </row>
    <row r="277" spans="4:20" x14ac:dyDescent="0.2">
      <c r="D277" s="440">
        <v>21</v>
      </c>
      <c r="E277" s="440">
        <v>7</v>
      </c>
      <c r="F277" s="481"/>
      <c r="G277" s="436" t="s">
        <v>2430</v>
      </c>
      <c r="H277" s="436"/>
      <c r="I277" s="436"/>
      <c r="O277" s="440">
        <v>21</v>
      </c>
      <c r="P277" s="440">
        <v>7</v>
      </c>
      <c r="Q277" s="481"/>
      <c r="R277" s="436" t="s">
        <v>2430</v>
      </c>
      <c r="S277" s="436"/>
      <c r="T277" s="436"/>
    </row>
    <row r="278" spans="4:20" x14ac:dyDescent="0.2">
      <c r="D278" s="440">
        <v>22</v>
      </c>
      <c r="E278" s="440">
        <v>6</v>
      </c>
      <c r="F278" s="481"/>
      <c r="G278" s="478" t="s">
        <v>2447</v>
      </c>
      <c r="H278" s="479"/>
      <c r="I278" s="479"/>
      <c r="O278" s="440">
        <v>22</v>
      </c>
      <c r="P278" s="440">
        <v>6</v>
      </c>
      <c r="Q278" s="481"/>
      <c r="R278" s="478" t="s">
        <v>2386</v>
      </c>
      <c r="S278" s="479"/>
      <c r="T278" s="479"/>
    </row>
    <row r="279" spans="4:20" x14ac:dyDescent="0.2">
      <c r="D279" s="440">
        <v>23</v>
      </c>
      <c r="E279" s="440">
        <v>5</v>
      </c>
      <c r="F279" s="481"/>
      <c r="G279" s="478"/>
      <c r="H279" s="479"/>
      <c r="I279" s="479"/>
      <c r="O279" s="440">
        <v>23</v>
      </c>
      <c r="P279" s="440">
        <v>5</v>
      </c>
      <c r="Q279" s="481"/>
      <c r="R279" s="478"/>
      <c r="S279" s="479"/>
      <c r="T279" s="479"/>
    </row>
    <row r="280" spans="4:20" x14ac:dyDescent="0.2">
      <c r="D280" s="440">
        <v>24</v>
      </c>
      <c r="E280" s="440">
        <v>4</v>
      </c>
      <c r="F280" s="481"/>
      <c r="G280" s="458"/>
      <c r="O280" s="440">
        <v>24</v>
      </c>
      <c r="P280" s="440">
        <v>4</v>
      </c>
      <c r="Q280" s="481"/>
    </row>
    <row r="281" spans="4:20" x14ac:dyDescent="0.2">
      <c r="D281" s="440">
        <v>25</v>
      </c>
      <c r="E281" s="440">
        <v>3</v>
      </c>
      <c r="F281" s="481"/>
      <c r="G281" s="458"/>
      <c r="O281" s="440">
        <v>25</v>
      </c>
      <c r="P281" s="440">
        <v>3</v>
      </c>
      <c r="Q281" s="481"/>
    </row>
    <row r="282" spans="4:20" x14ac:dyDescent="0.2">
      <c r="D282" s="440">
        <v>26</v>
      </c>
      <c r="E282" s="440">
        <v>2</v>
      </c>
      <c r="F282" s="481"/>
      <c r="G282" s="458"/>
      <c r="O282" s="440">
        <v>26</v>
      </c>
      <c r="P282" s="440">
        <v>2</v>
      </c>
      <c r="Q282" s="481"/>
    </row>
    <row r="283" spans="4:20" x14ac:dyDescent="0.2">
      <c r="D283" s="440">
        <v>27</v>
      </c>
      <c r="E283" s="440">
        <v>1</v>
      </c>
      <c r="F283" s="481"/>
      <c r="G283" s="458"/>
      <c r="O283" s="440">
        <v>27</v>
      </c>
      <c r="P283" s="440">
        <v>1</v>
      </c>
      <c r="Q283" s="481"/>
    </row>
    <row r="284" spans="4:20" x14ac:dyDescent="0.2">
      <c r="D284" s="440">
        <v>28</v>
      </c>
      <c r="E284" s="440" t="s">
        <v>2387</v>
      </c>
      <c r="F284" s="481"/>
      <c r="G284" s="458"/>
      <c r="O284" s="440">
        <v>28</v>
      </c>
      <c r="P284" s="440"/>
      <c r="Q284" s="481"/>
    </row>
    <row r="285" spans="4:20" x14ac:dyDescent="0.2">
      <c r="D285" s="440">
        <v>29</v>
      </c>
      <c r="E285" s="440" t="s">
        <v>2387</v>
      </c>
      <c r="F285" s="481"/>
      <c r="G285" s="458"/>
      <c r="O285" s="440">
        <v>29</v>
      </c>
      <c r="P285" s="440"/>
      <c r="Q285" s="481"/>
    </row>
    <row r="286" spans="4:20" x14ac:dyDescent="0.2">
      <c r="D286" s="440">
        <v>30</v>
      </c>
      <c r="E286" s="440" t="s">
        <v>2387</v>
      </c>
      <c r="F286" s="482"/>
      <c r="G286" s="458"/>
      <c r="O286" s="440">
        <v>30</v>
      </c>
      <c r="P286" s="440"/>
      <c r="Q286" s="482"/>
    </row>
    <row r="290" spans="1:18" x14ac:dyDescent="0.2">
      <c r="B290" s="434"/>
      <c r="C290" s="476" t="s">
        <v>2412</v>
      </c>
      <c r="D290" s="476"/>
      <c r="E290" s="476"/>
      <c r="F290" s="476"/>
      <c r="G290" s="476"/>
      <c r="L290" s="434"/>
      <c r="M290" s="434"/>
      <c r="N290" s="476" t="s">
        <v>2431</v>
      </c>
      <c r="O290" s="476"/>
      <c r="P290" s="476"/>
      <c r="Q290" s="476"/>
      <c r="R290" s="476"/>
    </row>
    <row r="291" spans="1:18" x14ac:dyDescent="0.2">
      <c r="B291" s="435"/>
      <c r="C291" s="477" t="s">
        <v>2405</v>
      </c>
      <c r="D291" s="477"/>
      <c r="E291" s="477"/>
      <c r="F291" s="477"/>
      <c r="G291" s="477"/>
      <c r="H291" s="462"/>
      <c r="I291" s="462"/>
      <c r="J291" s="462"/>
      <c r="K291" s="462"/>
      <c r="L291" s="461"/>
      <c r="M291" s="461"/>
      <c r="N291" s="477" t="s">
        <v>2405</v>
      </c>
      <c r="O291" s="477"/>
      <c r="P291" s="477"/>
      <c r="Q291" s="477"/>
      <c r="R291" s="477"/>
    </row>
    <row r="292" spans="1:18" ht="12.75" customHeight="1" x14ac:dyDescent="0.2">
      <c r="A292" s="430"/>
      <c r="E292" s="487" t="s">
        <v>2376</v>
      </c>
      <c r="F292" s="459"/>
      <c r="G292" s="456"/>
      <c r="P292" s="487" t="s">
        <v>2376</v>
      </c>
      <c r="Q292" s="459"/>
    </row>
    <row r="293" spans="1:18" x14ac:dyDescent="0.2">
      <c r="A293" s="430"/>
      <c r="E293" s="487"/>
      <c r="F293" s="459"/>
      <c r="G293" s="456"/>
      <c r="P293" s="487"/>
      <c r="Q293" s="459"/>
    </row>
    <row r="294" spans="1:18" x14ac:dyDescent="0.2">
      <c r="A294" s="430"/>
      <c r="E294" s="487"/>
      <c r="F294" s="459"/>
      <c r="G294" s="456"/>
      <c r="P294" s="487"/>
      <c r="Q294" s="459"/>
    </row>
    <row r="295" spans="1:18" x14ac:dyDescent="0.2">
      <c r="A295" s="430"/>
      <c r="E295" s="487"/>
      <c r="F295" s="459"/>
      <c r="G295" s="456"/>
      <c r="P295" s="487"/>
      <c r="Q295" s="459"/>
    </row>
    <row r="296" spans="1:18" ht="15.75" x14ac:dyDescent="0.2">
      <c r="A296" s="428"/>
      <c r="D296" s="1" t="s">
        <v>2377</v>
      </c>
      <c r="E296" s="488"/>
      <c r="F296" s="459"/>
      <c r="G296" s="12"/>
      <c r="O296" s="1" t="s">
        <v>2377</v>
      </c>
      <c r="P296" s="488"/>
      <c r="Q296" s="459"/>
    </row>
    <row r="297" spans="1:18" ht="12.75" customHeight="1" x14ac:dyDescent="0.2">
      <c r="D297" s="440">
        <v>1</v>
      </c>
      <c r="E297" s="440" t="s">
        <v>2388</v>
      </c>
      <c r="F297" s="483" t="s">
        <v>2406</v>
      </c>
      <c r="G297" s="458"/>
      <c r="I297" s="436" t="s">
        <v>2390</v>
      </c>
      <c r="O297" s="440">
        <v>1</v>
      </c>
      <c r="P297" s="440"/>
      <c r="Q297" s="483" t="s">
        <v>2410</v>
      </c>
    </row>
    <row r="298" spans="1:18" x14ac:dyDescent="0.2">
      <c r="D298" s="440">
        <v>2</v>
      </c>
      <c r="E298" s="440" t="s">
        <v>2388</v>
      </c>
      <c r="F298" s="484"/>
      <c r="G298" s="458"/>
      <c r="I298" s="436" t="s">
        <v>2391</v>
      </c>
      <c r="O298" s="440">
        <v>2</v>
      </c>
      <c r="P298" s="440"/>
      <c r="Q298" s="484"/>
    </row>
    <row r="299" spans="1:18" x14ac:dyDescent="0.2">
      <c r="D299" s="440">
        <v>3</v>
      </c>
      <c r="E299" s="440" t="s">
        <v>2388</v>
      </c>
      <c r="F299" s="484"/>
      <c r="G299" s="458"/>
      <c r="I299" s="436" t="s">
        <v>2389</v>
      </c>
      <c r="O299" s="440">
        <v>3</v>
      </c>
      <c r="P299" s="440"/>
      <c r="Q299" s="484"/>
    </row>
    <row r="300" spans="1:18" x14ac:dyDescent="0.2">
      <c r="D300" s="440">
        <v>4</v>
      </c>
      <c r="E300" s="440">
        <v>1</v>
      </c>
      <c r="F300" s="484"/>
      <c r="G300" s="458"/>
      <c r="O300" s="440">
        <v>4</v>
      </c>
      <c r="P300" s="440">
        <v>1</v>
      </c>
      <c r="Q300" s="484"/>
    </row>
    <row r="301" spans="1:18" x14ac:dyDescent="0.2">
      <c r="D301" s="440">
        <v>5</v>
      </c>
      <c r="E301" s="440">
        <v>2</v>
      </c>
      <c r="F301" s="484"/>
      <c r="G301" s="458"/>
      <c r="O301" s="440">
        <v>5</v>
      </c>
      <c r="P301" s="440">
        <v>2</v>
      </c>
      <c r="Q301" s="484"/>
    </row>
    <row r="302" spans="1:18" x14ac:dyDescent="0.2">
      <c r="D302" s="440">
        <v>6</v>
      </c>
      <c r="E302" s="440">
        <v>3</v>
      </c>
      <c r="F302" s="484"/>
      <c r="G302" s="458"/>
      <c r="O302" s="440">
        <v>6</v>
      </c>
      <c r="P302" s="440">
        <v>3</v>
      </c>
      <c r="Q302" s="484"/>
    </row>
    <row r="303" spans="1:18" x14ac:dyDescent="0.2">
      <c r="D303" s="440">
        <v>7</v>
      </c>
      <c r="E303" s="440">
        <v>4</v>
      </c>
      <c r="F303" s="484"/>
      <c r="G303" s="458"/>
      <c r="O303" s="440">
        <v>7</v>
      </c>
      <c r="P303" s="440">
        <v>4</v>
      </c>
      <c r="Q303" s="484"/>
    </row>
    <row r="304" spans="1:18" x14ac:dyDescent="0.2">
      <c r="D304" s="440">
        <v>8</v>
      </c>
      <c r="E304" s="440">
        <v>5</v>
      </c>
      <c r="F304" s="484"/>
      <c r="G304" s="458"/>
      <c r="O304" s="440">
        <v>8</v>
      </c>
      <c r="P304" s="440">
        <v>5</v>
      </c>
      <c r="Q304" s="484"/>
    </row>
    <row r="305" spans="4:17" x14ac:dyDescent="0.2">
      <c r="D305" s="440">
        <v>9</v>
      </c>
      <c r="E305" s="440">
        <v>6</v>
      </c>
      <c r="F305" s="484"/>
      <c r="G305" s="458"/>
      <c r="O305" s="440">
        <v>9</v>
      </c>
      <c r="P305" s="440">
        <v>6</v>
      </c>
      <c r="Q305" s="484"/>
    </row>
    <row r="306" spans="4:17" x14ac:dyDescent="0.2">
      <c r="D306" s="440">
        <v>10</v>
      </c>
      <c r="E306" s="440">
        <v>7</v>
      </c>
      <c r="F306" s="484"/>
      <c r="G306" s="458"/>
      <c r="O306" s="440">
        <v>10</v>
      </c>
      <c r="P306" s="440">
        <v>7</v>
      </c>
      <c r="Q306" s="484"/>
    </row>
    <row r="307" spans="4:17" x14ac:dyDescent="0.2">
      <c r="D307" s="440">
        <v>11</v>
      </c>
      <c r="E307" s="440">
        <v>8</v>
      </c>
      <c r="F307" s="484"/>
      <c r="G307" s="458"/>
      <c r="O307" s="440">
        <v>11</v>
      </c>
      <c r="P307" s="440">
        <v>8</v>
      </c>
      <c r="Q307" s="484"/>
    </row>
    <row r="308" spans="4:17" x14ac:dyDescent="0.2">
      <c r="D308" s="440">
        <v>12</v>
      </c>
      <c r="E308" s="440">
        <v>9</v>
      </c>
      <c r="F308" s="484"/>
      <c r="G308" s="458"/>
      <c r="O308" s="440">
        <v>12</v>
      </c>
      <c r="P308" s="440">
        <v>9</v>
      </c>
      <c r="Q308" s="484"/>
    </row>
    <row r="309" spans="4:17" x14ac:dyDescent="0.2">
      <c r="D309" s="440">
        <v>13</v>
      </c>
      <c r="E309" s="440">
        <v>10</v>
      </c>
      <c r="F309" s="484"/>
      <c r="G309" s="458"/>
      <c r="O309" s="440">
        <v>13</v>
      </c>
      <c r="P309" s="440">
        <v>10</v>
      </c>
      <c r="Q309" s="484"/>
    </row>
    <row r="310" spans="4:17" x14ac:dyDescent="0.2">
      <c r="D310" s="440">
        <v>14</v>
      </c>
      <c r="E310" s="440">
        <v>11</v>
      </c>
      <c r="F310" s="484"/>
      <c r="G310" s="458"/>
      <c r="O310" s="440">
        <v>14</v>
      </c>
      <c r="P310" s="440">
        <v>11</v>
      </c>
      <c r="Q310" s="484"/>
    </row>
    <row r="311" spans="4:17" x14ac:dyDescent="0.2">
      <c r="D311" s="440">
        <v>15</v>
      </c>
      <c r="E311" s="440">
        <v>12</v>
      </c>
      <c r="F311" s="484"/>
      <c r="G311" s="458"/>
      <c r="O311" s="440">
        <v>15</v>
      </c>
      <c r="P311" s="440">
        <v>12</v>
      </c>
      <c r="Q311" s="484"/>
    </row>
    <row r="312" spans="4:17" x14ac:dyDescent="0.2">
      <c r="D312" s="440">
        <v>16</v>
      </c>
      <c r="E312" s="440">
        <v>13</v>
      </c>
      <c r="F312" s="484"/>
      <c r="G312" s="458"/>
      <c r="O312" s="440">
        <v>16</v>
      </c>
      <c r="P312" s="440">
        <v>13</v>
      </c>
      <c r="Q312" s="484"/>
    </row>
    <row r="313" spans="4:17" x14ac:dyDescent="0.2">
      <c r="D313" s="440">
        <v>17</v>
      </c>
      <c r="E313" s="440">
        <v>14</v>
      </c>
      <c r="F313" s="484"/>
      <c r="G313" s="458"/>
      <c r="O313" s="440">
        <v>17</v>
      </c>
      <c r="P313" s="440">
        <v>14</v>
      </c>
      <c r="Q313" s="484"/>
    </row>
    <row r="314" spans="4:17" x14ac:dyDescent="0.2">
      <c r="D314" s="440">
        <v>18</v>
      </c>
      <c r="E314" s="440">
        <v>15</v>
      </c>
      <c r="F314" s="484"/>
      <c r="G314" s="458"/>
      <c r="O314" s="440">
        <v>18</v>
      </c>
      <c r="P314" s="440">
        <v>15</v>
      </c>
      <c r="Q314" s="484"/>
    </row>
    <row r="315" spans="4:17" x14ac:dyDescent="0.2">
      <c r="D315" s="440">
        <v>19</v>
      </c>
      <c r="E315" s="440">
        <v>16</v>
      </c>
      <c r="F315" s="484"/>
      <c r="G315" s="458"/>
      <c r="O315" s="440">
        <v>19</v>
      </c>
      <c r="P315" s="440">
        <v>16</v>
      </c>
      <c r="Q315" s="484"/>
    </row>
    <row r="316" spans="4:17" x14ac:dyDescent="0.2">
      <c r="D316" s="440">
        <v>20</v>
      </c>
      <c r="E316" s="440">
        <v>17</v>
      </c>
      <c r="F316" s="484"/>
      <c r="G316" s="458"/>
      <c r="O316" s="440">
        <v>20</v>
      </c>
      <c r="P316" s="440">
        <v>17</v>
      </c>
      <c r="Q316" s="484"/>
    </row>
    <row r="317" spans="4:17" x14ac:dyDescent="0.2">
      <c r="D317" s="440">
        <v>21</v>
      </c>
      <c r="E317" s="440">
        <v>18</v>
      </c>
      <c r="F317" s="485"/>
      <c r="G317" s="458"/>
      <c r="O317" s="440">
        <v>21</v>
      </c>
      <c r="P317" s="440">
        <v>18</v>
      </c>
      <c r="Q317" s="485"/>
    </row>
    <row r="318" spans="4:17" ht="12.75" customHeight="1" x14ac:dyDescent="0.2">
      <c r="D318" s="440">
        <v>22</v>
      </c>
      <c r="E318" s="455">
        <v>18</v>
      </c>
      <c r="F318" s="486" t="s">
        <v>2407</v>
      </c>
      <c r="G318" s="458"/>
      <c r="O318" s="440">
        <v>22</v>
      </c>
      <c r="P318" s="455">
        <v>18</v>
      </c>
      <c r="Q318" s="486" t="s">
        <v>2411</v>
      </c>
    </row>
    <row r="319" spans="4:17" x14ac:dyDescent="0.2">
      <c r="D319" s="440">
        <v>23</v>
      </c>
      <c r="E319" s="455">
        <v>17</v>
      </c>
      <c r="F319" s="481"/>
      <c r="G319" s="458"/>
      <c r="O319" s="440">
        <v>23</v>
      </c>
      <c r="P319" s="455">
        <v>17</v>
      </c>
      <c r="Q319" s="481"/>
    </row>
    <row r="320" spans="4:17" x14ac:dyDescent="0.2">
      <c r="D320" s="440">
        <v>24</v>
      </c>
      <c r="E320" s="455">
        <v>16</v>
      </c>
      <c r="F320" s="481"/>
      <c r="G320" s="458"/>
      <c r="O320" s="440">
        <v>24</v>
      </c>
      <c r="P320" s="455">
        <v>16</v>
      </c>
      <c r="Q320" s="481"/>
    </row>
    <row r="321" spans="4:20" ht="12.75" customHeight="1" x14ac:dyDescent="0.2">
      <c r="D321" s="440">
        <v>25</v>
      </c>
      <c r="E321" s="455">
        <v>15</v>
      </c>
      <c r="F321" s="481"/>
      <c r="G321" s="458"/>
      <c r="O321" s="440">
        <v>25</v>
      </c>
      <c r="P321" s="455">
        <v>15</v>
      </c>
      <c r="Q321" s="481"/>
    </row>
    <row r="322" spans="4:20" x14ac:dyDescent="0.2">
      <c r="D322" s="440">
        <v>26</v>
      </c>
      <c r="E322" s="455">
        <v>14</v>
      </c>
      <c r="F322" s="481"/>
      <c r="G322" s="458"/>
      <c r="O322" s="440">
        <v>26</v>
      </c>
      <c r="P322" s="455">
        <v>14</v>
      </c>
      <c r="Q322" s="481"/>
    </row>
    <row r="323" spans="4:20" x14ac:dyDescent="0.2">
      <c r="D323" s="440">
        <v>27</v>
      </c>
      <c r="E323" s="455">
        <v>13</v>
      </c>
      <c r="F323" s="481"/>
      <c r="G323" s="458"/>
      <c r="O323" s="440">
        <v>27</v>
      </c>
      <c r="P323" s="455">
        <v>13</v>
      </c>
      <c r="Q323" s="481"/>
    </row>
    <row r="324" spans="4:20" x14ac:dyDescent="0.2">
      <c r="D324" s="440">
        <v>28</v>
      </c>
      <c r="E324" s="455">
        <v>12</v>
      </c>
      <c r="F324" s="481"/>
      <c r="G324" s="458"/>
      <c r="O324" s="440">
        <v>28</v>
      </c>
      <c r="P324" s="455">
        <v>12</v>
      </c>
      <c r="Q324" s="481"/>
    </row>
    <row r="325" spans="4:20" x14ac:dyDescent="0.2">
      <c r="D325" s="440">
        <v>29</v>
      </c>
      <c r="E325" s="455">
        <v>11</v>
      </c>
      <c r="F325" s="481"/>
      <c r="G325" s="458"/>
      <c r="O325" s="440">
        <v>29</v>
      </c>
      <c r="P325" s="455">
        <v>11</v>
      </c>
      <c r="Q325" s="481"/>
    </row>
    <row r="326" spans="4:20" x14ac:dyDescent="0.2">
      <c r="D326" s="440">
        <v>30</v>
      </c>
      <c r="E326" s="455">
        <v>10</v>
      </c>
      <c r="F326" s="481"/>
      <c r="G326" s="439" t="s">
        <v>2384</v>
      </c>
      <c r="H326" s="436"/>
      <c r="I326" s="436"/>
      <c r="O326" s="440">
        <v>30</v>
      </c>
      <c r="P326" s="455">
        <v>10</v>
      </c>
      <c r="Q326" s="481"/>
      <c r="R326" s="439" t="s">
        <v>2384</v>
      </c>
      <c r="S326" s="436"/>
      <c r="T326" s="436"/>
    </row>
    <row r="327" spans="4:20" x14ac:dyDescent="0.2">
      <c r="D327" s="440">
        <v>31</v>
      </c>
      <c r="E327" s="455">
        <v>9</v>
      </c>
      <c r="F327" s="481"/>
      <c r="G327" s="436" t="s">
        <v>2448</v>
      </c>
      <c r="H327" s="436"/>
      <c r="I327" s="436"/>
      <c r="O327" s="440">
        <v>31</v>
      </c>
      <c r="P327" s="455">
        <v>9</v>
      </c>
      <c r="Q327" s="481"/>
      <c r="R327" s="436" t="s">
        <v>2448</v>
      </c>
      <c r="S327" s="436"/>
      <c r="T327" s="436"/>
    </row>
    <row r="328" spans="4:20" x14ac:dyDescent="0.2">
      <c r="D328" s="440">
        <v>32</v>
      </c>
      <c r="E328" s="455">
        <v>8</v>
      </c>
      <c r="F328" s="481"/>
      <c r="G328" s="436" t="s">
        <v>2446</v>
      </c>
      <c r="H328" s="436"/>
      <c r="I328" s="436"/>
      <c r="O328" s="440">
        <v>32</v>
      </c>
      <c r="P328" s="455">
        <v>8</v>
      </c>
      <c r="Q328" s="481"/>
      <c r="R328" s="436" t="s">
        <v>2383</v>
      </c>
      <c r="S328" s="436"/>
      <c r="T328" s="436"/>
    </row>
    <row r="329" spans="4:20" x14ac:dyDescent="0.2">
      <c r="D329" s="440">
        <v>33</v>
      </c>
      <c r="E329" s="455">
        <v>7</v>
      </c>
      <c r="F329" s="481"/>
      <c r="G329" s="436" t="s">
        <v>2430</v>
      </c>
      <c r="H329" s="436"/>
      <c r="I329" s="436"/>
      <c r="O329" s="440">
        <v>33</v>
      </c>
      <c r="P329" s="455">
        <v>7</v>
      </c>
      <c r="Q329" s="481"/>
      <c r="R329" s="436" t="s">
        <v>2430</v>
      </c>
      <c r="S329" s="436"/>
      <c r="T329" s="436"/>
    </row>
    <row r="330" spans="4:20" x14ac:dyDescent="0.2">
      <c r="D330" s="440">
        <v>34</v>
      </c>
      <c r="E330" s="455">
        <v>6</v>
      </c>
      <c r="F330" s="481"/>
      <c r="G330" s="478" t="s">
        <v>2447</v>
      </c>
      <c r="H330" s="479"/>
      <c r="I330" s="479"/>
      <c r="O330" s="440">
        <v>34</v>
      </c>
      <c r="P330" s="455">
        <v>6</v>
      </c>
      <c r="Q330" s="481"/>
      <c r="R330" s="478" t="s">
        <v>2386</v>
      </c>
      <c r="S330" s="479"/>
      <c r="T330" s="479"/>
    </row>
    <row r="331" spans="4:20" x14ac:dyDescent="0.2">
      <c r="D331" s="440">
        <v>35</v>
      </c>
      <c r="E331" s="455">
        <v>5</v>
      </c>
      <c r="F331" s="481"/>
      <c r="G331" s="478"/>
      <c r="H331" s="479"/>
      <c r="I331" s="479"/>
      <c r="O331" s="440">
        <v>35</v>
      </c>
      <c r="P331" s="455">
        <v>5</v>
      </c>
      <c r="Q331" s="481"/>
      <c r="R331" s="478"/>
      <c r="S331" s="479"/>
      <c r="T331" s="479"/>
    </row>
    <row r="332" spans="4:20" x14ac:dyDescent="0.2">
      <c r="D332" s="440">
        <v>36</v>
      </c>
      <c r="E332" s="455">
        <v>4</v>
      </c>
      <c r="F332" s="481"/>
      <c r="G332" s="458"/>
      <c r="O332" s="440">
        <v>36</v>
      </c>
      <c r="P332" s="455">
        <v>4</v>
      </c>
      <c r="Q332" s="481"/>
    </row>
    <row r="333" spans="4:20" x14ac:dyDescent="0.2">
      <c r="D333" s="440">
        <v>37</v>
      </c>
      <c r="E333" s="455">
        <v>3</v>
      </c>
      <c r="F333" s="481"/>
      <c r="G333" s="458"/>
      <c r="O333" s="440">
        <v>37</v>
      </c>
      <c r="P333" s="455">
        <v>3</v>
      </c>
      <c r="Q333" s="481"/>
    </row>
    <row r="334" spans="4:20" x14ac:dyDescent="0.2">
      <c r="D334" s="440">
        <v>38</v>
      </c>
      <c r="E334" s="455">
        <v>2</v>
      </c>
      <c r="F334" s="481"/>
      <c r="G334" s="458"/>
      <c r="O334" s="440">
        <v>38</v>
      </c>
      <c r="P334" s="455">
        <v>2</v>
      </c>
      <c r="Q334" s="481"/>
    </row>
    <row r="335" spans="4:20" x14ac:dyDescent="0.2">
      <c r="D335" s="440">
        <v>39</v>
      </c>
      <c r="E335" s="455">
        <v>1</v>
      </c>
      <c r="F335" s="481"/>
      <c r="G335" s="458"/>
      <c r="O335" s="440">
        <v>39</v>
      </c>
      <c r="P335" s="455">
        <v>1</v>
      </c>
      <c r="Q335" s="481"/>
    </row>
    <row r="336" spans="4:20" x14ac:dyDescent="0.2">
      <c r="D336" s="440">
        <v>40</v>
      </c>
      <c r="E336" s="455" t="s">
        <v>2387</v>
      </c>
      <c r="F336" s="481"/>
      <c r="G336" s="458"/>
      <c r="O336" s="440">
        <v>40</v>
      </c>
      <c r="P336" s="455"/>
      <c r="Q336" s="481"/>
    </row>
    <row r="337" spans="1:18" x14ac:dyDescent="0.2">
      <c r="D337" s="440">
        <v>41</v>
      </c>
      <c r="E337" s="455" t="s">
        <v>2387</v>
      </c>
      <c r="F337" s="481"/>
      <c r="G337" s="458"/>
      <c r="O337" s="440">
        <v>41</v>
      </c>
      <c r="P337" s="455"/>
      <c r="Q337" s="481"/>
    </row>
    <row r="338" spans="1:18" x14ac:dyDescent="0.2">
      <c r="D338" s="440">
        <v>42</v>
      </c>
      <c r="E338" s="455" t="s">
        <v>2387</v>
      </c>
      <c r="F338" s="482"/>
      <c r="G338" s="458"/>
      <c r="O338" s="440">
        <v>42</v>
      </c>
      <c r="P338" s="455"/>
      <c r="Q338" s="482"/>
    </row>
    <row r="342" spans="1:18" x14ac:dyDescent="0.2">
      <c r="B342" s="434"/>
      <c r="C342" s="476" t="s">
        <v>2412</v>
      </c>
      <c r="D342" s="476"/>
      <c r="E342" s="476"/>
      <c r="F342" s="476"/>
      <c r="G342" s="476"/>
      <c r="N342" s="476" t="s">
        <v>2431</v>
      </c>
      <c r="O342" s="476"/>
      <c r="P342" s="476"/>
      <c r="Q342" s="476"/>
      <c r="R342" s="476"/>
    </row>
    <row r="343" spans="1:18" x14ac:dyDescent="0.2">
      <c r="B343" s="435"/>
      <c r="C343" s="477" t="s">
        <v>2404</v>
      </c>
      <c r="D343" s="477"/>
      <c r="E343" s="477"/>
      <c r="F343" s="477"/>
      <c r="G343" s="477"/>
      <c r="H343" s="462"/>
      <c r="I343" s="462"/>
      <c r="J343" s="462"/>
      <c r="K343" s="462"/>
      <c r="L343" s="462"/>
      <c r="M343" s="462"/>
      <c r="N343" s="477" t="s">
        <v>2404</v>
      </c>
      <c r="O343" s="477"/>
      <c r="P343" s="477"/>
      <c r="Q343" s="477"/>
      <c r="R343" s="477"/>
    </row>
    <row r="344" spans="1:18" x14ac:dyDescent="0.2">
      <c r="A344" s="430"/>
      <c r="E344" s="487" t="s">
        <v>2376</v>
      </c>
      <c r="M344" s="456"/>
      <c r="P344" s="487" t="s">
        <v>2376</v>
      </c>
    </row>
    <row r="345" spans="1:18" x14ac:dyDescent="0.2">
      <c r="A345" s="430"/>
      <c r="E345" s="487"/>
      <c r="M345" s="456"/>
      <c r="P345" s="487"/>
    </row>
    <row r="346" spans="1:18" x14ac:dyDescent="0.2">
      <c r="A346" s="430"/>
      <c r="E346" s="487"/>
      <c r="L346" s="461"/>
      <c r="M346" s="461"/>
      <c r="N346" s="461"/>
      <c r="P346" s="487"/>
      <c r="R346" s="461"/>
    </row>
    <row r="347" spans="1:18" x14ac:dyDescent="0.2">
      <c r="A347" s="430"/>
      <c r="E347" s="487"/>
      <c r="M347" s="456"/>
      <c r="P347" s="487"/>
    </row>
    <row r="348" spans="1:18" ht="15.75" x14ac:dyDescent="0.2">
      <c r="A348" s="428"/>
      <c r="D348" s="1" t="s">
        <v>2377</v>
      </c>
      <c r="E348" s="499"/>
      <c r="O348" s="1" t="s">
        <v>2377</v>
      </c>
      <c r="P348" s="499"/>
    </row>
    <row r="349" spans="1:18" x14ac:dyDescent="0.2">
      <c r="D349" s="1"/>
      <c r="E349" s="457"/>
      <c r="F349" s="483" t="s">
        <v>2413</v>
      </c>
      <c r="I349" s="436" t="s">
        <v>2390</v>
      </c>
      <c r="O349" s="1"/>
      <c r="P349" s="457"/>
      <c r="Q349" s="483" t="s">
        <v>2415</v>
      </c>
    </row>
    <row r="350" spans="1:18" x14ac:dyDescent="0.2">
      <c r="D350" s="1"/>
      <c r="E350" s="457"/>
      <c r="F350" s="484"/>
      <c r="I350" s="436" t="s">
        <v>2391</v>
      </c>
      <c r="O350" s="1"/>
      <c r="P350" s="457"/>
      <c r="Q350" s="484"/>
    </row>
    <row r="351" spans="1:18" x14ac:dyDescent="0.2">
      <c r="D351" s="1"/>
      <c r="E351" s="457"/>
      <c r="F351" s="484"/>
      <c r="I351" s="436" t="s">
        <v>2389</v>
      </c>
      <c r="O351" s="1"/>
      <c r="P351" s="457"/>
      <c r="Q351" s="484"/>
    </row>
    <row r="352" spans="1:18" x14ac:dyDescent="0.2">
      <c r="D352" s="440">
        <v>1</v>
      </c>
      <c r="E352" s="440" t="s">
        <v>2388</v>
      </c>
      <c r="F352" s="484"/>
      <c r="O352" s="440">
        <v>1</v>
      </c>
      <c r="P352" s="440"/>
      <c r="Q352" s="484"/>
    </row>
    <row r="353" spans="4:17" x14ac:dyDescent="0.2">
      <c r="D353" s="440">
        <v>2</v>
      </c>
      <c r="E353" s="440" t="s">
        <v>2388</v>
      </c>
      <c r="F353" s="484"/>
      <c r="O353" s="440">
        <v>2</v>
      </c>
      <c r="P353" s="440"/>
      <c r="Q353" s="484"/>
    </row>
    <row r="354" spans="4:17" x14ac:dyDescent="0.2">
      <c r="D354" s="440">
        <v>3</v>
      </c>
      <c r="E354" s="440" t="s">
        <v>2388</v>
      </c>
      <c r="F354" s="484"/>
      <c r="O354" s="440">
        <v>3</v>
      </c>
      <c r="P354" s="440"/>
      <c r="Q354" s="484"/>
    </row>
    <row r="355" spans="4:17" x14ac:dyDescent="0.2">
      <c r="D355" s="440">
        <v>4</v>
      </c>
      <c r="E355" s="440">
        <v>1</v>
      </c>
      <c r="F355" s="484"/>
      <c r="O355" s="440">
        <v>4</v>
      </c>
      <c r="P355" s="440">
        <v>1</v>
      </c>
      <c r="Q355" s="484"/>
    </row>
    <row r="356" spans="4:17" x14ac:dyDescent="0.2">
      <c r="D356" s="440">
        <v>5</v>
      </c>
      <c r="E356" s="440">
        <v>2</v>
      </c>
      <c r="F356" s="484"/>
      <c r="O356" s="440">
        <v>5</v>
      </c>
      <c r="P356" s="440">
        <v>2</v>
      </c>
      <c r="Q356" s="484"/>
    </row>
    <row r="357" spans="4:17" x14ac:dyDescent="0.2">
      <c r="D357" s="440">
        <v>6</v>
      </c>
      <c r="E357" s="440">
        <v>3</v>
      </c>
      <c r="F357" s="484"/>
      <c r="O357" s="440">
        <v>6</v>
      </c>
      <c r="P357" s="440">
        <v>3</v>
      </c>
      <c r="Q357" s="484"/>
    </row>
    <row r="358" spans="4:17" x14ac:dyDescent="0.2">
      <c r="D358" s="440">
        <v>7</v>
      </c>
      <c r="E358" s="440">
        <v>4</v>
      </c>
      <c r="F358" s="484"/>
      <c r="O358" s="440">
        <v>7</v>
      </c>
      <c r="P358" s="440">
        <v>4</v>
      </c>
      <c r="Q358" s="484"/>
    </row>
    <row r="359" spans="4:17" x14ac:dyDescent="0.2">
      <c r="D359" s="440">
        <v>8</v>
      </c>
      <c r="E359" s="440">
        <v>5</v>
      </c>
      <c r="F359" s="484"/>
      <c r="O359" s="440">
        <v>8</v>
      </c>
      <c r="P359" s="440">
        <v>5</v>
      </c>
      <c r="Q359" s="484"/>
    </row>
    <row r="360" spans="4:17" x14ac:dyDescent="0.2">
      <c r="D360" s="440">
        <v>9</v>
      </c>
      <c r="E360" s="440">
        <v>6</v>
      </c>
      <c r="F360" s="484"/>
      <c r="O360" s="440">
        <v>9</v>
      </c>
      <c r="P360" s="440">
        <v>6</v>
      </c>
      <c r="Q360" s="484"/>
    </row>
    <row r="361" spans="4:17" x14ac:dyDescent="0.2">
      <c r="D361" s="440">
        <v>10</v>
      </c>
      <c r="E361" s="440">
        <v>7</v>
      </c>
      <c r="F361" s="484"/>
      <c r="O361" s="440">
        <v>10</v>
      </c>
      <c r="P361" s="440">
        <v>7</v>
      </c>
      <c r="Q361" s="484"/>
    </row>
    <row r="362" spans="4:17" x14ac:dyDescent="0.2">
      <c r="D362" s="440">
        <v>11</v>
      </c>
      <c r="E362" s="440">
        <v>8</v>
      </c>
      <c r="F362" s="484"/>
      <c r="O362" s="440">
        <v>11</v>
      </c>
      <c r="P362" s="440">
        <v>8</v>
      </c>
      <c r="Q362" s="484"/>
    </row>
    <row r="363" spans="4:17" x14ac:dyDescent="0.2">
      <c r="D363" s="440">
        <v>12</v>
      </c>
      <c r="E363" s="440">
        <v>9</v>
      </c>
      <c r="F363" s="484"/>
      <c r="O363" s="440">
        <v>12</v>
      </c>
      <c r="P363" s="440">
        <v>9</v>
      </c>
      <c r="Q363" s="484"/>
    </row>
    <row r="364" spans="4:17" x14ac:dyDescent="0.2">
      <c r="D364" s="440">
        <v>13</v>
      </c>
      <c r="E364" s="440">
        <v>10</v>
      </c>
      <c r="F364" s="484"/>
      <c r="O364" s="440">
        <v>13</v>
      </c>
      <c r="P364" s="440">
        <v>10</v>
      </c>
      <c r="Q364" s="484"/>
    </row>
    <row r="365" spans="4:17" x14ac:dyDescent="0.2">
      <c r="D365" s="440">
        <v>14</v>
      </c>
      <c r="E365" s="440">
        <v>11</v>
      </c>
      <c r="F365" s="484"/>
      <c r="O365" s="440">
        <v>14</v>
      </c>
      <c r="P365" s="440">
        <v>11</v>
      </c>
      <c r="Q365" s="484"/>
    </row>
    <row r="366" spans="4:17" x14ac:dyDescent="0.2">
      <c r="D366" s="440">
        <v>15</v>
      </c>
      <c r="E366" s="440">
        <v>12</v>
      </c>
      <c r="F366" s="484"/>
      <c r="O366" s="440">
        <v>15</v>
      </c>
      <c r="P366" s="440">
        <v>12</v>
      </c>
      <c r="Q366" s="484"/>
    </row>
    <row r="367" spans="4:17" x14ac:dyDescent="0.2">
      <c r="D367" s="440">
        <v>16</v>
      </c>
      <c r="E367" s="440">
        <v>13</v>
      </c>
      <c r="F367" s="484"/>
      <c r="O367" s="440">
        <v>16</v>
      </c>
      <c r="P367" s="440">
        <v>13</v>
      </c>
      <c r="Q367" s="484"/>
    </row>
    <row r="368" spans="4:17" x14ac:dyDescent="0.2">
      <c r="D368" s="440">
        <v>17</v>
      </c>
      <c r="E368" s="440">
        <v>14</v>
      </c>
      <c r="F368" s="484"/>
      <c r="O368" s="440">
        <v>17</v>
      </c>
      <c r="P368" s="440">
        <v>14</v>
      </c>
      <c r="Q368" s="484"/>
    </row>
    <row r="369" spans="4:20" x14ac:dyDescent="0.2">
      <c r="D369" s="440">
        <v>18</v>
      </c>
      <c r="E369" s="440">
        <v>15</v>
      </c>
      <c r="F369" s="484"/>
      <c r="O369" s="440">
        <v>18</v>
      </c>
      <c r="P369" s="440">
        <v>15</v>
      </c>
      <c r="Q369" s="484"/>
    </row>
    <row r="370" spans="4:20" x14ac:dyDescent="0.2">
      <c r="D370" s="440">
        <v>19</v>
      </c>
      <c r="E370" s="440">
        <v>16</v>
      </c>
      <c r="F370" s="484"/>
      <c r="O370" s="440">
        <v>19</v>
      </c>
      <c r="P370" s="440">
        <v>16</v>
      </c>
      <c r="Q370" s="484"/>
    </row>
    <row r="371" spans="4:20" x14ac:dyDescent="0.2">
      <c r="D371" s="440">
        <v>20</v>
      </c>
      <c r="E371" s="440">
        <v>17</v>
      </c>
      <c r="F371" s="484"/>
      <c r="O371" s="440">
        <v>20</v>
      </c>
      <c r="P371" s="440">
        <v>17</v>
      </c>
      <c r="Q371" s="484"/>
    </row>
    <row r="372" spans="4:20" x14ac:dyDescent="0.2">
      <c r="D372" s="440">
        <v>21</v>
      </c>
      <c r="E372" s="440">
        <v>18</v>
      </c>
      <c r="F372" s="485"/>
      <c r="O372" s="440">
        <v>21</v>
      </c>
      <c r="P372" s="440">
        <v>18</v>
      </c>
      <c r="Q372" s="485"/>
    </row>
    <row r="373" spans="4:20" x14ac:dyDescent="0.2">
      <c r="D373" s="440">
        <v>22</v>
      </c>
      <c r="E373" s="455">
        <v>18</v>
      </c>
      <c r="F373" s="486" t="s">
        <v>2414</v>
      </c>
      <c r="O373" s="440">
        <v>22</v>
      </c>
      <c r="P373" s="455">
        <v>18</v>
      </c>
      <c r="Q373" s="486" t="s">
        <v>2416</v>
      </c>
    </row>
    <row r="374" spans="4:20" x14ac:dyDescent="0.2">
      <c r="D374" s="440">
        <v>23</v>
      </c>
      <c r="E374" s="455">
        <v>17</v>
      </c>
      <c r="F374" s="481"/>
      <c r="O374" s="440">
        <v>23</v>
      </c>
      <c r="P374" s="455">
        <v>17</v>
      </c>
      <c r="Q374" s="481"/>
    </row>
    <row r="375" spans="4:20" x14ac:dyDescent="0.2">
      <c r="D375" s="440">
        <v>24</v>
      </c>
      <c r="E375" s="455">
        <v>16</v>
      </c>
      <c r="F375" s="481"/>
      <c r="O375" s="440">
        <v>24</v>
      </c>
      <c r="P375" s="455">
        <v>16</v>
      </c>
      <c r="Q375" s="481"/>
    </row>
    <row r="376" spans="4:20" x14ac:dyDescent="0.2">
      <c r="D376" s="440">
        <v>25</v>
      </c>
      <c r="E376" s="455">
        <v>15</v>
      </c>
      <c r="F376" s="481"/>
      <c r="O376" s="440">
        <v>25</v>
      </c>
      <c r="P376" s="455">
        <v>15</v>
      </c>
      <c r="Q376" s="481"/>
    </row>
    <row r="377" spans="4:20" x14ac:dyDescent="0.2">
      <c r="D377" s="440">
        <v>26</v>
      </c>
      <c r="E377" s="455">
        <v>14</v>
      </c>
      <c r="F377" s="481"/>
      <c r="O377" s="440">
        <v>26</v>
      </c>
      <c r="P377" s="455">
        <v>14</v>
      </c>
      <c r="Q377" s="481"/>
    </row>
    <row r="378" spans="4:20" x14ac:dyDescent="0.2">
      <c r="D378" s="440">
        <v>27</v>
      </c>
      <c r="E378" s="455">
        <v>13</v>
      </c>
      <c r="F378" s="481"/>
      <c r="O378" s="440">
        <v>27</v>
      </c>
      <c r="P378" s="455">
        <v>13</v>
      </c>
      <c r="Q378" s="481"/>
    </row>
    <row r="379" spans="4:20" x14ac:dyDescent="0.2">
      <c r="D379" s="440">
        <v>28</v>
      </c>
      <c r="E379" s="455">
        <v>12</v>
      </c>
      <c r="F379" s="481"/>
      <c r="O379" s="440">
        <v>28</v>
      </c>
      <c r="P379" s="455">
        <v>12</v>
      </c>
      <c r="Q379" s="481"/>
    </row>
    <row r="380" spans="4:20" x14ac:dyDescent="0.2">
      <c r="D380" s="440">
        <v>29</v>
      </c>
      <c r="E380" s="455">
        <v>11</v>
      </c>
      <c r="F380" s="481"/>
      <c r="O380" s="440">
        <v>29</v>
      </c>
      <c r="P380" s="455">
        <v>11</v>
      </c>
      <c r="Q380" s="481"/>
    </row>
    <row r="381" spans="4:20" x14ac:dyDescent="0.2">
      <c r="D381" s="440">
        <v>30</v>
      </c>
      <c r="E381" s="455">
        <v>10</v>
      </c>
      <c r="F381" s="481"/>
      <c r="G381" s="439" t="s">
        <v>2384</v>
      </c>
      <c r="H381" s="436"/>
      <c r="I381" s="436"/>
      <c r="O381" s="440">
        <v>30</v>
      </c>
      <c r="P381" s="455">
        <v>10</v>
      </c>
      <c r="Q381" s="481"/>
      <c r="R381" s="439" t="s">
        <v>2384</v>
      </c>
      <c r="S381" s="436"/>
      <c r="T381" s="436"/>
    </row>
    <row r="382" spans="4:20" x14ac:dyDescent="0.2">
      <c r="D382" s="440">
        <v>31</v>
      </c>
      <c r="E382" s="455">
        <v>9</v>
      </c>
      <c r="F382" s="481"/>
      <c r="G382" s="436" t="s">
        <v>2448</v>
      </c>
      <c r="H382" s="436"/>
      <c r="I382" s="436"/>
      <c r="O382" s="440">
        <v>31</v>
      </c>
      <c r="P382" s="455">
        <v>9</v>
      </c>
      <c r="Q382" s="481"/>
      <c r="R382" s="436" t="s">
        <v>2448</v>
      </c>
      <c r="S382" s="436"/>
      <c r="T382" s="436"/>
    </row>
    <row r="383" spans="4:20" x14ac:dyDescent="0.2">
      <c r="D383" s="440">
        <v>32</v>
      </c>
      <c r="E383" s="455">
        <v>8</v>
      </c>
      <c r="F383" s="481"/>
      <c r="G383" s="436" t="s">
        <v>2446</v>
      </c>
      <c r="H383" s="436"/>
      <c r="I383" s="436"/>
      <c r="O383" s="440">
        <v>32</v>
      </c>
      <c r="P383" s="455">
        <v>8</v>
      </c>
      <c r="Q383" s="481"/>
      <c r="R383" s="436" t="s">
        <v>2383</v>
      </c>
      <c r="S383" s="436"/>
      <c r="T383" s="436"/>
    </row>
    <row r="384" spans="4:20" x14ac:dyDescent="0.2">
      <c r="D384" s="440">
        <v>33</v>
      </c>
      <c r="E384" s="455">
        <v>7</v>
      </c>
      <c r="F384" s="481"/>
      <c r="G384" s="436" t="s">
        <v>2430</v>
      </c>
      <c r="H384" s="436"/>
      <c r="I384" s="436"/>
      <c r="O384" s="440">
        <v>33</v>
      </c>
      <c r="P384" s="455">
        <v>7</v>
      </c>
      <c r="Q384" s="481"/>
      <c r="R384" s="436" t="s">
        <v>2430</v>
      </c>
      <c r="S384" s="436"/>
      <c r="T384" s="436"/>
    </row>
    <row r="385" spans="4:20" x14ac:dyDescent="0.2">
      <c r="D385" s="440">
        <v>34</v>
      </c>
      <c r="E385" s="455">
        <v>6</v>
      </c>
      <c r="F385" s="481"/>
      <c r="G385" s="478" t="s">
        <v>2447</v>
      </c>
      <c r="H385" s="479"/>
      <c r="I385" s="479"/>
      <c r="O385" s="440">
        <v>34</v>
      </c>
      <c r="P385" s="455">
        <v>6</v>
      </c>
      <c r="Q385" s="481"/>
      <c r="R385" s="478" t="s">
        <v>2386</v>
      </c>
      <c r="S385" s="479"/>
      <c r="T385" s="479"/>
    </row>
    <row r="386" spans="4:20" x14ac:dyDescent="0.2">
      <c r="D386" s="440">
        <v>35</v>
      </c>
      <c r="E386" s="455">
        <v>5</v>
      </c>
      <c r="F386" s="481"/>
      <c r="G386" s="478"/>
      <c r="H386" s="479"/>
      <c r="I386" s="479"/>
      <c r="O386" s="440">
        <v>35</v>
      </c>
      <c r="P386" s="455">
        <v>5</v>
      </c>
      <c r="Q386" s="481"/>
      <c r="R386" s="478"/>
      <c r="S386" s="479"/>
      <c r="T386" s="479"/>
    </row>
    <row r="387" spans="4:20" x14ac:dyDescent="0.2">
      <c r="D387" s="440">
        <v>36</v>
      </c>
      <c r="E387" s="455">
        <v>4</v>
      </c>
      <c r="F387" s="481"/>
      <c r="O387" s="440">
        <v>36</v>
      </c>
      <c r="P387" s="455">
        <v>4</v>
      </c>
      <c r="Q387" s="481"/>
    </row>
    <row r="388" spans="4:20" x14ac:dyDescent="0.2">
      <c r="D388" s="440">
        <v>37</v>
      </c>
      <c r="E388" s="455">
        <v>3</v>
      </c>
      <c r="F388" s="481"/>
      <c r="O388" s="440">
        <v>37</v>
      </c>
      <c r="P388" s="455">
        <v>3</v>
      </c>
      <c r="Q388" s="481"/>
    </row>
    <row r="389" spans="4:20" x14ac:dyDescent="0.2">
      <c r="D389" s="440">
        <v>38</v>
      </c>
      <c r="E389" s="455">
        <v>2</v>
      </c>
      <c r="F389" s="481"/>
      <c r="O389" s="440">
        <v>38</v>
      </c>
      <c r="P389" s="455">
        <v>2</v>
      </c>
      <c r="Q389" s="481"/>
    </row>
    <row r="390" spans="4:20" x14ac:dyDescent="0.2">
      <c r="D390" s="440">
        <v>39</v>
      </c>
      <c r="E390" s="455">
        <v>1</v>
      </c>
      <c r="F390" s="481"/>
      <c r="O390" s="440">
        <v>39</v>
      </c>
      <c r="P390" s="455">
        <v>1</v>
      </c>
      <c r="Q390" s="481"/>
    </row>
    <row r="391" spans="4:20" x14ac:dyDescent="0.2">
      <c r="D391" s="440">
        <v>40</v>
      </c>
      <c r="E391" s="455" t="s">
        <v>2387</v>
      </c>
      <c r="F391" s="481"/>
      <c r="O391" s="440">
        <v>40</v>
      </c>
      <c r="P391" s="455"/>
      <c r="Q391" s="481"/>
    </row>
    <row r="392" spans="4:20" x14ac:dyDescent="0.2">
      <c r="D392" s="440">
        <v>41</v>
      </c>
      <c r="E392" s="455" t="s">
        <v>2387</v>
      </c>
      <c r="F392" s="481"/>
      <c r="O392" s="440">
        <v>41</v>
      </c>
      <c r="P392" s="455"/>
      <c r="Q392" s="481"/>
    </row>
    <row r="393" spans="4:20" x14ac:dyDescent="0.2">
      <c r="D393" s="440">
        <v>42</v>
      </c>
      <c r="E393" s="455" t="s">
        <v>2387</v>
      </c>
      <c r="F393" s="481"/>
      <c r="O393" s="440">
        <v>42</v>
      </c>
      <c r="P393" s="455"/>
      <c r="Q393" s="481"/>
    </row>
    <row r="394" spans="4:20" x14ac:dyDescent="0.2">
      <c r="E394" s="440" t="s">
        <v>2401</v>
      </c>
      <c r="F394" s="481"/>
      <c r="P394" s="440" t="s">
        <v>2401</v>
      </c>
      <c r="Q394" s="481"/>
    </row>
    <row r="395" spans="4:20" x14ac:dyDescent="0.2">
      <c r="E395" s="440" t="s">
        <v>2401</v>
      </c>
      <c r="F395" s="481"/>
      <c r="P395" s="440" t="s">
        <v>2401</v>
      </c>
      <c r="Q395" s="481"/>
    </row>
    <row r="396" spans="4:20" x14ac:dyDescent="0.2">
      <c r="E396" s="440" t="s">
        <v>2401</v>
      </c>
      <c r="F396" s="482"/>
      <c r="P396" s="440" t="s">
        <v>2401</v>
      </c>
      <c r="Q396" s="482"/>
    </row>
  </sheetData>
  <mergeCells count="134">
    <mergeCell ref="M10:X10"/>
    <mergeCell ref="G223:I224"/>
    <mergeCell ref="G278:I279"/>
    <mergeCell ref="R278:T279"/>
    <mergeCell ref="G330:I331"/>
    <mergeCell ref="R330:T331"/>
    <mergeCell ref="G385:I386"/>
    <mergeCell ref="R385:T386"/>
    <mergeCell ref="A244:T248"/>
    <mergeCell ref="F297:F317"/>
    <mergeCell ref="F318:F338"/>
    <mergeCell ref="E344:E348"/>
    <mergeCell ref="F349:F372"/>
    <mergeCell ref="F373:F396"/>
    <mergeCell ref="E292:E296"/>
    <mergeCell ref="F272:F286"/>
    <mergeCell ref="C290:G290"/>
    <mergeCell ref="C291:G291"/>
    <mergeCell ref="P292:P296"/>
    <mergeCell ref="Q297:Q317"/>
    <mergeCell ref="Q318:Q338"/>
    <mergeCell ref="Q272:Q286"/>
    <mergeCell ref="N290:R290"/>
    <mergeCell ref="N291:R291"/>
    <mergeCell ref="C342:G342"/>
    <mergeCell ref="C343:G343"/>
    <mergeCell ref="P344:P348"/>
    <mergeCell ref="A214:A237"/>
    <mergeCell ref="F214:F237"/>
    <mergeCell ref="A193:A213"/>
    <mergeCell ref="F193:F213"/>
    <mergeCell ref="A2:T5"/>
    <mergeCell ref="A242:T243"/>
    <mergeCell ref="L12:Q12"/>
    <mergeCell ref="L13:Q13"/>
    <mergeCell ref="A43:Q43"/>
    <mergeCell ref="C10:I10"/>
    <mergeCell ref="M14:M18"/>
    <mergeCell ref="P14:P18"/>
    <mergeCell ref="L19:L33"/>
    <mergeCell ref="Q19:Q33"/>
    <mergeCell ref="G73:J74"/>
    <mergeCell ref="G113:J114"/>
    <mergeCell ref="L134:Q134"/>
    <mergeCell ref="L135:Q135"/>
    <mergeCell ref="M136:M140"/>
    <mergeCell ref="P136:P140"/>
    <mergeCell ref="N147:O152"/>
    <mergeCell ref="A85:F85"/>
    <mergeCell ref="A86:F86"/>
    <mergeCell ref="A134:F134"/>
    <mergeCell ref="A135:F135"/>
    <mergeCell ref="L153:L167"/>
    <mergeCell ref="Q153:Q167"/>
    <mergeCell ref="L168:L182"/>
    <mergeCell ref="C147:D152"/>
    <mergeCell ref="L86:Q86"/>
    <mergeCell ref="M87:M91"/>
    <mergeCell ref="P87:P91"/>
    <mergeCell ref="L92:L106"/>
    <mergeCell ref="Q92:Q106"/>
    <mergeCell ref="F153:F167"/>
    <mergeCell ref="A6:T7"/>
    <mergeCell ref="F257:F271"/>
    <mergeCell ref="Q257:Q271"/>
    <mergeCell ref="E252:E256"/>
    <mergeCell ref="P252:P256"/>
    <mergeCell ref="C250:G250"/>
    <mergeCell ref="C251:G251"/>
    <mergeCell ref="N250:R250"/>
    <mergeCell ref="N251:R251"/>
    <mergeCell ref="A37:T41"/>
    <mergeCell ref="G174:I175"/>
    <mergeCell ref="A186:F186"/>
    <mergeCell ref="A187:F187"/>
    <mergeCell ref="B188:B192"/>
    <mergeCell ref="L45:Q45"/>
    <mergeCell ref="L46:Q46"/>
    <mergeCell ref="M47:M51"/>
    <mergeCell ref="P47:P51"/>
    <mergeCell ref="A45:F45"/>
    <mergeCell ref="A46:F46"/>
    <mergeCell ref="C119:D124"/>
    <mergeCell ref="B87:B91"/>
    <mergeCell ref="B136:B140"/>
    <mergeCell ref="E136:E140"/>
    <mergeCell ref="C214:D216"/>
    <mergeCell ref="U14:U18"/>
    <mergeCell ref="X14:X18"/>
    <mergeCell ref="T19:T33"/>
    <mergeCell ref="Y19:Y33"/>
    <mergeCell ref="Q349:Q372"/>
    <mergeCell ref="Q373:Q396"/>
    <mergeCell ref="N342:R342"/>
    <mergeCell ref="N343:R343"/>
    <mergeCell ref="R73:U74"/>
    <mergeCell ref="L186:Q186"/>
    <mergeCell ref="L187:Q187"/>
    <mergeCell ref="M188:M192"/>
    <mergeCell ref="P188:P192"/>
    <mergeCell ref="L193:L213"/>
    <mergeCell ref="Q193:Q213"/>
    <mergeCell ref="L214:L237"/>
    <mergeCell ref="N214:O216"/>
    <mergeCell ref="Q214:Q237"/>
    <mergeCell ref="R223:T224"/>
    <mergeCell ref="Q107:Q121"/>
    <mergeCell ref="N119:O124"/>
    <mergeCell ref="E47:E51"/>
    <mergeCell ref="L107:L121"/>
    <mergeCell ref="T12:Y12"/>
    <mergeCell ref="T13:Y13"/>
    <mergeCell ref="R113:U114"/>
    <mergeCell ref="R174:T175"/>
    <mergeCell ref="Q168:Q182"/>
    <mergeCell ref="A153:A167"/>
    <mergeCell ref="F168:F182"/>
    <mergeCell ref="A168:A182"/>
    <mergeCell ref="E188:E192"/>
    <mergeCell ref="B47:B51"/>
    <mergeCell ref="F92:F106"/>
    <mergeCell ref="F107:F121"/>
    <mergeCell ref="A107:A121"/>
    <mergeCell ref="A52:A66"/>
    <mergeCell ref="F52:F66"/>
    <mergeCell ref="A67:A81"/>
    <mergeCell ref="F67:F81"/>
    <mergeCell ref="E87:E91"/>
    <mergeCell ref="A92:A106"/>
    <mergeCell ref="L52:L66"/>
    <mergeCell ref="Q52:Q66"/>
    <mergeCell ref="L67:L81"/>
    <mergeCell ref="Q67:Q81"/>
    <mergeCell ref="L85:Q85"/>
  </mergeCells>
  <pageMargins left="0.7" right="0.7" top="0.75" bottom="0.75" header="0.3" footer="0.3"/>
  <pageSetup orientation="portrait" r:id="rId1"/>
  <headerFooter>
    <oddFooter>&amp;C&amp;1#&amp;"Arial"&amp;6&amp;K626469Internal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310</vt:i4>
      </vt:variant>
    </vt:vector>
  </HeadingPairs>
  <TitlesOfParts>
    <vt:vector size="313" baseType="lpstr">
      <vt:lpstr>Registers &amp; Files</vt:lpstr>
      <vt:lpstr>Data Formats</vt:lpstr>
      <vt:lpstr>Control Bus Numbering</vt:lpstr>
      <vt:lpstr>Active_Priority</vt:lpstr>
      <vt:lpstr>Application_Number</vt:lpstr>
      <vt:lpstr>Application_Number_val</vt:lpstr>
      <vt:lpstr>Blink_Pulse_Duration_val</vt:lpstr>
      <vt:lpstr>Blink_to_Off</vt:lpstr>
      <vt:lpstr>Blink_to_Off_Delay_val</vt:lpstr>
      <vt:lpstr>Boot_Firmware_Version</vt:lpstr>
      <vt:lpstr>Breaker_Actual_State</vt:lpstr>
      <vt:lpstr>Breaker_Blink_Timer_Value</vt:lpstr>
      <vt:lpstr>Breaker_Blink_Type</vt:lpstr>
      <vt:lpstr>Breaker_Change_in_Control_State</vt:lpstr>
      <vt:lpstr>Breaker_Change_of_Actual_State</vt:lpstr>
      <vt:lpstr>Breaker_Control_State</vt:lpstr>
      <vt:lpstr>Breaker_Desired_State</vt:lpstr>
      <vt:lpstr>Breaker_Non_Responding</vt:lpstr>
      <vt:lpstr>Breaker_Present</vt:lpstr>
      <vt:lpstr>Breaker_Type</vt:lpstr>
      <vt:lpstr>Breaker_Verification</vt:lpstr>
      <vt:lpstr>Breaker_Verification_Delay_val</vt:lpstr>
      <vt:lpstr>brkr_blink_type_val</vt:lpstr>
      <vt:lpstr>brkr_type_val</vt:lpstr>
      <vt:lpstr>Bus_0_Firmware_Version</vt:lpstr>
      <vt:lpstr>Bus_0_Model</vt:lpstr>
      <vt:lpstr>Bus_Firmware_Version_val</vt:lpstr>
      <vt:lpstr>Bus_Model</vt:lpstr>
      <vt:lpstr>Bus_Model_Number</vt:lpstr>
      <vt:lpstr>Bus_Name_Tag_val</vt:lpstr>
      <vt:lpstr>Bus_Non_Responding</vt:lpstr>
      <vt:lpstr>Bus_Numbering_Sequence_val</vt:lpstr>
      <vt:lpstr>bus_panel</vt:lpstr>
      <vt:lpstr>bus_panel_val</vt:lpstr>
      <vt:lpstr>Bus_Present</vt:lpstr>
      <vt:lpstr>Calculated_Day_of_the_Week</vt:lpstr>
      <vt:lpstr>Calculated_Day_of_Week_val</vt:lpstr>
      <vt:lpstr>Calculated_DST_Begin_Day</vt:lpstr>
      <vt:lpstr>Calculated_DST_Begin_Month</vt:lpstr>
      <vt:lpstr>Calculated_DST_Day_val</vt:lpstr>
      <vt:lpstr>Calculated_DST_Month_val</vt:lpstr>
      <vt:lpstr>Calculated_Sunrise_Time</vt:lpstr>
      <vt:lpstr>Calculated_Sunrise_Time__Minutes</vt:lpstr>
      <vt:lpstr>Calculated_Sunrise_Time_Hour_Today_val</vt:lpstr>
      <vt:lpstr>Calculated_Sunrise_Time_Minutes_Today_val</vt:lpstr>
      <vt:lpstr>Calculated_Sunset_Time</vt:lpstr>
      <vt:lpstr>Calculated_Week_of_Month_val</vt:lpstr>
      <vt:lpstr>Calculated_Week_of_the_Month</vt:lpstr>
      <vt:lpstr>Cbus_Period</vt:lpstr>
      <vt:lpstr>CBus_Period_val</vt:lpstr>
      <vt:lpstr>Command_Interface</vt:lpstr>
      <vt:lpstr>Command_Interface_Password</vt:lpstr>
      <vt:lpstr>Comms_Loss_Action</vt:lpstr>
      <vt:lpstr>Comms_Restore_Action</vt:lpstr>
      <vt:lpstr>Compressed_Local_Date_Time</vt:lpstr>
      <vt:lpstr>Compressed_Local_Date_Time_val</vt:lpstr>
      <vt:lpstr>Control_Module_Firmware_Version</vt:lpstr>
      <vt:lpstr>Control_Module_Firmware_Version__DLF_compatible_format_val</vt:lpstr>
      <vt:lpstr>Control_Module_Model</vt:lpstr>
      <vt:lpstr>Database_Version</vt:lpstr>
      <vt:lpstr>day_of_week</vt:lpstr>
      <vt:lpstr>Day_of_Week_val</vt:lpstr>
      <vt:lpstr>Daylight_Saving_Time_Enable</vt:lpstr>
      <vt:lpstr>default___Transparent_Ready_TR_013</vt:lpstr>
      <vt:lpstr>Display_Time_12_24_Format_val</vt:lpstr>
      <vt:lpstr>Display_Time_Format__12_24</vt:lpstr>
      <vt:lpstr>DLF_App_Revision</vt:lpstr>
      <vt:lpstr>DLF_Revision_Compatability</vt:lpstr>
      <vt:lpstr>DLF_Revision_format_val</vt:lpstr>
      <vt:lpstr>DLF_Version_compatabilty</vt:lpstr>
      <vt:lpstr>DLF_Version_format_val</vt:lpstr>
      <vt:lpstr>email_error_data</vt:lpstr>
      <vt:lpstr>email_errors</vt:lpstr>
      <vt:lpstr>end_hour</vt:lpstr>
      <vt:lpstr>end_minutes</vt:lpstr>
      <vt:lpstr>end_offset</vt:lpstr>
      <vt:lpstr>End_Offset__Minutesr_val</vt:lpstr>
      <vt:lpstr>End_Time_Hours_val</vt:lpstr>
      <vt:lpstr>End_Time_Minutes_val</vt:lpstr>
      <vt:lpstr>Event_Identifier_val</vt:lpstr>
      <vt:lpstr>Event_Log_Entry_Type_val</vt:lpstr>
      <vt:lpstr>Expanded_Local_Date_Time</vt:lpstr>
      <vt:lpstr>Expanded_Local_Date_Time_val</vt:lpstr>
      <vt:lpstr>External_Reference_IP_Address_Table_val</vt:lpstr>
      <vt:lpstr>External_Reference_Register_Selector_val</vt:lpstr>
      <vt:lpstr>External_source_default_active_val</vt:lpstr>
      <vt:lpstr>External_Source_Default_Time_Out_Duration_val</vt:lpstr>
      <vt:lpstr>External_Source_Default_Time_Out_Value_val</vt:lpstr>
      <vt:lpstr>External_Source_Default_Value_val</vt:lpstr>
      <vt:lpstr>External_Source_Number_of_Errors_val</vt:lpstr>
      <vt:lpstr>External_Source_Number_of_Retries_val</vt:lpstr>
      <vt:lpstr>External_Source_Number_of_Time_outs_val</vt:lpstr>
      <vt:lpstr>External_Source_Service_State_val</vt:lpstr>
      <vt:lpstr>External_Source_Value_val</vt:lpstr>
      <vt:lpstr>Firmware_Revision__DLF_compatible_format_val</vt:lpstr>
      <vt:lpstr>Flash_ROM_Type</vt:lpstr>
      <vt:lpstr>Front_Panel_Disable</vt:lpstr>
      <vt:lpstr>Front_Panel_Disable_Timeout_val</vt:lpstr>
      <vt:lpstr>Front_Panel_Password</vt:lpstr>
      <vt:lpstr>Front_Panel_Password_val</vt:lpstr>
      <vt:lpstr>Group_Address</vt:lpstr>
      <vt:lpstr>Group_Number_val</vt:lpstr>
      <vt:lpstr>Halt_Mode_Enable</vt:lpstr>
      <vt:lpstr>Hardware_Peripheral_Status_val</vt:lpstr>
      <vt:lpstr>hardware_status</vt:lpstr>
      <vt:lpstr>Inhibit_Sync_Filter</vt:lpstr>
      <vt:lpstr>Inhibit_Sync_Filter_val</vt:lpstr>
      <vt:lpstr>Inhibit_Sync_Invert</vt:lpstr>
      <vt:lpstr>Inhibit_Sync_Invert_val</vt:lpstr>
      <vt:lpstr>Inhibit_Sync_Source_Bus</vt:lpstr>
      <vt:lpstr>Inhibit_Sync_Source_Bus_val</vt:lpstr>
      <vt:lpstr>Inhibit_Sync_Source_Number</vt:lpstr>
      <vt:lpstr>Inhibit_Sync_Source_Number_val</vt:lpstr>
      <vt:lpstr>Inhibit_Sync_Source_Type</vt:lpstr>
      <vt:lpstr>Inhibit_Sync_Source_Type_val</vt:lpstr>
      <vt:lpstr>Input_Inhibit_Source_Pointer_val</vt:lpstr>
      <vt:lpstr>Input_Inhibit_values</vt:lpstr>
      <vt:lpstr>Input_Object_Manual_Flag</vt:lpstr>
      <vt:lpstr>Input_Object_Manual_Flag_val</vt:lpstr>
      <vt:lpstr>Input_Object_State</vt:lpstr>
      <vt:lpstr>Input_Object_State_val</vt:lpstr>
      <vt:lpstr>Input_Synchronization_Filter_val</vt:lpstr>
      <vt:lpstr>Input_Synchronization_Source_Pointer_val</vt:lpstr>
      <vt:lpstr>Input_Timer_Duration</vt:lpstr>
      <vt:lpstr>Input_Timer_Inhibit_values</vt:lpstr>
      <vt:lpstr>Input_Timer_Type</vt:lpstr>
      <vt:lpstr>Input_Timer_Type_val</vt:lpstr>
      <vt:lpstr>Input_Timer_Value</vt:lpstr>
      <vt:lpstr>Input_Update_Flag</vt:lpstr>
      <vt:lpstr>Input_Update_Flag_val</vt:lpstr>
      <vt:lpstr>IP_Address_Defaults___TR_013_val</vt:lpstr>
      <vt:lpstr>Key_Press_Status</vt:lpstr>
      <vt:lpstr>Key_Press_Status_val</vt:lpstr>
      <vt:lpstr>Last_Event</vt:lpstr>
      <vt:lpstr>Latched_Input_Control_State_Auto_values</vt:lpstr>
      <vt:lpstr>Latched_Input_State_Auto_values</vt:lpstr>
      <vt:lpstr>Latched_Input_State_values</vt:lpstr>
      <vt:lpstr>Latitude</vt:lpstr>
      <vt:lpstr>Latitude_val</vt:lpstr>
      <vt:lpstr>Local_Gateway_Address</vt:lpstr>
      <vt:lpstr>Local_Subnet_Mask</vt:lpstr>
      <vt:lpstr>Logic_Type</vt:lpstr>
      <vt:lpstr>Longitude</vt:lpstr>
      <vt:lpstr>Longitude_val</vt:lpstr>
      <vt:lpstr>Manufacturing_Information</vt:lpstr>
      <vt:lpstr>Manufacturing_Information_val</vt:lpstr>
      <vt:lpstr>Member_List_Bus</vt:lpstr>
      <vt:lpstr>Modbus_Diagnostics</vt:lpstr>
      <vt:lpstr>Modbus_Slave_Port_Communications_Mode</vt:lpstr>
      <vt:lpstr>Modbus_Slave_Port_Communications_Mode_val</vt:lpstr>
      <vt:lpstr>Of_Level_Source</vt:lpstr>
      <vt:lpstr>Off_Level_Source</vt:lpstr>
      <vt:lpstr>Off_Level_Source_Number</vt:lpstr>
      <vt:lpstr>Off_Level_Source_Number_val</vt:lpstr>
      <vt:lpstr>Off_Level_Source_Type</vt:lpstr>
      <vt:lpstr>Off_Level_Source_Type_val</vt:lpstr>
      <vt:lpstr>Off_Ramp_Rate_val</vt:lpstr>
      <vt:lpstr>Off_Rate</vt:lpstr>
      <vt:lpstr>Offset__Minutes_val</vt:lpstr>
      <vt:lpstr>On_Level_Source</vt:lpstr>
      <vt:lpstr>On_Level_Source_Number</vt:lpstr>
      <vt:lpstr>On_Level_Source_Number_val</vt:lpstr>
      <vt:lpstr>On_Level_Source_Type_val</vt:lpstr>
      <vt:lpstr>On_Ramp_Rate_val</vt:lpstr>
      <vt:lpstr>On_Rate</vt:lpstr>
      <vt:lpstr>Override_Timer_Setpoint</vt:lpstr>
      <vt:lpstr>Panel_Alias_val</vt:lpstr>
      <vt:lpstr>Panel_Component_val</vt:lpstr>
      <vt:lpstr>Panel_Increment</vt:lpstr>
      <vt:lpstr>Panel_Increment_Sequence_val</vt:lpstr>
      <vt:lpstr>Panel_Length</vt:lpstr>
      <vt:lpstr>Panel_Length_val</vt:lpstr>
      <vt:lpstr>Panel_Position_Alias</vt:lpstr>
      <vt:lpstr>Panel_Position_Type</vt:lpstr>
      <vt:lpstr>Panel_Reference_Number</vt:lpstr>
      <vt:lpstr>Panel_Reference_Number_val</vt:lpstr>
      <vt:lpstr>Panel_Reference_Position</vt:lpstr>
      <vt:lpstr>Panel_Reference_Position_val</vt:lpstr>
      <vt:lpstr>Panel_Width</vt:lpstr>
      <vt:lpstr>Panel_Width_val</vt:lpstr>
      <vt:lpstr>Period</vt:lpstr>
      <vt:lpstr>period_status_per_schedule</vt:lpstr>
      <vt:lpstr>Period_Status_per_Schedule_val</vt:lpstr>
      <vt:lpstr>Port_2_Address</vt:lpstr>
      <vt:lpstr>Port_2_Baud_Rate</vt:lpstr>
      <vt:lpstr>Port_2_Baud_Rate_val</vt:lpstr>
      <vt:lpstr>Port_2_Parity</vt:lpstr>
      <vt:lpstr>Power_up_Counter</vt:lpstr>
      <vt:lpstr>'Data Formats'!Print_Area</vt:lpstr>
      <vt:lpstr>'Registers &amp; Files'!Print_Titles</vt:lpstr>
      <vt:lpstr>Reset_Counter</vt:lpstr>
      <vt:lpstr>Result_Code_Description_val</vt:lpstr>
      <vt:lpstr>Result_Codes</vt:lpstr>
      <vt:lpstr>Sched_Periods</vt:lpstr>
      <vt:lpstr>Sched_Periods_val</vt:lpstr>
      <vt:lpstr>Schedule_Output_Status_val</vt:lpstr>
      <vt:lpstr>schedule_period_status</vt:lpstr>
      <vt:lpstr>Self_Test_Bitmap</vt:lpstr>
      <vt:lpstr>Self_Test_Bitmap_val</vt:lpstr>
      <vt:lpstr>Source_Number</vt:lpstr>
      <vt:lpstr>Source_Number_val</vt:lpstr>
      <vt:lpstr>Source_Pointer_Set</vt:lpstr>
      <vt:lpstr>Source_Type</vt:lpstr>
      <vt:lpstr>Source_Type_val</vt:lpstr>
      <vt:lpstr>special_day</vt:lpstr>
      <vt:lpstr>Special_Day_Holiday_val</vt:lpstr>
      <vt:lpstr>special_day_of_month</vt:lpstr>
      <vt:lpstr>special_day_of_week</vt:lpstr>
      <vt:lpstr>Special_day_val</vt:lpstr>
      <vt:lpstr>Special_Day_x__Day_of_Month_val</vt:lpstr>
      <vt:lpstr>Special_Day_x__Day_of_Week_val</vt:lpstr>
      <vt:lpstr>Special_Day_x__Duration_val</vt:lpstr>
      <vt:lpstr>Special_Day_x__End_Day_val</vt:lpstr>
      <vt:lpstr>Special_Day_x__End_Month_val</vt:lpstr>
      <vt:lpstr>Special_Day_x__End_Year_val</vt:lpstr>
      <vt:lpstr>Special_Day_x__Month_of_Year_val</vt:lpstr>
      <vt:lpstr>Special_Day_x__Priority_val</vt:lpstr>
      <vt:lpstr>Special_Day_x__Repeat_Interval_val</vt:lpstr>
      <vt:lpstr>Special_Day_x__Repeat_Type_val</vt:lpstr>
      <vt:lpstr>Special_Day_x__Start_Day_val</vt:lpstr>
      <vt:lpstr>Special_Day_x__Start_Month_val</vt:lpstr>
      <vt:lpstr>Special_Day_x__Start_Year_val</vt:lpstr>
      <vt:lpstr>Special_Day_x__Thru_Day_val</vt:lpstr>
      <vt:lpstr>Special_Day_x__Thru_Month_val</vt:lpstr>
      <vt:lpstr>Special_Day_x__Week_of_Month_val</vt:lpstr>
      <vt:lpstr>special_days</vt:lpstr>
      <vt:lpstr>special_duration</vt:lpstr>
      <vt:lpstr>special_end_day</vt:lpstr>
      <vt:lpstr>special_end_month</vt:lpstr>
      <vt:lpstr>special_end_year</vt:lpstr>
      <vt:lpstr>special_holiday</vt:lpstr>
      <vt:lpstr>special_month_of_year</vt:lpstr>
      <vt:lpstr>special_priority</vt:lpstr>
      <vt:lpstr>special_repeat_interval</vt:lpstr>
      <vt:lpstr>special_repeat_type</vt:lpstr>
      <vt:lpstr>special_start_day</vt:lpstr>
      <vt:lpstr>special_start_month</vt:lpstr>
      <vt:lpstr>special_start_year</vt:lpstr>
      <vt:lpstr>special_through_day</vt:lpstr>
      <vt:lpstr>special_through_month</vt:lpstr>
      <vt:lpstr>special_week_of_month</vt:lpstr>
      <vt:lpstr>Stagger_Delay</vt:lpstr>
      <vt:lpstr>Stagger_Delay_val</vt:lpstr>
      <vt:lpstr>'Data Formats'!start_hour</vt:lpstr>
      <vt:lpstr>start_hour</vt:lpstr>
      <vt:lpstr>start_minutes</vt:lpstr>
      <vt:lpstr>start_offset</vt:lpstr>
      <vt:lpstr>Start_Time_Hours_val</vt:lpstr>
      <vt:lpstr>Start_Time_Minutes_val</vt:lpstr>
      <vt:lpstr>Status_Feedback_Output_Pointer_val</vt:lpstr>
      <vt:lpstr>status_ouput_source_bus</vt:lpstr>
      <vt:lpstr>Status_Output_Source_Bus_val</vt:lpstr>
      <vt:lpstr>status_output_source_number</vt:lpstr>
      <vt:lpstr>status_output_source_number_val</vt:lpstr>
      <vt:lpstr>status_output_source_type</vt:lpstr>
      <vt:lpstr>Status_Output_Source_Value</vt:lpstr>
      <vt:lpstr>Sub_File_Default_Value_val</vt:lpstr>
      <vt:lpstr>Sub_File_Heartbeat_Interval_val</vt:lpstr>
      <vt:lpstr>Sub_File_Length_val</vt:lpstr>
      <vt:lpstr>Sub_File_Minimum_Interval_val</vt:lpstr>
      <vt:lpstr>Sub_File_Periodic_Publish_Interval_val</vt:lpstr>
      <vt:lpstr>Sub_File_Publish_to_Starting_Address_val</vt:lpstr>
      <vt:lpstr>Sub_File_Publisher_File_Number_val</vt:lpstr>
      <vt:lpstr>Sub_File_Publisher_IP_Address_val</vt:lpstr>
      <vt:lpstr>Sub_File_Publisher_Timeout_val</vt:lpstr>
      <vt:lpstr>Sub_File_Publisher_Unit_ID_val</vt:lpstr>
      <vt:lpstr>Sub_File_Subscribe_to_Starting_Address_val</vt:lpstr>
      <vt:lpstr>Sub_File_Subscription_Number_val</vt:lpstr>
      <vt:lpstr>Sub_File_Type_val</vt:lpstr>
      <vt:lpstr>Sync_Filter</vt:lpstr>
      <vt:lpstr>Sync_Filter_val</vt:lpstr>
      <vt:lpstr>Sync_Invert</vt:lpstr>
      <vt:lpstr>Sync_Invert_val</vt:lpstr>
      <vt:lpstr>Sync_Source_Bus</vt:lpstr>
      <vt:lpstr>Sync_Source_Bus_val</vt:lpstr>
      <vt:lpstr>Sync_Source_Number</vt:lpstr>
      <vt:lpstr>Sync_Source_Number_val</vt:lpstr>
      <vt:lpstr>Sync_Source_Type</vt:lpstr>
      <vt:lpstr>Sync_Source_Type_val</vt:lpstr>
      <vt:lpstr>terminal_senor_scalar</vt:lpstr>
      <vt:lpstr>terminal_sensor_offset</vt:lpstr>
      <vt:lpstr>terminal_sensor_offset_val</vt:lpstr>
      <vt:lpstr>Terminal_Sensor_Scalar_val</vt:lpstr>
      <vt:lpstr>terminal_sensor_type</vt:lpstr>
      <vt:lpstr>Terminal_Sensor_Type_Value</vt:lpstr>
      <vt:lpstr>terminal_switch_type</vt:lpstr>
      <vt:lpstr>Terminal_Switch_Type_Value</vt:lpstr>
      <vt:lpstr>terminal_type</vt:lpstr>
      <vt:lpstr>Terminal_Type_Value</vt:lpstr>
      <vt:lpstr>Time_Period_Status_val</vt:lpstr>
      <vt:lpstr>Time_Zone_Reference</vt:lpstr>
      <vt:lpstr>Time_Zone_Reference_val</vt:lpstr>
      <vt:lpstr>Timer__Sync_Filter</vt:lpstr>
      <vt:lpstr>Timer__Sync_Filter_val</vt:lpstr>
      <vt:lpstr>Timer__Sync_Invert</vt:lpstr>
      <vt:lpstr>Timer__Sync_Invert_val</vt:lpstr>
      <vt:lpstr>Timer_Inhibit_Source_Pointer_val</vt:lpstr>
      <vt:lpstr>Timer_Sync_Source_Bus</vt:lpstr>
      <vt:lpstr>Timer_Sync_Source_Bus_val</vt:lpstr>
      <vt:lpstr>Timer_Sync_Source_Number</vt:lpstr>
      <vt:lpstr>Timer_Sync_Source_Number_val</vt:lpstr>
      <vt:lpstr>Timer_Sync_Source_Type</vt:lpstr>
      <vt:lpstr>Timer_Sync_Source_Type_val</vt:lpstr>
      <vt:lpstr>Truth_Table</vt:lpstr>
      <vt:lpstr>Zone_Action_Priority_val</vt:lpstr>
      <vt:lpstr>Zone_Comms_Loss_Action_val</vt:lpstr>
      <vt:lpstr>Zone_Comms_Restore_Action_val</vt:lpstr>
      <vt:lpstr>Zone_Custom_Logic_Truth_Table_val</vt:lpstr>
      <vt:lpstr>Zone_Last_Event</vt:lpstr>
      <vt:lpstr>Zone_Logic_Type_val</vt:lpstr>
      <vt:lpstr>Zone_Member_List_Bus_val</vt:lpstr>
      <vt:lpstr>Zone_Source_Pointer_Number_val</vt:lpstr>
      <vt:lpstr>Zone_Source_Pointer_val</vt:lpstr>
    </vt:vector>
  </TitlesOfParts>
  <Company>Schneider Electric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Moore</dc:creator>
  <cp:lastModifiedBy>Scott Olson</cp:lastModifiedBy>
  <cp:lastPrinted>2012-01-27T12:44:14Z</cp:lastPrinted>
  <dcterms:created xsi:type="dcterms:W3CDTF">1999-07-09T13:08:04Z</dcterms:created>
  <dcterms:modified xsi:type="dcterms:W3CDTF">2023-02-05T16:49:03Z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2023-02-05T16:49:03Z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647b25c6-e431-46a5-b300-e89851421a83</vt:lpwstr>
  </property>
  <property fmtid="{D5CDD505-2E9C-101B-9397-08002B2CF9AE}" pid="8" name="MSIP_Label_23f93e5f-d3c2-49a7-ba94-15405423c204_ContentBits">
    <vt:lpwstr>2</vt:lpwstr>
  </property>
</Properties>
</file>